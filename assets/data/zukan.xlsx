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anaka\Desktop\Python\PokemonAutoCapture\assets\data\"/>
    </mc:Choice>
  </mc:AlternateContent>
  <xr:revisionPtr revIDLastSave="0" documentId="13_ncr:1_{B656F7C4-1F89-4716-B0DC-8FA0F8705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2" i="1" l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AW2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AV2" i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U2" i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T2" i="1"/>
  <c r="AX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S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R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Q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P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O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M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L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K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J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G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F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E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C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A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</calcChain>
</file>

<file path=xl/sharedStrings.xml><?xml version="1.0" encoding="utf-8"?>
<sst xmlns="http://schemas.openxmlformats.org/spreadsheetml/2006/main" count="11629" uniqueCount="4735">
  <si>
    <t>label</t>
  </si>
  <si>
    <t>Column1</t>
  </si>
  <si>
    <t>id</t>
  </si>
  <si>
    <t>form_id</t>
  </si>
  <si>
    <t>name</t>
  </si>
  <si>
    <t>form</t>
  </si>
  <si>
    <t>alias</t>
  </si>
  <si>
    <t>category</t>
  </si>
  <si>
    <t>weight</t>
  </si>
  <si>
    <t>height</t>
  </si>
  <si>
    <t>type_1</t>
  </si>
  <si>
    <t>type_2</t>
  </si>
  <si>
    <t>ability_1</t>
  </si>
  <si>
    <t>ability_2</t>
  </si>
  <si>
    <t>ability_3</t>
  </si>
  <si>
    <t>last_gen</t>
  </si>
  <si>
    <t>H</t>
  </si>
  <si>
    <t>A</t>
  </si>
  <si>
    <t>B</t>
  </si>
  <si>
    <t>C</t>
  </si>
  <si>
    <t>D</t>
  </si>
  <si>
    <t>S</t>
  </si>
  <si>
    <t>0001-000</t>
  </si>
  <si>
    <t>フシギダネ</t>
  </si>
  <si>
    <t>pm0001_00_00_00.png</t>
  </si>
  <si>
    <t>たねポケモン</t>
  </si>
  <si>
    <t>くさ</t>
  </si>
  <si>
    <t>どく</t>
  </si>
  <si>
    <t>しんりょく</t>
  </si>
  <si>
    <t>ようりょくそ</t>
  </si>
  <si>
    <t>0002-000</t>
  </si>
  <si>
    <t>フシギソウ</t>
  </si>
  <si>
    <t>pm0002_00_00_00.png</t>
  </si>
  <si>
    <t>0003-000</t>
  </si>
  <si>
    <t>フシギバナ</t>
  </si>
  <si>
    <t>pm0003_00_00_00.png</t>
  </si>
  <si>
    <t>0003-001</t>
  </si>
  <si>
    <t>メガフシギバナ</t>
  </si>
  <si>
    <t>あついしぼう</t>
  </si>
  <si>
    <t>0003-999</t>
  </si>
  <si>
    <t>キョダイマックス</t>
  </si>
  <si>
    <t>フシギバナ(キョダイ)</t>
  </si>
  <si>
    <t>-</t>
  </si>
  <si>
    <t>0004-000</t>
  </si>
  <si>
    <t>ヒトカゲ</t>
  </si>
  <si>
    <t>pm0004_00_00_00.png</t>
  </si>
  <si>
    <t>とかげポケモン</t>
  </si>
  <si>
    <t>ほのお</t>
  </si>
  <si>
    <t>もうか</t>
  </si>
  <si>
    <t>サンパワー</t>
  </si>
  <si>
    <t>0005-000</t>
  </si>
  <si>
    <t>リザード</t>
  </si>
  <si>
    <t>pm0005_00_00_00.png</t>
  </si>
  <si>
    <t>かえんポケモン</t>
  </si>
  <si>
    <t>0006-000</t>
  </si>
  <si>
    <t>リザードン</t>
  </si>
  <si>
    <t>pm0006_00_00_00.png</t>
  </si>
  <si>
    <t>ひこう</t>
  </si>
  <si>
    <t>0006-001</t>
  </si>
  <si>
    <t>メガリザードンＸ</t>
  </si>
  <si>
    <t>ドラゴン</t>
  </si>
  <si>
    <t>かたいツメ</t>
  </si>
  <si>
    <t>0006-002</t>
  </si>
  <si>
    <t>メガリザードンＹ</t>
  </si>
  <si>
    <t>ひでり</t>
  </si>
  <si>
    <t>0006-999</t>
  </si>
  <si>
    <t>リザードン(キョダイ)</t>
  </si>
  <si>
    <t>0007-000</t>
  </si>
  <si>
    <t>ゼニガメ</t>
  </si>
  <si>
    <t>pm0007_00_00_00.png</t>
  </si>
  <si>
    <t>かめのこポケモン</t>
  </si>
  <si>
    <t>みず</t>
  </si>
  <si>
    <t>げきりゅう</t>
  </si>
  <si>
    <t>あめうけざら</t>
  </si>
  <si>
    <t>0008-000</t>
  </si>
  <si>
    <t>カメール</t>
  </si>
  <si>
    <t>pm0008_00_00_00.png</t>
  </si>
  <si>
    <t>かめポケモン</t>
  </si>
  <si>
    <t>0009-000</t>
  </si>
  <si>
    <t>カメックス</t>
  </si>
  <si>
    <t>pm0009_00_00_00.png</t>
  </si>
  <si>
    <t>こうらポケモン</t>
  </si>
  <si>
    <t>0009-001</t>
  </si>
  <si>
    <t>メガカメックス</t>
  </si>
  <si>
    <t>メガランチャー</t>
  </si>
  <si>
    <t>0009-999</t>
  </si>
  <si>
    <t>カメックス(キョダイ)</t>
  </si>
  <si>
    <t>0010-000</t>
  </si>
  <si>
    <t>キャタピー</t>
  </si>
  <si>
    <t>いもむしポケモン</t>
  </si>
  <si>
    <t>むし</t>
  </si>
  <si>
    <t>りんぷん</t>
  </si>
  <si>
    <t>にげあし</t>
  </si>
  <si>
    <t>0011-000</t>
  </si>
  <si>
    <t>トランセル</t>
  </si>
  <si>
    <t>さなぎポケモン</t>
  </si>
  <si>
    <t>だっぴ</t>
  </si>
  <si>
    <t>0012-000</t>
  </si>
  <si>
    <t>バタフリー</t>
  </si>
  <si>
    <t>ちょうちょポケモン</t>
  </si>
  <si>
    <t>ふくがん</t>
  </si>
  <si>
    <t>いろめがね</t>
  </si>
  <si>
    <t>0012-999</t>
  </si>
  <si>
    <t>バタフリー(キョダイ)</t>
  </si>
  <si>
    <t>0013-000</t>
  </si>
  <si>
    <t>ビードル</t>
  </si>
  <si>
    <t>けむしポケモン</t>
  </si>
  <si>
    <t>0014-000</t>
  </si>
  <si>
    <t>コクーン</t>
  </si>
  <si>
    <t>0015-000</t>
  </si>
  <si>
    <t>スピアー</t>
  </si>
  <si>
    <t>どくばちポケモン</t>
  </si>
  <si>
    <t>むしのしらせ</t>
  </si>
  <si>
    <t>スナイパー</t>
  </si>
  <si>
    <t>0015-001</t>
  </si>
  <si>
    <t>メガスピアー</t>
  </si>
  <si>
    <t>てきおうりょく</t>
  </si>
  <si>
    <t>0016-000</t>
  </si>
  <si>
    <t>ポッポ</t>
  </si>
  <si>
    <t>ことりポケモン</t>
  </si>
  <si>
    <t>ノーマル</t>
  </si>
  <si>
    <t>するどいめ</t>
  </si>
  <si>
    <t>ちどりあし</t>
  </si>
  <si>
    <t>はとむね</t>
  </si>
  <si>
    <t>0017-000</t>
  </si>
  <si>
    <t>ピジョン</t>
  </si>
  <si>
    <t>とりポケモン</t>
  </si>
  <si>
    <t>0018-000</t>
  </si>
  <si>
    <t>ピジョット</t>
  </si>
  <si>
    <t>0018-001</t>
  </si>
  <si>
    <t>メガピジョット</t>
  </si>
  <si>
    <t>ノーガード</t>
  </si>
  <si>
    <t>0019-000</t>
  </si>
  <si>
    <t>コラッタ</t>
  </si>
  <si>
    <t>ねずみポケモン</t>
  </si>
  <si>
    <t>こんじょう</t>
  </si>
  <si>
    <t>はりきり</t>
  </si>
  <si>
    <t>0019-001</t>
  </si>
  <si>
    <t>アローラのすがた</t>
  </si>
  <si>
    <t>コラッタ(アローラ)</t>
  </si>
  <si>
    <t>あく</t>
  </si>
  <si>
    <t>くいしんぼう</t>
  </si>
  <si>
    <t>0020-000</t>
  </si>
  <si>
    <t>ラッタ</t>
  </si>
  <si>
    <t>0020-001</t>
  </si>
  <si>
    <t>ラッタ(アローラ)</t>
  </si>
  <si>
    <t>0021-000</t>
  </si>
  <si>
    <t>オニスズメ</t>
  </si>
  <si>
    <t>0022-000</t>
  </si>
  <si>
    <t>オニドリル</t>
  </si>
  <si>
    <t>くちばしポケモン</t>
  </si>
  <si>
    <t>0023-000</t>
  </si>
  <si>
    <t>アーボ</t>
  </si>
  <si>
    <t>pm0023_00_00_00.png</t>
  </si>
  <si>
    <t>へびポケモン</t>
  </si>
  <si>
    <t>いかく</t>
  </si>
  <si>
    <t>きんちょうかん</t>
  </si>
  <si>
    <t>0024-000</t>
  </si>
  <si>
    <t>アーボック</t>
  </si>
  <si>
    <t>pm0024_00_00_00.png</t>
  </si>
  <si>
    <t>コブラポケモン</t>
  </si>
  <si>
    <t>0025-000</t>
  </si>
  <si>
    <t>ピカチュウ</t>
  </si>
  <si>
    <t>pm0025_00_00_00.png</t>
  </si>
  <si>
    <t>でんき</t>
  </si>
  <si>
    <t>せいでんき</t>
  </si>
  <si>
    <t>ひらいしん</t>
  </si>
  <si>
    <t>オリジナルキャップ</t>
  </si>
  <si>
    <t>pm0025_11_00_00.png</t>
  </si>
  <si>
    <t>ホウエンキャップ</t>
  </si>
  <si>
    <t>pm0025_12_00_00.png</t>
  </si>
  <si>
    <t>シンオウキャップ</t>
  </si>
  <si>
    <t>pm0025_13_00_00.png</t>
  </si>
  <si>
    <t>イッシュキャップ</t>
  </si>
  <si>
    <t>pm0025_14_00_00.png</t>
  </si>
  <si>
    <t>カロスキャップ</t>
  </si>
  <si>
    <t>pm0025_15_00_00.png</t>
  </si>
  <si>
    <t>アローラキャップ</t>
  </si>
  <si>
    <t>pm0025_16_00_00.png</t>
  </si>
  <si>
    <t>キミにきめたキャップ</t>
  </si>
  <si>
    <t>pm0025_17_00_00.png</t>
  </si>
  <si>
    <t>ワールドキャップ</t>
  </si>
  <si>
    <t>pm0025_18_00_00.png</t>
  </si>
  <si>
    <t>0025-999</t>
  </si>
  <si>
    <t>ピカチュウ(キョダイ)</t>
  </si>
  <si>
    <t>0026-000</t>
  </si>
  <si>
    <t>ライチュウ</t>
  </si>
  <si>
    <t>pm0026_00_00_00.png</t>
  </si>
  <si>
    <t>0026-001</t>
  </si>
  <si>
    <t>ライチュウ(アローラ)</t>
  </si>
  <si>
    <t>pm0026_00_11_00.png</t>
  </si>
  <si>
    <t>エスパー</t>
  </si>
  <si>
    <t>サーフテール</t>
  </si>
  <si>
    <t>0027-000</t>
  </si>
  <si>
    <t>サンド</t>
  </si>
  <si>
    <t>pm0027_00_00_00.png</t>
  </si>
  <si>
    <t>じめん</t>
  </si>
  <si>
    <t>すながくれ</t>
  </si>
  <si>
    <t>すなかき</t>
  </si>
  <si>
    <t>0027-001</t>
  </si>
  <si>
    <t>サンド(アローラ)</t>
  </si>
  <si>
    <t>pm0027_00_11_00.png</t>
  </si>
  <si>
    <t>こおり</t>
  </si>
  <si>
    <t>はがね</t>
  </si>
  <si>
    <t>ゆきがくれ</t>
  </si>
  <si>
    <t>ゆきかき</t>
  </si>
  <si>
    <t>0028-000</t>
  </si>
  <si>
    <t>サンドパン</t>
  </si>
  <si>
    <t>pm0028_00_00_00.png</t>
  </si>
  <si>
    <t>0028-001</t>
  </si>
  <si>
    <t>サンドパン(アローラ)</t>
  </si>
  <si>
    <t>pm0028_00_11_00.png</t>
  </si>
  <si>
    <t>0029-000</t>
  </si>
  <si>
    <t>ニドラン♀</t>
  </si>
  <si>
    <t>どくばりポケモン</t>
  </si>
  <si>
    <t>どくのトゲ</t>
  </si>
  <si>
    <t>とうそうしん</t>
  </si>
  <si>
    <t>0030-000</t>
  </si>
  <si>
    <t>ニドリーナ</t>
  </si>
  <si>
    <t>0031-000</t>
  </si>
  <si>
    <t>ニドクイン</t>
  </si>
  <si>
    <t>ドリルポケモン</t>
  </si>
  <si>
    <t>ちからずく</t>
  </si>
  <si>
    <t>0032-000</t>
  </si>
  <si>
    <t>ニドラン♂</t>
  </si>
  <si>
    <t>0033-000</t>
  </si>
  <si>
    <t>ニドリーノ</t>
  </si>
  <si>
    <t>0034-000</t>
  </si>
  <si>
    <t>ニドキング</t>
  </si>
  <si>
    <t>0035-000</t>
  </si>
  <si>
    <t>ピッピ</t>
  </si>
  <si>
    <t>pm0035_00_00_00.png</t>
  </si>
  <si>
    <t>ようせいポケモン</t>
  </si>
  <si>
    <t>フェアリー</t>
  </si>
  <si>
    <t>メロメロボディ</t>
  </si>
  <si>
    <t>マジックガード</t>
  </si>
  <si>
    <t>フレンドガード</t>
  </si>
  <si>
    <t>0036-000</t>
  </si>
  <si>
    <t>ピクシー</t>
  </si>
  <si>
    <t>pm0036_00_00_00.png</t>
  </si>
  <si>
    <t>てんねん</t>
  </si>
  <si>
    <t>0037-000</t>
  </si>
  <si>
    <t>ロコン</t>
  </si>
  <si>
    <t>pm0037_00_00_00.png</t>
  </si>
  <si>
    <t>きつねポケモン</t>
  </si>
  <si>
    <t>もらいび</t>
  </si>
  <si>
    <t>0037-001</t>
  </si>
  <si>
    <t>ロコン(アローラ)</t>
  </si>
  <si>
    <t>pm0037_00_11_00.png</t>
  </si>
  <si>
    <t>ゆきふらし</t>
  </si>
  <si>
    <t>0038-000</t>
  </si>
  <si>
    <t>キュウコン</t>
  </si>
  <si>
    <t>pm0038_00_00_00.png</t>
  </si>
  <si>
    <t>0038-001</t>
  </si>
  <si>
    <t>キュウコン(アローラ)</t>
  </si>
  <si>
    <t>pm0038_00_11_00.png</t>
  </si>
  <si>
    <t>0039-000</t>
  </si>
  <si>
    <t>プリン</t>
  </si>
  <si>
    <t>pm0039_00_00_00.png</t>
  </si>
  <si>
    <t>ふうせんポケモン</t>
  </si>
  <si>
    <t>かちき</t>
  </si>
  <si>
    <t>0040-000</t>
  </si>
  <si>
    <t>プクリン</t>
  </si>
  <si>
    <t>pm0040_00_00_00.png</t>
  </si>
  <si>
    <t>おみとおし</t>
  </si>
  <si>
    <t>0041-000</t>
  </si>
  <si>
    <t>ズバット</t>
  </si>
  <si>
    <t>こうもりポケモン</t>
  </si>
  <si>
    <t>せいしんりょく</t>
  </si>
  <si>
    <t>すりぬけ</t>
  </si>
  <si>
    <t>0042-000</t>
  </si>
  <si>
    <t>ゴルバット</t>
  </si>
  <si>
    <t>0043-000</t>
  </si>
  <si>
    <t>ナゾノクサ</t>
  </si>
  <si>
    <t>pm0043_00_00_00.png</t>
  </si>
  <si>
    <t>ざっそうポケモン</t>
  </si>
  <si>
    <t>0044-000</t>
  </si>
  <si>
    <t>クサイハナ</t>
  </si>
  <si>
    <t>pm0044_00_00_00.png</t>
  </si>
  <si>
    <t>あくしゅう</t>
  </si>
  <si>
    <t>0045-000</t>
  </si>
  <si>
    <t>ラフレシア</t>
  </si>
  <si>
    <t>pm0045_00_00_00.png</t>
  </si>
  <si>
    <t>フラワーポケモン</t>
  </si>
  <si>
    <t>ほうし</t>
  </si>
  <si>
    <t>0046-000</t>
  </si>
  <si>
    <t>パラス</t>
  </si>
  <si>
    <t>きのこポケモン</t>
  </si>
  <si>
    <t>かんそうはだ</t>
  </si>
  <si>
    <t>しめりけ</t>
  </si>
  <si>
    <t>0047-000</t>
  </si>
  <si>
    <t>パラセクト</t>
  </si>
  <si>
    <t>0048-000</t>
  </si>
  <si>
    <t>コンパン</t>
  </si>
  <si>
    <t>pm0048_00_00_00.png</t>
  </si>
  <si>
    <t>こんちゅうポケモン</t>
  </si>
  <si>
    <t>0049-000</t>
  </si>
  <si>
    <t>モルフォン</t>
  </si>
  <si>
    <t>pm0049_00_00_00.png</t>
  </si>
  <si>
    <t>どくがポケモン</t>
  </si>
  <si>
    <t>ミラクルスキン</t>
  </si>
  <si>
    <t>0050-000</t>
  </si>
  <si>
    <t>ディグダ</t>
  </si>
  <si>
    <t>pm0050_00_00_00.png</t>
  </si>
  <si>
    <t>もぐらポケモン</t>
  </si>
  <si>
    <t>ありじごく</t>
  </si>
  <si>
    <t>すなのちから</t>
  </si>
  <si>
    <t>0050-001</t>
  </si>
  <si>
    <t>ディグダ(アローラ)</t>
  </si>
  <si>
    <t>pm0050_00_11_00.png</t>
  </si>
  <si>
    <t>カーリーヘアー</t>
  </si>
  <si>
    <t>0051-000</t>
  </si>
  <si>
    <t>ダグトリオ</t>
  </si>
  <si>
    <t>pm0051_00_00_00.png</t>
  </si>
  <si>
    <t>0051-001</t>
  </si>
  <si>
    <t>ダグトリオ(アローラ)</t>
  </si>
  <si>
    <t>pm0051_00_11_00.png</t>
  </si>
  <si>
    <t>0052-000</t>
  </si>
  <si>
    <t>ニャース</t>
  </si>
  <si>
    <t>pm0052_00_00_00.png</t>
  </si>
  <si>
    <t>ばけねこポケモン</t>
  </si>
  <si>
    <t>ものひろい</t>
  </si>
  <si>
    <t>テクニシャン</t>
  </si>
  <si>
    <t>0052-001</t>
  </si>
  <si>
    <t>ニャース(アローラ)</t>
  </si>
  <si>
    <t>pm0052_00_11_00.png</t>
  </si>
  <si>
    <t>0052-002</t>
  </si>
  <si>
    <t>ガラルのすがた</t>
  </si>
  <si>
    <t>ニャース(ガラル)</t>
  </si>
  <si>
    <t>pm0052_00_31_00.png</t>
  </si>
  <si>
    <t>0052-999</t>
  </si>
  <si>
    <t>ニャース(キョダイ)</t>
  </si>
  <si>
    <t>0053-000</t>
  </si>
  <si>
    <t>ペルシアン</t>
  </si>
  <si>
    <t>pm0053_00_00_00.png</t>
  </si>
  <si>
    <t>シャムネコポケモン</t>
  </si>
  <si>
    <t>じゅうなん</t>
  </si>
  <si>
    <t>0053-001</t>
  </si>
  <si>
    <t>ペルシアン(アローラ)</t>
  </si>
  <si>
    <t>pm0053_00_11_00.png</t>
  </si>
  <si>
    <t>ファーコート</t>
  </si>
  <si>
    <t>0054-000</t>
  </si>
  <si>
    <t>コダック</t>
  </si>
  <si>
    <t>pm0054_00_00_00.png</t>
  </si>
  <si>
    <t>あひるポケモン</t>
  </si>
  <si>
    <t>ノーてんき</t>
  </si>
  <si>
    <t>すいすい</t>
  </si>
  <si>
    <t>0055-000</t>
  </si>
  <si>
    <t>ゴルダック</t>
  </si>
  <si>
    <t>pm0055_00_00_00.png</t>
  </si>
  <si>
    <t>0056-000</t>
  </si>
  <si>
    <t>マンキー</t>
  </si>
  <si>
    <t>pm0056_00_00_00.png</t>
  </si>
  <si>
    <t>ぶたざるポケモン</t>
  </si>
  <si>
    <t>かくとう</t>
  </si>
  <si>
    <t>やるき</t>
  </si>
  <si>
    <t>いかりのつぼ</t>
  </si>
  <si>
    <t>まけんき</t>
  </si>
  <si>
    <t>0057-000</t>
  </si>
  <si>
    <t>オコリザル</t>
  </si>
  <si>
    <t>pm0057_00_00_00.png</t>
  </si>
  <si>
    <t>0058-000</t>
  </si>
  <si>
    <t>ガーディ</t>
  </si>
  <si>
    <t>pm0058_00_00_00.png</t>
  </si>
  <si>
    <t>こいぬポケモン</t>
  </si>
  <si>
    <t>せいぎのこころ</t>
  </si>
  <si>
    <t>0058-001</t>
  </si>
  <si>
    <t>ヒスイのすがた</t>
  </si>
  <si>
    <t>ガーディ(ヒスイ)</t>
  </si>
  <si>
    <t>pm0058_00_41_00.png</t>
  </si>
  <si>
    <t>みはりポケモン</t>
  </si>
  <si>
    <t>いわ</t>
  </si>
  <si>
    <t>0059-000</t>
  </si>
  <si>
    <t>ウインディ</t>
  </si>
  <si>
    <t>pm0059_00_00_00.png</t>
  </si>
  <si>
    <t>でんせつポケモン</t>
  </si>
  <si>
    <t>0059-001</t>
  </si>
  <si>
    <t>ウインディ(ヒスイ)</t>
  </si>
  <si>
    <t>pm0059_00_41_00.png</t>
  </si>
  <si>
    <t>0060-000</t>
  </si>
  <si>
    <t>ニョロモ</t>
  </si>
  <si>
    <t>pm0060_00_00_00.png</t>
  </si>
  <si>
    <t>おたまポケモン</t>
  </si>
  <si>
    <t>ちょすい</t>
  </si>
  <si>
    <t>0061-000</t>
  </si>
  <si>
    <t>ニョロゾ</t>
  </si>
  <si>
    <t>pm0061_00_00_00.png</t>
  </si>
  <si>
    <t>0062-000</t>
  </si>
  <si>
    <t>ニョロボン</t>
  </si>
  <si>
    <t>pm0062_00_00_00.png</t>
  </si>
  <si>
    <t>0063-000</t>
  </si>
  <si>
    <t>ケーシィ</t>
  </si>
  <si>
    <t>ねんりきポケモン</t>
  </si>
  <si>
    <t>シンクロ</t>
  </si>
  <si>
    <t>0064-000</t>
  </si>
  <si>
    <t>ユンゲラー</t>
  </si>
  <si>
    <t>0065-000</t>
  </si>
  <si>
    <t>フーディン</t>
  </si>
  <si>
    <t>0065-001</t>
  </si>
  <si>
    <t>メガフーディン</t>
  </si>
  <si>
    <t>トレース</t>
  </si>
  <si>
    <t>0066-000</t>
  </si>
  <si>
    <t>ワンリキー</t>
  </si>
  <si>
    <t>かいりきポケモン</t>
  </si>
  <si>
    <t>ふくつのこころ</t>
  </si>
  <si>
    <t>0067-000</t>
  </si>
  <si>
    <t>ゴーリキー</t>
  </si>
  <si>
    <t>0068-000</t>
  </si>
  <si>
    <t>カイリキー</t>
  </si>
  <si>
    <t>0068-999</t>
  </si>
  <si>
    <t>カイリキー(キョダイ)</t>
  </si>
  <si>
    <t>0069-000</t>
  </si>
  <si>
    <t>マダツボミ</t>
  </si>
  <si>
    <t>pm0069_00_00_00.png</t>
  </si>
  <si>
    <t>0070-000</t>
  </si>
  <si>
    <t>ウツドン</t>
  </si>
  <si>
    <t>pm0070_00_00_00.png</t>
  </si>
  <si>
    <t>ハエとりポケモン</t>
  </si>
  <si>
    <t>0071-000</t>
  </si>
  <si>
    <t>ウツボット</t>
  </si>
  <si>
    <t>pm0071_00_00_00.png</t>
  </si>
  <si>
    <t>0072-000</t>
  </si>
  <si>
    <t>メノクラゲ</t>
  </si>
  <si>
    <t>pm0072_00_00_00.png</t>
  </si>
  <si>
    <t>くらげポケモン</t>
  </si>
  <si>
    <t>クリアボディ</t>
  </si>
  <si>
    <t>ヘドロえき</t>
  </si>
  <si>
    <t>0073-000</t>
  </si>
  <si>
    <t>ドククラゲ</t>
  </si>
  <si>
    <t>pm0073_00_00_00.png</t>
  </si>
  <si>
    <t>0074-000</t>
  </si>
  <si>
    <t>イシツブテ</t>
  </si>
  <si>
    <t>pm0074_00_00_00.png</t>
  </si>
  <si>
    <t>がんせきポケモン</t>
  </si>
  <si>
    <t>いしあたま</t>
  </si>
  <si>
    <t>がんじょう</t>
  </si>
  <si>
    <t>0074-001</t>
  </si>
  <si>
    <t>イシツブテ(アローラ)</t>
  </si>
  <si>
    <t>pm0074_00_11_00.png</t>
  </si>
  <si>
    <t>じりょく</t>
  </si>
  <si>
    <t>0075-000</t>
  </si>
  <si>
    <t>ゴローン</t>
  </si>
  <si>
    <t>pm0075_00_00_00.png</t>
  </si>
  <si>
    <t>0075-001</t>
  </si>
  <si>
    <t>ゴローン(アローラ)</t>
  </si>
  <si>
    <t>pm0075_00_11_00.png</t>
  </si>
  <si>
    <t>0076-000</t>
  </si>
  <si>
    <t>ゴローニャ</t>
  </si>
  <si>
    <t>pm0076_00_00_00.png</t>
  </si>
  <si>
    <t>メガトンポケモン</t>
  </si>
  <si>
    <t>0076-001</t>
  </si>
  <si>
    <t>ゴローニャ(アローラ)</t>
  </si>
  <si>
    <t>pm0076_00_11_00.png</t>
  </si>
  <si>
    <t>0077-000</t>
  </si>
  <si>
    <t>ポニータ</t>
  </si>
  <si>
    <t>ひのうまポケモン</t>
  </si>
  <si>
    <t>ほのおのからだ</t>
  </si>
  <si>
    <t>0077-001</t>
  </si>
  <si>
    <t>ポニータ(ガラル)</t>
  </si>
  <si>
    <t>いっかくポケモン</t>
  </si>
  <si>
    <t>パステルベール</t>
  </si>
  <si>
    <t>0078-000</t>
  </si>
  <si>
    <t>ギャロップ</t>
  </si>
  <si>
    <t>0078-001</t>
  </si>
  <si>
    <t>ギャロップ(ガラル)</t>
  </si>
  <si>
    <t>0079-000</t>
  </si>
  <si>
    <t>ヤドン</t>
  </si>
  <si>
    <t>pm0079_00_00_00.png</t>
  </si>
  <si>
    <t>まぬけポケモン</t>
  </si>
  <si>
    <t>どんかん</t>
  </si>
  <si>
    <t>マイペース</t>
  </si>
  <si>
    <t>さいせいりょく</t>
  </si>
  <si>
    <t>0079-001</t>
  </si>
  <si>
    <t>ヤドン(ガラル)</t>
  </si>
  <si>
    <t>pm0079_00_31_00.png</t>
  </si>
  <si>
    <t>0080-000</t>
  </si>
  <si>
    <t>ヤドラン</t>
  </si>
  <si>
    <t>pm0080_00_00_00.png</t>
  </si>
  <si>
    <t>やどかりポケモン</t>
  </si>
  <si>
    <t>0080-001</t>
  </si>
  <si>
    <t>メガヤドラン</t>
  </si>
  <si>
    <t>シェルアーマー</t>
  </si>
  <si>
    <t>0080-002</t>
  </si>
  <si>
    <t>ヤドラン(ガラル)</t>
  </si>
  <si>
    <t>pm0080_00_31_00.png</t>
  </si>
  <si>
    <t>クイックドロウ</t>
  </si>
  <si>
    <t>0081-000</t>
  </si>
  <si>
    <t>コイル</t>
  </si>
  <si>
    <t>pm0081_00_00_00.png</t>
  </si>
  <si>
    <t>じしゃくポケモン</t>
  </si>
  <si>
    <t>アナライズ</t>
  </si>
  <si>
    <t>0082-000</t>
  </si>
  <si>
    <t>レアコイル</t>
  </si>
  <si>
    <t>pm0082_00_00_00.png</t>
  </si>
  <si>
    <t>0083-000</t>
  </si>
  <si>
    <t>カモネギ</t>
  </si>
  <si>
    <t>かるがもポケモン</t>
  </si>
  <si>
    <t>0083-001</t>
  </si>
  <si>
    <t>カモネギ(ガラル)</t>
  </si>
  <si>
    <t>きもったま</t>
  </si>
  <si>
    <t>0084-000</t>
  </si>
  <si>
    <t>ドードー</t>
  </si>
  <si>
    <t>pm0084_00_00_00.png</t>
  </si>
  <si>
    <t>ふたごどりポケモン</t>
  </si>
  <si>
    <t>はやおき</t>
  </si>
  <si>
    <t>0085-000</t>
  </si>
  <si>
    <t>ドードリオ</t>
  </si>
  <si>
    <t>pm0085_00_00_00.png</t>
  </si>
  <si>
    <t>みつごどりポケモン</t>
  </si>
  <si>
    <t>0086-000</t>
  </si>
  <si>
    <t>パウワウ</t>
  </si>
  <si>
    <t>pm0086_00_00_00.png</t>
  </si>
  <si>
    <t>あしかポケモン</t>
  </si>
  <si>
    <t>うるおいボディ</t>
  </si>
  <si>
    <t>アイスボディ</t>
  </si>
  <si>
    <t>0087-000</t>
  </si>
  <si>
    <t>ジュゴン</t>
  </si>
  <si>
    <t>pm0087_00_00_00.png</t>
  </si>
  <si>
    <t>0088-000</t>
  </si>
  <si>
    <t>ベトベター</t>
  </si>
  <si>
    <t>pm0088_00_00_00.png</t>
  </si>
  <si>
    <t>ヘドロポケモン</t>
  </si>
  <si>
    <t>ねんちゃく</t>
  </si>
  <si>
    <t>どくしゅ</t>
  </si>
  <si>
    <t>0088-001</t>
  </si>
  <si>
    <t>ベトベター(アローラ)</t>
  </si>
  <si>
    <t>pm0088_00_11_00.png</t>
  </si>
  <si>
    <t>0089-000</t>
  </si>
  <si>
    <t>ベトベトン</t>
  </si>
  <si>
    <t>pm0089_00_00_00.png</t>
  </si>
  <si>
    <t>0089-001</t>
  </si>
  <si>
    <t>ベトベトン(アローラ)</t>
  </si>
  <si>
    <t>pm0089_00_11_00.png</t>
  </si>
  <si>
    <t>0090-000</t>
  </si>
  <si>
    <t>シェルダー</t>
  </si>
  <si>
    <t>pm0090_00_00_00.png</t>
  </si>
  <si>
    <t>２まいがいポケモン</t>
  </si>
  <si>
    <t>スキルリンク</t>
  </si>
  <si>
    <t>ぼうじん</t>
  </si>
  <si>
    <t>0091-000</t>
  </si>
  <si>
    <t>パルシェン</t>
  </si>
  <si>
    <t>pm0091_00_00_00.png</t>
  </si>
  <si>
    <t>0092-000</t>
  </si>
  <si>
    <t>ゴース</t>
  </si>
  <si>
    <t>pm0092_00_00_00.png</t>
  </si>
  <si>
    <t>ガスじょうポケモン</t>
  </si>
  <si>
    <t>ゴースト</t>
  </si>
  <si>
    <t>ふゆう</t>
  </si>
  <si>
    <t>0093-000</t>
  </si>
  <si>
    <t>pm0093_00_00_00.png</t>
  </si>
  <si>
    <t>0094-000</t>
  </si>
  <si>
    <t>ゲンガー</t>
  </si>
  <si>
    <t>pm0094_00_00_00.png</t>
  </si>
  <si>
    <t>シャドーポケモン</t>
  </si>
  <si>
    <t>のろわれボディ</t>
  </si>
  <si>
    <t>0094-001</t>
  </si>
  <si>
    <t>メガゲンガー</t>
  </si>
  <si>
    <t>かげふみ</t>
  </si>
  <si>
    <t>0094-999</t>
  </si>
  <si>
    <t>ゲンガー(キョダイ)</t>
  </si>
  <si>
    <t>0095-000</t>
  </si>
  <si>
    <t>イワーク</t>
  </si>
  <si>
    <t>いわへびポケモン</t>
  </si>
  <si>
    <t>くだけるよろい</t>
  </si>
  <si>
    <t>0096-000</t>
  </si>
  <si>
    <t>スリープ</t>
  </si>
  <si>
    <t>pm0096_00_00_00.png</t>
  </si>
  <si>
    <t>さいみんポケモン</t>
  </si>
  <si>
    <t>ふみん</t>
  </si>
  <si>
    <t>よちむ</t>
  </si>
  <si>
    <t>0097-000</t>
  </si>
  <si>
    <t>スリーパー</t>
  </si>
  <si>
    <t>pm0097_00_00_00.png</t>
  </si>
  <si>
    <t>0098-000</t>
  </si>
  <si>
    <t>クラブ</t>
  </si>
  <si>
    <t>さわがにポケモン</t>
  </si>
  <si>
    <t>かいりきバサミ</t>
  </si>
  <si>
    <t>0099-000</t>
  </si>
  <si>
    <t>キングラー</t>
  </si>
  <si>
    <t>はさみポケモン</t>
  </si>
  <si>
    <t>0099-999</t>
  </si>
  <si>
    <t>キングラー(キョダイ)</t>
  </si>
  <si>
    <t>0100-000</t>
  </si>
  <si>
    <t>ビリリダマ</t>
  </si>
  <si>
    <t>pm0100_00_00_00.png</t>
  </si>
  <si>
    <t>ボールポケモン</t>
  </si>
  <si>
    <t>ぼうおん</t>
  </si>
  <si>
    <t>ゆうばく</t>
  </si>
  <si>
    <t>0100-001</t>
  </si>
  <si>
    <t>ビリリダマ(ヒスイ)</t>
  </si>
  <si>
    <t>pm0100_00_41_00.png</t>
  </si>
  <si>
    <t>きゅうたいポケモン</t>
  </si>
  <si>
    <t>0101-000</t>
  </si>
  <si>
    <t>マルマイン</t>
  </si>
  <si>
    <t>pm0101_00_00_00.png</t>
  </si>
  <si>
    <t>0101-001</t>
  </si>
  <si>
    <t>マルマイン(ヒスイ)</t>
  </si>
  <si>
    <t>pm0101_00_41_00.png</t>
  </si>
  <si>
    <t>0102-000</t>
  </si>
  <si>
    <t>タマタマ</t>
  </si>
  <si>
    <t>pm0102_00_00_00.png</t>
  </si>
  <si>
    <t>たまごポケモン</t>
  </si>
  <si>
    <t>しゅうかく</t>
  </si>
  <si>
    <t>0103-000</t>
  </si>
  <si>
    <t>ナッシー</t>
  </si>
  <si>
    <t>pm0103_00_00_00.png</t>
  </si>
  <si>
    <t>やしのみポケモン</t>
  </si>
  <si>
    <t>0103-001</t>
  </si>
  <si>
    <t>ナッシー(アローラ)</t>
  </si>
  <si>
    <t>pm0103_00_11_00.png</t>
  </si>
  <si>
    <t>0104-000</t>
  </si>
  <si>
    <t>カラカラ</t>
  </si>
  <si>
    <t>こどくポケモン</t>
  </si>
  <si>
    <t>カブトアーマー</t>
  </si>
  <si>
    <t>0105-000</t>
  </si>
  <si>
    <t>ガラガラ</t>
  </si>
  <si>
    <t>ほねずきポケモン</t>
  </si>
  <si>
    <t>0105-001</t>
  </si>
  <si>
    <t>ガラガラ(アローラ)</t>
  </si>
  <si>
    <t>0106-000</t>
  </si>
  <si>
    <t>サワムラー</t>
  </si>
  <si>
    <t>pm0106_00_00_00.png</t>
  </si>
  <si>
    <t>キックポケモン</t>
  </si>
  <si>
    <t>すてみ</t>
  </si>
  <si>
    <t>かるわざ</t>
  </si>
  <si>
    <t>0107-000</t>
  </si>
  <si>
    <t>エビワラー</t>
  </si>
  <si>
    <t>pm0107_00_00_00.png</t>
  </si>
  <si>
    <t>パンチポケモン</t>
  </si>
  <si>
    <t>てつのこぶし</t>
  </si>
  <si>
    <t>0108-000</t>
  </si>
  <si>
    <t>ベロリンガ</t>
  </si>
  <si>
    <t>なめまわしポケモン</t>
  </si>
  <si>
    <t>0109-000</t>
  </si>
  <si>
    <t>ドガース</t>
  </si>
  <si>
    <t>pm0109_00_00_00.png</t>
  </si>
  <si>
    <t>どくガスポケモン</t>
  </si>
  <si>
    <t>かがくへんかガス</t>
  </si>
  <si>
    <t>0110-000</t>
  </si>
  <si>
    <t>マタドガス</t>
  </si>
  <si>
    <t>pm0110_00_00_00.png</t>
  </si>
  <si>
    <t>0110-001</t>
  </si>
  <si>
    <t>マタドガス(ガラル)</t>
  </si>
  <si>
    <t>pm0110_00_31_00.png</t>
  </si>
  <si>
    <t>0111-000</t>
  </si>
  <si>
    <t>サイホーン</t>
  </si>
  <si>
    <t>pm0111_00_00_00.png</t>
  </si>
  <si>
    <t>とげとげポケモン</t>
  </si>
  <si>
    <t>0112-000</t>
  </si>
  <si>
    <t>サイドン</t>
  </si>
  <si>
    <t>pm0112_00_00_00.png</t>
  </si>
  <si>
    <t>0113-000</t>
  </si>
  <si>
    <t>ラッキー</t>
  </si>
  <si>
    <t>pm0113_00_00_00.png</t>
  </si>
  <si>
    <t>しぜんかいふく</t>
  </si>
  <si>
    <t>てんのめぐみ</t>
  </si>
  <si>
    <t>いやしのこころ</t>
  </si>
  <si>
    <t>0114-000</t>
  </si>
  <si>
    <t>モンジャラ</t>
  </si>
  <si>
    <t>ツルじょうポケモン</t>
  </si>
  <si>
    <t>リーフガード</t>
  </si>
  <si>
    <t>0115-000</t>
  </si>
  <si>
    <t>ガルーラ</t>
  </si>
  <si>
    <t>おやこポケモン</t>
  </si>
  <si>
    <t>0115-001</t>
  </si>
  <si>
    <t>メガガルーラ</t>
  </si>
  <si>
    <t>おやこあい</t>
  </si>
  <si>
    <t>0116-000</t>
  </si>
  <si>
    <t>タッツー</t>
  </si>
  <si>
    <t>pm0116_00_00_00.png</t>
  </si>
  <si>
    <t>ドラゴンポケモン</t>
  </si>
  <si>
    <t>0117-000</t>
  </si>
  <si>
    <t>シードラ</t>
  </si>
  <si>
    <t>pm0117_00_00_00.png</t>
  </si>
  <si>
    <t>0118-000</t>
  </si>
  <si>
    <t>トサキント</t>
  </si>
  <si>
    <t>きんぎょポケモン</t>
  </si>
  <si>
    <t>みずのベール</t>
  </si>
  <si>
    <t>0119-000</t>
  </si>
  <si>
    <t>アズマオウ</t>
  </si>
  <si>
    <t>0120-000</t>
  </si>
  <si>
    <t>ヒトデマン</t>
  </si>
  <si>
    <t>ほしがたポケモン</t>
  </si>
  <si>
    <t>はっこう</t>
  </si>
  <si>
    <t>0121-000</t>
  </si>
  <si>
    <t>スターミー</t>
  </si>
  <si>
    <t>なぞのポケモン</t>
  </si>
  <si>
    <t>0122-000</t>
  </si>
  <si>
    <t>バリヤード</t>
  </si>
  <si>
    <t>バリアーポケモン</t>
  </si>
  <si>
    <t>フィルター</t>
  </si>
  <si>
    <t>0122-001</t>
  </si>
  <si>
    <t>バリヤード(ガラル)</t>
  </si>
  <si>
    <t>ダンスポケモン</t>
  </si>
  <si>
    <t>バリアフリー</t>
  </si>
  <si>
    <t>0123-000</t>
  </si>
  <si>
    <t>ストライク</t>
  </si>
  <si>
    <t>pm0123_00_00_00.png</t>
  </si>
  <si>
    <t>かまきりポケモン</t>
  </si>
  <si>
    <t>0124-000</t>
  </si>
  <si>
    <t>ルージュラ</t>
  </si>
  <si>
    <t>ひとがたポケモン</t>
  </si>
  <si>
    <t>0125-000</t>
  </si>
  <si>
    <t>エレブー</t>
  </si>
  <si>
    <t>pm0125_00_00_00.png</t>
  </si>
  <si>
    <t>でんげきポケモン</t>
  </si>
  <si>
    <t>0126-000</t>
  </si>
  <si>
    <t>ブーバー</t>
  </si>
  <si>
    <t>pm0126_00_00_00.png</t>
  </si>
  <si>
    <t>ひふきポケモン</t>
  </si>
  <si>
    <t>0127-000</t>
  </si>
  <si>
    <t>カイロス</t>
  </si>
  <si>
    <t>くわがたポケモン</t>
  </si>
  <si>
    <t>かたやぶり</t>
  </si>
  <si>
    <t>じしんかじょう</t>
  </si>
  <si>
    <t>0127-001</t>
  </si>
  <si>
    <t>メガカイロス</t>
  </si>
  <si>
    <t>スカイスキン</t>
  </si>
  <si>
    <t>0128-000</t>
  </si>
  <si>
    <t>ケンタロス</t>
  </si>
  <si>
    <t>pm0128_00_00_00.png</t>
  </si>
  <si>
    <t>あばれうしポケモン</t>
  </si>
  <si>
    <t>0128-001</t>
  </si>
  <si>
    <t>パルデアのすがた</t>
  </si>
  <si>
    <t>ケンタロス(パルデア闘)</t>
  </si>
  <si>
    <t>pm0128_11_51_00.png</t>
  </si>
  <si>
    <t>0128-002</t>
  </si>
  <si>
    <t>ケンタロス(パルデア炎)</t>
  </si>
  <si>
    <t>pm0128_12_51_00.png</t>
  </si>
  <si>
    <t>0128-003</t>
  </si>
  <si>
    <t>ケンタロス(パルデア水)</t>
  </si>
  <si>
    <t>pm0128_13_51_00.png</t>
  </si>
  <si>
    <t>0129-000</t>
  </si>
  <si>
    <t>コイキング</t>
  </si>
  <si>
    <t>pm0129_00_00_00.png</t>
  </si>
  <si>
    <t>さかなポケモン</t>
  </si>
  <si>
    <t>びびり</t>
  </si>
  <si>
    <t>0130-000</t>
  </si>
  <si>
    <t>ギャラドス</t>
  </si>
  <si>
    <t>pm0130_00_00_00.png</t>
  </si>
  <si>
    <t>きょうあくポケモン</t>
  </si>
  <si>
    <t>0130-001</t>
  </si>
  <si>
    <t>メガギャラドス</t>
  </si>
  <si>
    <t>0131-000</t>
  </si>
  <si>
    <t>ラプラス</t>
  </si>
  <si>
    <t>pm0131_00_00_00.png</t>
  </si>
  <si>
    <t>のりものポケモン</t>
  </si>
  <si>
    <t>0131-999</t>
  </si>
  <si>
    <t>ラプラス(キョダイ)</t>
  </si>
  <si>
    <t>0132-000</t>
  </si>
  <si>
    <t>メタモン</t>
  </si>
  <si>
    <t>pm0132_00_00_00.png</t>
  </si>
  <si>
    <t>へんしんポケモン</t>
  </si>
  <si>
    <t>かわりもの</t>
  </si>
  <si>
    <t>0133-000</t>
  </si>
  <si>
    <t>イーブイ</t>
  </si>
  <si>
    <t>pm0133_00_00_00.png</t>
  </si>
  <si>
    <t>しんかポケモン</t>
  </si>
  <si>
    <t>きけんよち</t>
  </si>
  <si>
    <t>0133-999</t>
  </si>
  <si>
    <t>イーブイ(キョダイ)</t>
  </si>
  <si>
    <t>0134-000</t>
  </si>
  <si>
    <t>シャワーズ</t>
  </si>
  <si>
    <t>pm0134_00_00_00.png</t>
  </si>
  <si>
    <t>あわはきポケモン</t>
  </si>
  <si>
    <t>0135-000</t>
  </si>
  <si>
    <t>サンダース</t>
  </si>
  <si>
    <t>pm0135_00_00_00.png</t>
  </si>
  <si>
    <t>かみなりポケモン</t>
  </si>
  <si>
    <t>ちくでん</t>
  </si>
  <si>
    <t>はやあし</t>
  </si>
  <si>
    <t>0136-000</t>
  </si>
  <si>
    <t>ブースター</t>
  </si>
  <si>
    <t>pm0136_00_00_00.png</t>
  </si>
  <si>
    <t>ほのおポケモン</t>
  </si>
  <si>
    <t>0137-000</t>
  </si>
  <si>
    <t>ポリゴン</t>
  </si>
  <si>
    <t>pm0137_00_00_00.png</t>
  </si>
  <si>
    <t>バーチャルポケモン</t>
  </si>
  <si>
    <t>ダウンロード</t>
  </si>
  <si>
    <t>0138-000</t>
  </si>
  <si>
    <t>オムナイト</t>
  </si>
  <si>
    <t>うずまきポケモン</t>
  </si>
  <si>
    <t>0139-000</t>
  </si>
  <si>
    <t>オムスター</t>
  </si>
  <si>
    <t>0140-000</t>
  </si>
  <si>
    <t>カブト</t>
  </si>
  <si>
    <t>0141-000</t>
  </si>
  <si>
    <t>カブトプス</t>
  </si>
  <si>
    <t>0142-000</t>
  </si>
  <si>
    <t>プテラ</t>
  </si>
  <si>
    <t>かせきポケモン</t>
  </si>
  <si>
    <t>プレッシャー</t>
  </si>
  <si>
    <t>0142-001</t>
  </si>
  <si>
    <t>メガプテラ</t>
  </si>
  <si>
    <t>0143-000</t>
  </si>
  <si>
    <t>カビゴン</t>
  </si>
  <si>
    <t>pm0143_00_00_00.png</t>
  </si>
  <si>
    <t>いねむりポケモン</t>
  </si>
  <si>
    <t>めんえき</t>
  </si>
  <si>
    <t>0143-999</t>
  </si>
  <si>
    <t>カビゴン(キョダイ)</t>
  </si>
  <si>
    <t>0144-000</t>
  </si>
  <si>
    <t>フリーザー</t>
  </si>
  <si>
    <t>pm0144_00_00_00.png</t>
  </si>
  <si>
    <t>れいとうポケモン</t>
  </si>
  <si>
    <t>0144-001</t>
  </si>
  <si>
    <t>フリーザー(ガラル)</t>
  </si>
  <si>
    <t>pm0144_00_31_00.png</t>
  </si>
  <si>
    <t>れいこくポケモン</t>
  </si>
  <si>
    <t>0145-000</t>
  </si>
  <si>
    <t>サンダー</t>
  </si>
  <si>
    <t>pm0145_00_00_00.png</t>
  </si>
  <si>
    <t>0145-001</t>
  </si>
  <si>
    <t>サンダー(ガラル)</t>
  </si>
  <si>
    <t>pm0145_00_31_00.png</t>
  </si>
  <si>
    <t>けんきゃくポケモン</t>
  </si>
  <si>
    <t>0146-000</t>
  </si>
  <si>
    <t>ファイヤー</t>
  </si>
  <si>
    <t>pm0146_00_00_00.png</t>
  </si>
  <si>
    <t>0146-001</t>
  </si>
  <si>
    <t>ファイヤー(ガラル)</t>
  </si>
  <si>
    <t>pm0146_00_31_00.png</t>
  </si>
  <si>
    <t>じゃあくポケモン</t>
  </si>
  <si>
    <t>ぎゃくじょう</t>
  </si>
  <si>
    <t>0147-000</t>
  </si>
  <si>
    <t>ミニリュウ</t>
  </si>
  <si>
    <t>pm0147_00_00_00.png</t>
  </si>
  <si>
    <t>ふしぎなうろこ</t>
  </si>
  <si>
    <t>0148-000</t>
  </si>
  <si>
    <t>ハクリュー</t>
  </si>
  <si>
    <t>pm0148_00_00_00.png</t>
  </si>
  <si>
    <t>0149-000</t>
  </si>
  <si>
    <t>カイリュー</t>
  </si>
  <si>
    <t>pm0149_00_00_00.png</t>
  </si>
  <si>
    <t>マルチスケイル</t>
  </si>
  <si>
    <t>0150-000</t>
  </si>
  <si>
    <t>ミュウツー</t>
  </si>
  <si>
    <t>pm0150_00_00_00.png</t>
  </si>
  <si>
    <t>いでんしポケモン</t>
  </si>
  <si>
    <t>0150-001</t>
  </si>
  <si>
    <t>メガミュウツーＸ</t>
  </si>
  <si>
    <t>0150-002</t>
  </si>
  <si>
    <t>メガミュウツーＹ</t>
  </si>
  <si>
    <t>0151-000</t>
  </si>
  <si>
    <t>ミュウ</t>
  </si>
  <si>
    <t>pm0151_00_00_00.png</t>
  </si>
  <si>
    <t>しんしゅポケモン</t>
  </si>
  <si>
    <t>0152-000</t>
  </si>
  <si>
    <t>チコリータ</t>
  </si>
  <si>
    <t>pm0152_00_00_00.png</t>
  </si>
  <si>
    <t>はっぱポケモン</t>
  </si>
  <si>
    <t>0153-000</t>
  </si>
  <si>
    <t>ベイリーフ</t>
  </si>
  <si>
    <t>pm0153_00_00_00.png</t>
  </si>
  <si>
    <t>0154-000</t>
  </si>
  <si>
    <t>メガニウム</t>
  </si>
  <si>
    <t>pm0154_00_00_00.png</t>
  </si>
  <si>
    <t>ハーブポケモン</t>
  </si>
  <si>
    <t>0155-000</t>
  </si>
  <si>
    <t>ヒノアラシ</t>
  </si>
  <si>
    <t>pm0155_00_00_00.png</t>
  </si>
  <si>
    <t>ひねずみポケモン</t>
  </si>
  <si>
    <t>0156-000</t>
  </si>
  <si>
    <t>マグマラシ</t>
  </si>
  <si>
    <t>pm0156_00_00_00.png</t>
  </si>
  <si>
    <t>かざんポケモン</t>
  </si>
  <si>
    <t>0157-000</t>
  </si>
  <si>
    <t>バクフーン</t>
  </si>
  <si>
    <t>pm0157_00_00_00.png</t>
  </si>
  <si>
    <t>0157-001</t>
  </si>
  <si>
    <t>バクフーン(ヒスイ)</t>
  </si>
  <si>
    <t>pm0157_00_41_00.png</t>
  </si>
  <si>
    <t>おにびポケモン</t>
  </si>
  <si>
    <t>0158-000</t>
  </si>
  <si>
    <t>ワニノコ</t>
  </si>
  <si>
    <t>pm0158_00_00_00.png</t>
  </si>
  <si>
    <t>おおあごポケモン</t>
  </si>
  <si>
    <t>0159-000</t>
  </si>
  <si>
    <t>アリゲイツ</t>
  </si>
  <si>
    <t>pm0159_00_00_00.png</t>
  </si>
  <si>
    <t>0160-000</t>
  </si>
  <si>
    <t>オーダイル</t>
  </si>
  <si>
    <t>pm0160_00_00_00.png</t>
  </si>
  <si>
    <t>0161-000</t>
  </si>
  <si>
    <t>オタチ</t>
  </si>
  <si>
    <t>pm0161_00_00_00.png</t>
  </si>
  <si>
    <t>0162-000</t>
  </si>
  <si>
    <t>オオタチ</t>
  </si>
  <si>
    <t>pm0162_00_00_00.png</t>
  </si>
  <si>
    <t>どうながポケモン</t>
  </si>
  <si>
    <t>0163-000</t>
  </si>
  <si>
    <t>ホーホー</t>
  </si>
  <si>
    <t>pm0163_00_00_00.png</t>
  </si>
  <si>
    <t>ふくろうポケモン</t>
  </si>
  <si>
    <t>0164-000</t>
  </si>
  <si>
    <t>ヨルノズク</t>
  </si>
  <si>
    <t>pm0164_00_00_00.png</t>
  </si>
  <si>
    <t>0165-000</t>
  </si>
  <si>
    <t>レディバ</t>
  </si>
  <si>
    <t>いつつぼしポケモン</t>
  </si>
  <si>
    <t>0166-000</t>
  </si>
  <si>
    <t>レディアン</t>
  </si>
  <si>
    <t>0167-000</t>
  </si>
  <si>
    <t>イトマル</t>
  </si>
  <si>
    <t>pm0167_00_00_00.png</t>
  </si>
  <si>
    <t>いとはきポケモン</t>
  </si>
  <si>
    <t>0168-000</t>
  </si>
  <si>
    <t>アリアドス</t>
  </si>
  <si>
    <t>pm0168_00_00_00.png</t>
  </si>
  <si>
    <t>あしながポケモン</t>
  </si>
  <si>
    <t>0169-000</t>
  </si>
  <si>
    <t>クロバット</t>
  </si>
  <si>
    <t>0170-000</t>
  </si>
  <si>
    <t>チョンチー</t>
  </si>
  <si>
    <t>pm0170_00_00_00.png</t>
  </si>
  <si>
    <t>あんこうポケモン</t>
  </si>
  <si>
    <t>0171-000</t>
  </si>
  <si>
    <t>ランターン</t>
  </si>
  <si>
    <t>pm0171_00_00_00.png</t>
  </si>
  <si>
    <t>ライトポケモン</t>
  </si>
  <si>
    <t>0172-000</t>
  </si>
  <si>
    <t>ピチュー</t>
  </si>
  <si>
    <t>pm0172_00_00_00.png</t>
  </si>
  <si>
    <t>こねずみポケモン</t>
  </si>
  <si>
    <t>0173-000</t>
  </si>
  <si>
    <t>ピィ</t>
  </si>
  <si>
    <t>pm0173_00_00_00.png</t>
  </si>
  <si>
    <t>0174-000</t>
  </si>
  <si>
    <t>ププリン</t>
  </si>
  <si>
    <t>pm0174_00_00_00.png</t>
  </si>
  <si>
    <t>0175-000</t>
  </si>
  <si>
    <t>トゲピー</t>
  </si>
  <si>
    <t>はりたまポケモン</t>
  </si>
  <si>
    <t>きょううん</t>
  </si>
  <si>
    <t>0176-000</t>
  </si>
  <si>
    <t>トゲチック</t>
  </si>
  <si>
    <t>しあわせポケモン</t>
  </si>
  <si>
    <t>0177-000</t>
  </si>
  <si>
    <t>ネイティ</t>
  </si>
  <si>
    <t>マジックミラー</t>
  </si>
  <si>
    <t>0178-000</t>
  </si>
  <si>
    <t>ネイティオ</t>
  </si>
  <si>
    <t>せいれいポケモン</t>
  </si>
  <si>
    <t>0179-000</t>
  </si>
  <si>
    <t>メリープ</t>
  </si>
  <si>
    <t>pm0179_00_00_00.png</t>
  </si>
  <si>
    <t>わたげポケモン</t>
  </si>
  <si>
    <t>プラス</t>
  </si>
  <si>
    <t>0180-000</t>
  </si>
  <si>
    <t>モココ</t>
  </si>
  <si>
    <t>pm0180_00_00_00.png</t>
  </si>
  <si>
    <t>0181-000</t>
  </si>
  <si>
    <t>デンリュウ</t>
  </si>
  <si>
    <t>pm0181_00_00_00.png</t>
  </si>
  <si>
    <t>0181-001</t>
  </si>
  <si>
    <t>メガデンリュウ</t>
  </si>
  <si>
    <t>0182-000</t>
  </si>
  <si>
    <t>キレイハナ</t>
  </si>
  <si>
    <t>pm0182_00_00_00.png</t>
  </si>
  <si>
    <t>0183-000</t>
  </si>
  <si>
    <t>マリル</t>
  </si>
  <si>
    <t>pm0183_00_00_00.png</t>
  </si>
  <si>
    <t>みずねずみポケモン</t>
  </si>
  <si>
    <t>ちからもち</t>
  </si>
  <si>
    <t>そうしょく</t>
  </si>
  <si>
    <t>0184-000</t>
  </si>
  <si>
    <t>マリルリ</t>
  </si>
  <si>
    <t>pm0184_00_00_00.png</t>
  </si>
  <si>
    <t>みずうさぎポケモン</t>
  </si>
  <si>
    <t>0185-000</t>
  </si>
  <si>
    <t>ウソッキー</t>
  </si>
  <si>
    <t>pm0185_00_00_00.png</t>
  </si>
  <si>
    <t>まねポケモン</t>
  </si>
  <si>
    <t>0186-000</t>
  </si>
  <si>
    <t>ニョロトノ</t>
  </si>
  <si>
    <t>pm0186_00_00_00.png</t>
  </si>
  <si>
    <t>かえるポケモン</t>
  </si>
  <si>
    <t>あめふらし</t>
  </si>
  <si>
    <t>0187-000</t>
  </si>
  <si>
    <t>ハネッコ</t>
  </si>
  <si>
    <t>pm0187_00_00_00.png</t>
  </si>
  <si>
    <t>わたくさポケモン</t>
  </si>
  <si>
    <t>0188-000</t>
  </si>
  <si>
    <t>ポポッコ</t>
  </si>
  <si>
    <t>pm0188_00_00_00.png</t>
  </si>
  <si>
    <t>0189-000</t>
  </si>
  <si>
    <t>ワタッコ</t>
  </si>
  <si>
    <t>pm0189_00_00_00.png</t>
  </si>
  <si>
    <t>0190-000</t>
  </si>
  <si>
    <t>エイパム</t>
  </si>
  <si>
    <t>pm0190_00_00_00.png</t>
  </si>
  <si>
    <t>おながポケモン</t>
  </si>
  <si>
    <t>0191-000</t>
  </si>
  <si>
    <t>ヒマナッツ</t>
  </si>
  <si>
    <t>pm0191_00_00_00.png</t>
  </si>
  <si>
    <t>0192-000</t>
  </si>
  <si>
    <t>キマワリ</t>
  </si>
  <si>
    <t>pm0192_00_00_00.png</t>
  </si>
  <si>
    <t>たいようポケモン</t>
  </si>
  <si>
    <t>0193-000</t>
  </si>
  <si>
    <t>ヤンヤンマ</t>
  </si>
  <si>
    <t>pm0193_00_00_00.png</t>
  </si>
  <si>
    <t>うすばねポケモン</t>
  </si>
  <si>
    <t>かそく</t>
  </si>
  <si>
    <t>0194-000</t>
  </si>
  <si>
    <t>ウパー</t>
  </si>
  <si>
    <t>pm0194_00_00_00.png</t>
  </si>
  <si>
    <t>みずうおポケモン</t>
  </si>
  <si>
    <t>0194-001</t>
  </si>
  <si>
    <t>ウパー(パルデア)</t>
  </si>
  <si>
    <t>pm0194_00_51_00.png</t>
  </si>
  <si>
    <t>どくうおポケモン</t>
  </si>
  <si>
    <t>0195-000</t>
  </si>
  <si>
    <t>ヌオー</t>
  </si>
  <si>
    <t>pm0195_00_00_00.png</t>
  </si>
  <si>
    <t>0196-000</t>
  </si>
  <si>
    <t>エーフィ</t>
  </si>
  <si>
    <t>pm0196_00_00_00.png</t>
  </si>
  <si>
    <t>0197-000</t>
  </si>
  <si>
    <t>ブラッキー</t>
  </si>
  <si>
    <t>pm0197_00_00_00.png</t>
  </si>
  <si>
    <t>げっこうポケモン</t>
  </si>
  <si>
    <t>0198-000</t>
  </si>
  <si>
    <t>ヤミカラス</t>
  </si>
  <si>
    <t>pm0198_00_00_00.png</t>
  </si>
  <si>
    <t>くらやみポケモン</t>
  </si>
  <si>
    <t>いたずらごころ</t>
  </si>
  <si>
    <t>0199-000</t>
  </si>
  <si>
    <t>ヤドキング</t>
  </si>
  <si>
    <t>pm0199_00_00_00.png</t>
  </si>
  <si>
    <t>おうじゃポケモン</t>
  </si>
  <si>
    <t>0199-001</t>
  </si>
  <si>
    <t>ヤドキング(ガラル)</t>
  </si>
  <si>
    <t>pm0199_00_31_00.png</t>
  </si>
  <si>
    <t>じゅじゅつしポケモン</t>
  </si>
  <si>
    <t>きみょうなくすり</t>
  </si>
  <si>
    <t>0200-000</t>
  </si>
  <si>
    <t>ムウマ</t>
  </si>
  <si>
    <t>pm0200_00_00_00.png</t>
  </si>
  <si>
    <t>よなきポケモン</t>
  </si>
  <si>
    <t>0201-000</t>
  </si>
  <si>
    <t>アンノーン</t>
  </si>
  <si>
    <t>あるすがた</t>
  </si>
  <si>
    <t>シンボルポケモン</t>
  </si>
  <si>
    <t>0202-000</t>
  </si>
  <si>
    <t>ソーナンス</t>
  </si>
  <si>
    <t>がまんポケモン</t>
  </si>
  <si>
    <t>テレパシー</t>
  </si>
  <si>
    <t>0203-000</t>
  </si>
  <si>
    <t>キリンリキ</t>
  </si>
  <si>
    <t>pm0203_00_00_00.png</t>
  </si>
  <si>
    <t>くびながポケモン</t>
  </si>
  <si>
    <t>0204-000</t>
  </si>
  <si>
    <t>クヌギダマ</t>
  </si>
  <si>
    <t>pm0204_00_00_00.png</t>
  </si>
  <si>
    <t>みのむしポケモン</t>
  </si>
  <si>
    <t>0205-000</t>
  </si>
  <si>
    <t>フォレトス</t>
  </si>
  <si>
    <t>pm0205_00_00_00.png</t>
  </si>
  <si>
    <t>0206-000</t>
  </si>
  <si>
    <t>ノコッチ</t>
  </si>
  <si>
    <t>pm0206_00_00_00.png</t>
  </si>
  <si>
    <t>つちへびポケモン</t>
  </si>
  <si>
    <t>0207-000</t>
  </si>
  <si>
    <t>グライガー</t>
  </si>
  <si>
    <t>pm0207_00_00_00.png</t>
  </si>
  <si>
    <t>とびさそりポケモン</t>
  </si>
  <si>
    <t>0208-000</t>
  </si>
  <si>
    <t>ハガネール</t>
  </si>
  <si>
    <t>てつへびポケモン</t>
  </si>
  <si>
    <t>0208-001</t>
  </si>
  <si>
    <t>メガハガネール</t>
  </si>
  <si>
    <t>0209-000</t>
  </si>
  <si>
    <t>ブルー</t>
  </si>
  <si>
    <t>pm0209_00_00_00.png</t>
  </si>
  <si>
    <t>0210-000</t>
  </si>
  <si>
    <t>グランブル</t>
  </si>
  <si>
    <t>pm0210_00_00_00.png</t>
  </si>
  <si>
    <t>0211-000</t>
  </si>
  <si>
    <t>ハリーセン</t>
  </si>
  <si>
    <t>pm0211_00_00_00.png</t>
  </si>
  <si>
    <t>0211-001</t>
  </si>
  <si>
    <t>ハリーセン(ヒスイ)</t>
  </si>
  <si>
    <t>pm0211_00_41_00.png</t>
  </si>
  <si>
    <t>0212-000</t>
  </si>
  <si>
    <t>ハッサム</t>
  </si>
  <si>
    <t>pm0212_00_00_00.png</t>
  </si>
  <si>
    <t>ライトメタル</t>
  </si>
  <si>
    <t>0212-001</t>
  </si>
  <si>
    <t>メガハッサム</t>
  </si>
  <si>
    <t>0213-000</t>
  </si>
  <si>
    <t>ツボツボ</t>
  </si>
  <si>
    <t>はっこうポケモン</t>
  </si>
  <si>
    <t>あまのじゃく</t>
  </si>
  <si>
    <t>0214-000</t>
  </si>
  <si>
    <t>ヘラクロス</t>
  </si>
  <si>
    <t>pm0214_00_00_00.png</t>
  </si>
  <si>
    <t>１ぽんヅノポケモン</t>
  </si>
  <si>
    <t>0214-001</t>
  </si>
  <si>
    <t>メガヘラクロス</t>
  </si>
  <si>
    <t>0215-000</t>
  </si>
  <si>
    <t>ニューラ</t>
  </si>
  <si>
    <t>pm0215_00_00_00.png</t>
  </si>
  <si>
    <t>かぎづめポケモン</t>
  </si>
  <si>
    <t>わるいてぐせ</t>
  </si>
  <si>
    <t>0215-001</t>
  </si>
  <si>
    <t>ニューラ(ヒスイ)</t>
  </si>
  <si>
    <t>pm0215_00_41_00.png</t>
  </si>
  <si>
    <t>0216-000</t>
  </si>
  <si>
    <t>ヒメグマ</t>
  </si>
  <si>
    <t>pm0216_00_00_00.png</t>
  </si>
  <si>
    <t>こぐまポケモン</t>
  </si>
  <si>
    <t>みつあつめ</t>
  </si>
  <si>
    <t>0217-000</t>
  </si>
  <si>
    <t>リングマ</t>
  </si>
  <si>
    <t>pm0217_00_00_00.png</t>
  </si>
  <si>
    <t>とうみんポケモン</t>
  </si>
  <si>
    <t>0218-000</t>
  </si>
  <si>
    <t>マグマッグ</t>
  </si>
  <si>
    <t>pm0218_00_00_00.png</t>
  </si>
  <si>
    <t>ようがんポケモン</t>
  </si>
  <si>
    <t>マグマのよろい</t>
  </si>
  <si>
    <t>0219-000</t>
  </si>
  <si>
    <t>マグカルゴ</t>
  </si>
  <si>
    <t>pm0219_00_00_00.png</t>
  </si>
  <si>
    <t>0220-000</t>
  </si>
  <si>
    <t>ウリムー</t>
  </si>
  <si>
    <t>pm0220_00_00_00.png</t>
  </si>
  <si>
    <t>いのぶたポケモン</t>
  </si>
  <si>
    <t>0221-000</t>
  </si>
  <si>
    <t>イノムー</t>
  </si>
  <si>
    <t>pm0221_00_00_00.png</t>
  </si>
  <si>
    <t>いのししポケモン</t>
  </si>
  <si>
    <t>0222-000</t>
  </si>
  <si>
    <t>サニーゴ</t>
  </si>
  <si>
    <t>さんごポケモン</t>
  </si>
  <si>
    <t>0222-001</t>
  </si>
  <si>
    <t>サニーゴ(ガラル)</t>
  </si>
  <si>
    <t>0223-000</t>
  </si>
  <si>
    <t>テッポウオ</t>
  </si>
  <si>
    <t>ふんしゃポケモン</t>
  </si>
  <si>
    <t>ムラっけ</t>
  </si>
  <si>
    <t>0224-000</t>
  </si>
  <si>
    <t>オクタン</t>
  </si>
  <si>
    <t>きゅうばん</t>
  </si>
  <si>
    <t>0225-000</t>
  </si>
  <si>
    <t>デリバード</t>
  </si>
  <si>
    <t>pm0225_00_00_00.png</t>
  </si>
  <si>
    <t>はこびやポケモン</t>
  </si>
  <si>
    <t>0226-000</t>
  </si>
  <si>
    <t>マンタイン</t>
  </si>
  <si>
    <t>カイトポケモン</t>
  </si>
  <si>
    <t>0227-000</t>
  </si>
  <si>
    <t>エアームド</t>
  </si>
  <si>
    <t>pm0227_00_00_00.png</t>
  </si>
  <si>
    <t>よろいどりポケモン</t>
  </si>
  <si>
    <t>0228-000</t>
  </si>
  <si>
    <t>デルビル</t>
  </si>
  <si>
    <t>pm0228_00_00_00.png</t>
  </si>
  <si>
    <t>ダークポケモン</t>
  </si>
  <si>
    <t>0229-000</t>
  </si>
  <si>
    <t>ヘルガー</t>
  </si>
  <si>
    <t>pm0229_00_00_00.png</t>
  </si>
  <si>
    <t>0229-001</t>
  </si>
  <si>
    <t>メガヘルガー</t>
  </si>
  <si>
    <t>0230-000</t>
  </si>
  <si>
    <t>キングドラ</t>
  </si>
  <si>
    <t>pm0230_00_00_00.png</t>
  </si>
  <si>
    <t>0231-000</t>
  </si>
  <si>
    <t>ゴマゾウ</t>
  </si>
  <si>
    <t>pm0231_00_00_00.png</t>
  </si>
  <si>
    <t>ながはなポケモン</t>
  </si>
  <si>
    <t>0232-000</t>
  </si>
  <si>
    <t>ドンファン</t>
  </si>
  <si>
    <t>pm0232_00_00_00.png</t>
  </si>
  <si>
    <t>よろいポケモン</t>
  </si>
  <si>
    <t>0233-000</t>
  </si>
  <si>
    <t>ポリゴン２</t>
  </si>
  <si>
    <t>pm0233_00_00_00.png</t>
  </si>
  <si>
    <t>0234-000</t>
  </si>
  <si>
    <t>オドシシ</t>
  </si>
  <si>
    <t>pm0234_00_00_00.png</t>
  </si>
  <si>
    <t>おおツノポケモン</t>
  </si>
  <si>
    <t>0235-000</t>
  </si>
  <si>
    <t>ドーブル</t>
  </si>
  <si>
    <t>pm0235_00_00_00.png</t>
  </si>
  <si>
    <t>えかきポケモン</t>
  </si>
  <si>
    <t>0236-000</t>
  </si>
  <si>
    <t>バルキー</t>
  </si>
  <si>
    <t>pm0236_00_00_00.png</t>
  </si>
  <si>
    <t>けんかポケモン</t>
  </si>
  <si>
    <t>0237-000</t>
  </si>
  <si>
    <t>カポエラー</t>
  </si>
  <si>
    <t>pm0237_00_00_00.png</t>
  </si>
  <si>
    <t>さかだちポケモン</t>
  </si>
  <si>
    <t>0238-000</t>
  </si>
  <si>
    <t>ムチュール</t>
  </si>
  <si>
    <t>くちづけポケモン</t>
  </si>
  <si>
    <t>0239-000</t>
  </si>
  <si>
    <t>エレキッド</t>
  </si>
  <si>
    <t>pm0239_00_00_00.png</t>
  </si>
  <si>
    <t>でんきポケモン</t>
  </si>
  <si>
    <t>0240-000</t>
  </si>
  <si>
    <t>ブビィ</t>
  </si>
  <si>
    <t>pm0240_00_00_00.png</t>
  </si>
  <si>
    <t>ひだねポケモン</t>
  </si>
  <si>
    <t>0241-000</t>
  </si>
  <si>
    <t>ミルタンク</t>
  </si>
  <si>
    <t>ちちうしポケモン</t>
  </si>
  <si>
    <t>0242-000</t>
  </si>
  <si>
    <t>ハピナス</t>
  </si>
  <si>
    <t>pm0242_00_00_00.png</t>
  </si>
  <si>
    <t>0243-000</t>
  </si>
  <si>
    <t>ライコウ</t>
  </si>
  <si>
    <t>pm0243_00_00_00.png</t>
  </si>
  <si>
    <t>いかずちポケモン</t>
  </si>
  <si>
    <t>0244-000</t>
  </si>
  <si>
    <t>エンテイ</t>
  </si>
  <si>
    <t>pm0244_00_00_00.png</t>
  </si>
  <si>
    <t>0245-000</t>
  </si>
  <si>
    <t>スイクン</t>
  </si>
  <si>
    <t>pm0245_00_00_00.png</t>
  </si>
  <si>
    <t>オーロラポケモン</t>
  </si>
  <si>
    <t>0246-000</t>
  </si>
  <si>
    <t>ヨーギラス</t>
  </si>
  <si>
    <t>pm0246_00_00_00.png</t>
  </si>
  <si>
    <t>いわはだポケモン</t>
  </si>
  <si>
    <t>0247-000</t>
  </si>
  <si>
    <t>サナギラス</t>
  </si>
  <si>
    <t>pm0247_00_00_00.png</t>
  </si>
  <si>
    <t>だんがんポケモン</t>
  </si>
  <si>
    <t>0248-000</t>
  </si>
  <si>
    <t>バンギラス</t>
  </si>
  <si>
    <t>pm0248_00_00_00.png</t>
  </si>
  <si>
    <t>すなおこし</t>
  </si>
  <si>
    <t>0248-001</t>
  </si>
  <si>
    <t>メガバンギラス</t>
  </si>
  <si>
    <t>0249-000</t>
  </si>
  <si>
    <t>ルギア</t>
  </si>
  <si>
    <t>pm0249_00_00_00.png</t>
  </si>
  <si>
    <t>せんすいポケモン</t>
  </si>
  <si>
    <t>0250-000</t>
  </si>
  <si>
    <t>ホウオウ</t>
  </si>
  <si>
    <t>pm0250_00_00_00.png</t>
  </si>
  <si>
    <t>にじいろポケモン</t>
  </si>
  <si>
    <t>0251-000</t>
  </si>
  <si>
    <t>セレビィ</t>
  </si>
  <si>
    <t>ときわたりポケモン</t>
  </si>
  <si>
    <t>0252-000</t>
  </si>
  <si>
    <t>キモリ</t>
  </si>
  <si>
    <t>pm0252_00_00_00.png</t>
  </si>
  <si>
    <t>もりトカゲポケモン</t>
  </si>
  <si>
    <t>0253-000</t>
  </si>
  <si>
    <t>ジュプトル</t>
  </si>
  <si>
    <t>pm0253_00_00_00.png</t>
  </si>
  <si>
    <t>0254-000</t>
  </si>
  <si>
    <t>ジュカイン</t>
  </si>
  <si>
    <t>pm0254_00_00_00.png</t>
  </si>
  <si>
    <t>みつりんポケモン</t>
  </si>
  <si>
    <t>0254-001</t>
  </si>
  <si>
    <t>メガジュカイン</t>
  </si>
  <si>
    <t>0255-000</t>
  </si>
  <si>
    <t>アチャモ</t>
  </si>
  <si>
    <t>pm0255_00_00_00.png</t>
  </si>
  <si>
    <t>ひよこポケモン</t>
  </si>
  <si>
    <t>0256-000</t>
  </si>
  <si>
    <t>ワカシャモ</t>
  </si>
  <si>
    <t>pm0256_00_00_00.png</t>
  </si>
  <si>
    <t>わかどりポケモン</t>
  </si>
  <si>
    <t>0257-000</t>
  </si>
  <si>
    <t>バシャーモ</t>
  </si>
  <si>
    <t>pm0257_00_00_00.png</t>
  </si>
  <si>
    <t>もうかポケモン</t>
  </si>
  <si>
    <t>0257-001</t>
  </si>
  <si>
    <t>メガバシャーモ</t>
  </si>
  <si>
    <t>0258-000</t>
  </si>
  <si>
    <t>ミズゴロウ</t>
  </si>
  <si>
    <t>pm0258_00_00_00.png</t>
  </si>
  <si>
    <t>ぬまうおポケモン</t>
  </si>
  <si>
    <t>0259-000</t>
  </si>
  <si>
    <t>ヌマクロー</t>
  </si>
  <si>
    <t>pm0259_00_00_00.png</t>
  </si>
  <si>
    <t>0260-000</t>
  </si>
  <si>
    <t>ラグラージ</t>
  </si>
  <si>
    <t>pm0260_00_00_00.png</t>
  </si>
  <si>
    <t>0260-001</t>
  </si>
  <si>
    <t>メガラグラージ</t>
  </si>
  <si>
    <t>0261-000</t>
  </si>
  <si>
    <t>ポチエナ</t>
  </si>
  <si>
    <t>pm0261_00_00_00.png</t>
  </si>
  <si>
    <t>かみつきポケモン</t>
  </si>
  <si>
    <t>0262-000</t>
  </si>
  <si>
    <t>グラエナ</t>
  </si>
  <si>
    <t>pm0262_00_00_00.png</t>
  </si>
  <si>
    <t>0263-000</t>
  </si>
  <si>
    <t>ジグザグマ</t>
  </si>
  <si>
    <t>まめだぬきポケモン</t>
  </si>
  <si>
    <t>0263-001</t>
  </si>
  <si>
    <t>ジグザグマ(ガラル)</t>
  </si>
  <si>
    <t>0264-000</t>
  </si>
  <si>
    <t>マッスグマ</t>
  </si>
  <si>
    <t>とっしんポケモン</t>
  </si>
  <si>
    <t>0264-001</t>
  </si>
  <si>
    <t>マッスグマ(ガラル)</t>
  </si>
  <si>
    <t>0265-000</t>
  </si>
  <si>
    <t>ケムッソ</t>
  </si>
  <si>
    <t>0266-000</t>
  </si>
  <si>
    <t>カラサリス</t>
  </si>
  <si>
    <t>0267-000</t>
  </si>
  <si>
    <t>アゲハント</t>
  </si>
  <si>
    <t>0268-000</t>
  </si>
  <si>
    <t>マユルド</t>
  </si>
  <si>
    <t>0269-000</t>
  </si>
  <si>
    <t>ドクケイル</t>
  </si>
  <si>
    <t>0270-000</t>
  </si>
  <si>
    <t>ハスボー</t>
  </si>
  <si>
    <t>pm0270_00_00_00.png</t>
  </si>
  <si>
    <t>うきくさポケモン</t>
  </si>
  <si>
    <t>0271-000</t>
  </si>
  <si>
    <t>ハスブレロ</t>
  </si>
  <si>
    <t>pm0271_00_00_00.png</t>
  </si>
  <si>
    <t>ようきポケモン</t>
  </si>
  <si>
    <t>0272-000</t>
  </si>
  <si>
    <t>ルンパッパ</t>
  </si>
  <si>
    <t>pm0272_00_00_00.png</t>
  </si>
  <si>
    <t>のうてんきポケモン</t>
  </si>
  <si>
    <t>0273-000</t>
  </si>
  <si>
    <t>タネボー</t>
  </si>
  <si>
    <t>pm0273_00_00_00.png</t>
  </si>
  <si>
    <t>どんぐりポケモン</t>
  </si>
  <si>
    <t>0274-000</t>
  </si>
  <si>
    <t>コノハナ</t>
  </si>
  <si>
    <t>pm0274_00_00_00.png</t>
  </si>
  <si>
    <t>いじわるポケモン</t>
  </si>
  <si>
    <t>0275-000</t>
  </si>
  <si>
    <t>ダーテング</t>
  </si>
  <si>
    <t>pm0275_00_00_00.png</t>
  </si>
  <si>
    <t>よこしまポケモン</t>
  </si>
  <si>
    <t>かぜのり</t>
  </si>
  <si>
    <t>0276-000</t>
  </si>
  <si>
    <t>スバメ</t>
  </si>
  <si>
    <t>こツバメポケモン</t>
  </si>
  <si>
    <t>0277-000</t>
  </si>
  <si>
    <t>オオスバメ</t>
  </si>
  <si>
    <t>ツバメポケモン</t>
  </si>
  <si>
    <t>0278-000</t>
  </si>
  <si>
    <t>キャモメ</t>
  </si>
  <si>
    <t>pm0278_00_00_00.png</t>
  </si>
  <si>
    <t>うみねこポケモン</t>
  </si>
  <si>
    <t>0279-000</t>
  </si>
  <si>
    <t>ペリッパー</t>
  </si>
  <si>
    <t>pm0279_00_00_00.png</t>
  </si>
  <si>
    <t>みずどりポケモン</t>
  </si>
  <si>
    <t>0280-000</t>
  </si>
  <si>
    <t>ラルトス</t>
  </si>
  <si>
    <t>pm0280_00_00_00.png</t>
  </si>
  <si>
    <t>きもちポケモン</t>
  </si>
  <si>
    <t>0281-000</t>
  </si>
  <si>
    <t>キルリア</t>
  </si>
  <si>
    <t>pm0281_00_00_00.png</t>
  </si>
  <si>
    <t>かんじょうポケモン</t>
  </si>
  <si>
    <t>0282-000</t>
  </si>
  <si>
    <t>サーナイト</t>
  </si>
  <si>
    <t>pm0282_00_00_00.png</t>
  </si>
  <si>
    <t>ほうようポケモン</t>
  </si>
  <si>
    <t>0282-001</t>
  </si>
  <si>
    <t>メガサーナイト</t>
  </si>
  <si>
    <t>フェアリースキン</t>
  </si>
  <si>
    <t>0283-000</t>
  </si>
  <si>
    <t>アメタマ</t>
  </si>
  <si>
    <t>pm0283_00_00_00.png</t>
  </si>
  <si>
    <t>あめんぼポケモン</t>
  </si>
  <si>
    <t>0284-000</t>
  </si>
  <si>
    <t>アメモース</t>
  </si>
  <si>
    <t>pm0284_00_00_00.png</t>
  </si>
  <si>
    <t>めだまポケモン</t>
  </si>
  <si>
    <t>0285-000</t>
  </si>
  <si>
    <t>キノココ</t>
  </si>
  <si>
    <t>pm0285_00_00_00.png</t>
  </si>
  <si>
    <t>ポイズンヒール</t>
  </si>
  <si>
    <t>0286-000</t>
  </si>
  <si>
    <t>キノガッサ</t>
  </si>
  <si>
    <t>pm0286_00_00_00.png</t>
  </si>
  <si>
    <t>0287-000</t>
  </si>
  <si>
    <t>ナマケロ</t>
  </si>
  <si>
    <t>pm0287_00_00_00.png</t>
  </si>
  <si>
    <t>なまけものポケモン</t>
  </si>
  <si>
    <t>なまけ</t>
  </si>
  <si>
    <t>0288-000</t>
  </si>
  <si>
    <t>ヤルキモノ</t>
  </si>
  <si>
    <t>pm0288_00_00_00.png</t>
  </si>
  <si>
    <t>あばれザルポケモン</t>
  </si>
  <si>
    <t>0289-000</t>
  </si>
  <si>
    <t>ケッキング</t>
  </si>
  <si>
    <t>pm0289_00_00_00.png</t>
  </si>
  <si>
    <t>ものぐさポケモン</t>
  </si>
  <si>
    <t>0290-000</t>
  </si>
  <si>
    <t>ツチニン</t>
  </si>
  <si>
    <t>したづみポケモン</t>
  </si>
  <si>
    <t>0291-000</t>
  </si>
  <si>
    <t>テッカニン</t>
  </si>
  <si>
    <t>しのびポケモン</t>
  </si>
  <si>
    <t>0292-000</t>
  </si>
  <si>
    <t>ヌケニン</t>
  </si>
  <si>
    <t>ぬけがらポケモン</t>
  </si>
  <si>
    <t>ふしぎなまもり</t>
  </si>
  <si>
    <t>0293-000</t>
  </si>
  <si>
    <t>ゴニョニョ</t>
  </si>
  <si>
    <t>ささやきポケモン</t>
  </si>
  <si>
    <t>0294-000</t>
  </si>
  <si>
    <t>ドゴーム</t>
  </si>
  <si>
    <t>おおごえポケモン</t>
  </si>
  <si>
    <t>0295-000</t>
  </si>
  <si>
    <t>バクオング</t>
  </si>
  <si>
    <t>そうおんポケモン</t>
  </si>
  <si>
    <t>0296-000</t>
  </si>
  <si>
    <t>マクノシタ</t>
  </si>
  <si>
    <t>pm0296_00_00_00.png</t>
  </si>
  <si>
    <t>こんじょうポケモン</t>
  </si>
  <si>
    <t>0297-000</t>
  </si>
  <si>
    <t>ハリテヤマ</t>
  </si>
  <si>
    <t>pm0297_00_00_00.png</t>
  </si>
  <si>
    <t>つっぱりポケモン</t>
  </si>
  <si>
    <t>0298-000</t>
  </si>
  <si>
    <t>ルリリ</t>
  </si>
  <si>
    <t>pm0298_00_00_00.png</t>
  </si>
  <si>
    <t>みずたまポケモン</t>
  </si>
  <si>
    <t>0299-000</t>
  </si>
  <si>
    <t>ノズパス</t>
  </si>
  <si>
    <t>pm0299_00_00_00.png</t>
  </si>
  <si>
    <t>コンパスポケモン</t>
  </si>
  <si>
    <t>0300-000</t>
  </si>
  <si>
    <t>エネコ</t>
  </si>
  <si>
    <t>こねこポケモン</t>
  </si>
  <si>
    <t>ノーマルスキン</t>
  </si>
  <si>
    <t>0301-000</t>
  </si>
  <si>
    <t>エネコロロ</t>
  </si>
  <si>
    <t>おすましポケモン</t>
  </si>
  <si>
    <t>0302-000</t>
  </si>
  <si>
    <t>ヤミラミ</t>
  </si>
  <si>
    <t>pm0302_00_00_00.png</t>
  </si>
  <si>
    <t>あとだし</t>
  </si>
  <si>
    <t>0302-001</t>
  </si>
  <si>
    <t>メガヤミラミ</t>
  </si>
  <si>
    <t>0303-000</t>
  </si>
  <si>
    <t>クチート</t>
  </si>
  <si>
    <t>あざむきポケモン</t>
  </si>
  <si>
    <t>0303-001</t>
  </si>
  <si>
    <t>メガクチート</t>
  </si>
  <si>
    <t>0304-000</t>
  </si>
  <si>
    <t>ココドラ</t>
  </si>
  <si>
    <t>てつヨロイポケモン</t>
  </si>
  <si>
    <t>ヘヴィメタル</t>
  </si>
  <si>
    <t>0305-000</t>
  </si>
  <si>
    <t>コドラ</t>
  </si>
  <si>
    <t>0306-000</t>
  </si>
  <si>
    <t>ボスゴドラ</t>
  </si>
  <si>
    <t>0306-001</t>
  </si>
  <si>
    <t>メガボスゴドラ</t>
  </si>
  <si>
    <t>0307-000</t>
  </si>
  <si>
    <t>アサナン</t>
  </si>
  <si>
    <t>pm0307_00_00_00.png</t>
  </si>
  <si>
    <t>めいそうポケモン</t>
  </si>
  <si>
    <t>ヨガパワー</t>
  </si>
  <si>
    <t>0308-000</t>
  </si>
  <si>
    <t>チャーレム</t>
  </si>
  <si>
    <t>pm0308_00_00_00.png</t>
  </si>
  <si>
    <t>0308-001</t>
  </si>
  <si>
    <t>メガチャーレム</t>
  </si>
  <si>
    <t>0309-000</t>
  </si>
  <si>
    <t>ラクライ</t>
  </si>
  <si>
    <t>いなずまポケモン</t>
  </si>
  <si>
    <t>マイナス</t>
  </si>
  <si>
    <t>0310-000</t>
  </si>
  <si>
    <t>ライボルト</t>
  </si>
  <si>
    <t>ほうでんポケモン</t>
  </si>
  <si>
    <t>0310-001</t>
  </si>
  <si>
    <t>メガライボルト</t>
  </si>
  <si>
    <t>0311-000</t>
  </si>
  <si>
    <t>プラスル</t>
  </si>
  <si>
    <t>pm0311_00_00_00.png</t>
  </si>
  <si>
    <t>おうえんポケモン</t>
  </si>
  <si>
    <t>0312-000</t>
  </si>
  <si>
    <t>マイナン</t>
  </si>
  <si>
    <t>pm0312_00_00_00.png</t>
  </si>
  <si>
    <t>0313-000</t>
  </si>
  <si>
    <t>バルビート</t>
  </si>
  <si>
    <t>pm0313_00_00_00.png</t>
  </si>
  <si>
    <t>ほたるポケモン</t>
  </si>
  <si>
    <t>0314-000</t>
  </si>
  <si>
    <t>イルミーゼ</t>
  </si>
  <si>
    <t>pm0314_00_00_00.png</t>
  </si>
  <si>
    <t>0315-000</t>
  </si>
  <si>
    <t>ロゼリア</t>
  </si>
  <si>
    <t>いばらポケモン</t>
  </si>
  <si>
    <t>0316-000</t>
  </si>
  <si>
    <t>ゴクリン</t>
  </si>
  <si>
    <t>pm0316_00_00_00.png</t>
  </si>
  <si>
    <t>いぶくろポケモン</t>
  </si>
  <si>
    <t>0317-000</t>
  </si>
  <si>
    <t>マルノーム</t>
  </si>
  <si>
    <t>pm0317_00_00_00.png</t>
  </si>
  <si>
    <t>どくぶくろポケモン</t>
  </si>
  <si>
    <t>0318-000</t>
  </si>
  <si>
    <t>キバニア</t>
  </si>
  <si>
    <t>どうもうポケモン</t>
  </si>
  <si>
    <t>さめはだ</t>
  </si>
  <si>
    <t>0319-000</t>
  </si>
  <si>
    <t>サメハダー</t>
  </si>
  <si>
    <t>きょうぼうポケモン</t>
  </si>
  <si>
    <t>0319-001</t>
  </si>
  <si>
    <t>メガサメハダー</t>
  </si>
  <si>
    <t>がんじょうあご</t>
  </si>
  <si>
    <t>0320-000</t>
  </si>
  <si>
    <t>ホエルコ</t>
  </si>
  <si>
    <t>たまくじらポケモン</t>
  </si>
  <si>
    <t>0321-000</t>
  </si>
  <si>
    <t>ホエルオー</t>
  </si>
  <si>
    <t>うきくじらポケモン</t>
  </si>
  <si>
    <t>0322-000</t>
  </si>
  <si>
    <t>ドンメル</t>
  </si>
  <si>
    <t>pm0322_00_00_00.png</t>
  </si>
  <si>
    <t>どんかんポケモン</t>
  </si>
  <si>
    <t>たんじゅん</t>
  </si>
  <si>
    <t>0323-000</t>
  </si>
  <si>
    <t>バクーダ</t>
  </si>
  <si>
    <t>pm0323_00_00_00.png</t>
  </si>
  <si>
    <t>ふんかポケモン</t>
  </si>
  <si>
    <t>ハードロック</t>
  </si>
  <si>
    <t>0323-001</t>
  </si>
  <si>
    <t>メガバクーダ</t>
  </si>
  <si>
    <t>0324-000</t>
  </si>
  <si>
    <t>コータス</t>
  </si>
  <si>
    <t>pm0324_00_00_00.png</t>
  </si>
  <si>
    <t>せきたんポケモン</t>
  </si>
  <si>
    <t>しろいけむり</t>
  </si>
  <si>
    <t>0325-000</t>
  </si>
  <si>
    <t>バネブー</t>
  </si>
  <si>
    <t>pm0325_00_00_00.png</t>
  </si>
  <si>
    <t>とびはねポケモン</t>
  </si>
  <si>
    <t>0326-000</t>
  </si>
  <si>
    <t>ブーピッグ</t>
  </si>
  <si>
    <t>pm0326_00_00_00.png</t>
  </si>
  <si>
    <t>あやつりポケモン</t>
  </si>
  <si>
    <t>0327-000</t>
  </si>
  <si>
    <t>パッチール</t>
  </si>
  <si>
    <t>ぶちパンダポケモン</t>
  </si>
  <si>
    <t>0328-000</t>
  </si>
  <si>
    <t>ナックラー</t>
  </si>
  <si>
    <t>pm0328_00_00_00.png</t>
  </si>
  <si>
    <t>ありじごくポケモン</t>
  </si>
  <si>
    <t>0329-000</t>
  </si>
  <si>
    <t>ビブラーバ</t>
  </si>
  <si>
    <t>pm0329_00_00_00.png</t>
  </si>
  <si>
    <t>しんどうポケモン</t>
  </si>
  <si>
    <t>0330-000</t>
  </si>
  <si>
    <t>フライゴン</t>
  </si>
  <si>
    <t>pm0330_00_00_00.png</t>
  </si>
  <si>
    <t>0331-000</t>
  </si>
  <si>
    <t>サボネア</t>
  </si>
  <si>
    <t>pm0331_00_00_00.png</t>
  </si>
  <si>
    <t>サボテンポケモン</t>
  </si>
  <si>
    <t>0332-000</t>
  </si>
  <si>
    <t>ノクタス</t>
  </si>
  <si>
    <t>pm0332_00_00_00.png</t>
  </si>
  <si>
    <t>カカシぐさポケモン</t>
  </si>
  <si>
    <t>0333-000</t>
  </si>
  <si>
    <t>チルット</t>
  </si>
  <si>
    <t>pm0333_00_00_00.png</t>
  </si>
  <si>
    <t>わたどりポケモン</t>
  </si>
  <si>
    <t>0334-000</t>
  </si>
  <si>
    <t>チルタリス</t>
  </si>
  <si>
    <t>pm0334_00_00_00.png</t>
  </si>
  <si>
    <t>ハミングポケモン</t>
  </si>
  <si>
    <t>0334-001</t>
  </si>
  <si>
    <t>メガチルタリス</t>
  </si>
  <si>
    <t>0335-000</t>
  </si>
  <si>
    <t>ザングース</t>
  </si>
  <si>
    <t>pm0335_00_00_00.png</t>
  </si>
  <si>
    <t>ネコイタチポケモン</t>
  </si>
  <si>
    <t>どくぼうそう</t>
  </si>
  <si>
    <t>0336-000</t>
  </si>
  <si>
    <t>ハブネーク</t>
  </si>
  <si>
    <t>pm0336_00_00_00.png</t>
  </si>
  <si>
    <t>キバへびポケモン</t>
  </si>
  <si>
    <t>0337-000</t>
  </si>
  <si>
    <t>ルナトーン</t>
  </si>
  <si>
    <t>いんせきポケモン</t>
  </si>
  <si>
    <t>0338-000</t>
  </si>
  <si>
    <t>ソルロック</t>
  </si>
  <si>
    <t>0339-000</t>
  </si>
  <si>
    <t>ドジョッチ</t>
  </si>
  <si>
    <t>pm0339_00_00_00.png</t>
  </si>
  <si>
    <t>ひげうおポケモン</t>
  </si>
  <si>
    <t>0340-000</t>
  </si>
  <si>
    <t>ナマズン</t>
  </si>
  <si>
    <t>pm0340_00_00_00.png</t>
  </si>
  <si>
    <t>0341-000</t>
  </si>
  <si>
    <t>ヘイガニ</t>
  </si>
  <si>
    <t>pm0341_00_00_00.png</t>
  </si>
  <si>
    <t>ごろつきポケモン</t>
  </si>
  <si>
    <t>0342-000</t>
  </si>
  <si>
    <t>シザリガー</t>
  </si>
  <si>
    <t>pm0342_00_00_00.png</t>
  </si>
  <si>
    <t>ならずものポケモン</t>
  </si>
  <si>
    <t>0343-000</t>
  </si>
  <si>
    <t>ヤジロン</t>
  </si>
  <si>
    <t>どぐうポケモン</t>
  </si>
  <si>
    <t>0344-000</t>
  </si>
  <si>
    <t>ネンドール</t>
  </si>
  <si>
    <t>0345-000</t>
  </si>
  <si>
    <t>リリーラ</t>
  </si>
  <si>
    <t>ウミユリポケモン</t>
  </si>
  <si>
    <t>よびみず</t>
  </si>
  <si>
    <t>0346-000</t>
  </si>
  <si>
    <t>ユレイドル</t>
  </si>
  <si>
    <t>いわつぼポケモン</t>
  </si>
  <si>
    <t>0347-000</t>
  </si>
  <si>
    <t>アノプス</t>
  </si>
  <si>
    <t>むかしエビポケモン</t>
  </si>
  <si>
    <t>0348-000</t>
  </si>
  <si>
    <t>アーマルド</t>
  </si>
  <si>
    <t>かっちゅうポケモン</t>
  </si>
  <si>
    <t>0349-000</t>
  </si>
  <si>
    <t>ヒンバス</t>
  </si>
  <si>
    <t>pm0349_00_00_00.png</t>
  </si>
  <si>
    <t>0350-000</t>
  </si>
  <si>
    <t>ミロカロス</t>
  </si>
  <si>
    <t>pm0350_00_00_00.png</t>
  </si>
  <si>
    <t>いつくしみポケモン</t>
  </si>
  <si>
    <t>0351-000</t>
  </si>
  <si>
    <t>ポワルン</t>
  </si>
  <si>
    <t>ポワルンのすがた</t>
  </si>
  <si>
    <t>てんきポケモン</t>
  </si>
  <si>
    <t>てんきや</t>
  </si>
  <si>
    <t>0352-000</t>
  </si>
  <si>
    <t>カクレオン</t>
  </si>
  <si>
    <t>いろへんげポケモン</t>
  </si>
  <si>
    <t>へんしょく</t>
  </si>
  <si>
    <t>へんげんじざい</t>
  </si>
  <si>
    <t>0353-000</t>
  </si>
  <si>
    <t>カゲボウズ</t>
  </si>
  <si>
    <t>pm0353_00_00_00.png</t>
  </si>
  <si>
    <t>にんぎょうポケモン</t>
  </si>
  <si>
    <t>0354-000</t>
  </si>
  <si>
    <t>ジュペッタ</t>
  </si>
  <si>
    <t>pm0354_00_00_00.png</t>
  </si>
  <si>
    <t>ぬいぐるみポケモン</t>
  </si>
  <si>
    <t>0354-001</t>
  </si>
  <si>
    <t>メガジュペッタ</t>
  </si>
  <si>
    <t>0355-000</t>
  </si>
  <si>
    <t>ヨマワル</t>
  </si>
  <si>
    <t>pm0355_00_00_00.png</t>
  </si>
  <si>
    <t>おむかえポケモン</t>
  </si>
  <si>
    <t>0356-000</t>
  </si>
  <si>
    <t>サマヨール</t>
  </si>
  <si>
    <t>pm0356_00_00_00.png</t>
  </si>
  <si>
    <t>てまねきポケモン</t>
  </si>
  <si>
    <t>0357-000</t>
  </si>
  <si>
    <t>トロピウス</t>
  </si>
  <si>
    <t>pm0357_00_00_00.png</t>
  </si>
  <si>
    <t>フルーツポケモン</t>
  </si>
  <si>
    <t>0358-000</t>
  </si>
  <si>
    <t>チリーン</t>
  </si>
  <si>
    <t>pm0358_00_00_00.png</t>
  </si>
  <si>
    <t>ふうりんポケモン</t>
  </si>
  <si>
    <t>0359-000</t>
  </si>
  <si>
    <t>アブソル</t>
  </si>
  <si>
    <t>わざわいポケモン</t>
  </si>
  <si>
    <t>0359-001</t>
  </si>
  <si>
    <t>メガアブソル</t>
  </si>
  <si>
    <t>0360-000</t>
  </si>
  <si>
    <t>ソーナノ</t>
  </si>
  <si>
    <t>ほがらかポケモン</t>
  </si>
  <si>
    <t>0361-000</t>
  </si>
  <si>
    <t>ユキワラシ</t>
  </si>
  <si>
    <t>pm0361_00_00_00.png</t>
  </si>
  <si>
    <t>ゆきかさポケモン</t>
  </si>
  <si>
    <t>0362-000</t>
  </si>
  <si>
    <t>オニゴーリ</t>
  </si>
  <si>
    <t>pm0362_00_00_00.png</t>
  </si>
  <si>
    <t>がんめんポケモン</t>
  </si>
  <si>
    <t>0362-001</t>
  </si>
  <si>
    <t>メガオニゴーリ</t>
  </si>
  <si>
    <t>フリーズスキン</t>
  </si>
  <si>
    <t>0363-000</t>
  </si>
  <si>
    <t>タマザラシ</t>
  </si>
  <si>
    <t>てたたきポケモン</t>
  </si>
  <si>
    <t>0364-000</t>
  </si>
  <si>
    <t>トドグラー</t>
  </si>
  <si>
    <t>たままわしポケモン</t>
  </si>
  <si>
    <t>0365-000</t>
  </si>
  <si>
    <t>トドゼルガ</t>
  </si>
  <si>
    <t>こおりわりポケモン</t>
  </si>
  <si>
    <t>0366-000</t>
  </si>
  <si>
    <t>パールル</t>
  </si>
  <si>
    <t>0367-000</t>
  </si>
  <si>
    <t>ハンテール</t>
  </si>
  <si>
    <t>しんかいポケモン</t>
  </si>
  <si>
    <t>0368-000</t>
  </si>
  <si>
    <t>サクラビス</t>
  </si>
  <si>
    <t>なんかいポケモン</t>
  </si>
  <si>
    <t>0369-000</t>
  </si>
  <si>
    <t>ジーランス</t>
  </si>
  <si>
    <t>ちょうじゅポケモン</t>
  </si>
  <si>
    <t>0370-000</t>
  </si>
  <si>
    <t>ラブカス</t>
  </si>
  <si>
    <t>pm0370_00_00_00.png</t>
  </si>
  <si>
    <t>ランデブーポケモン</t>
  </si>
  <si>
    <t>0371-000</t>
  </si>
  <si>
    <t>タツベイ</t>
  </si>
  <si>
    <t>pm0371_00_00_00.png</t>
  </si>
  <si>
    <t>いしあたまポケモン</t>
  </si>
  <si>
    <t>0372-000</t>
  </si>
  <si>
    <t>コモルー</t>
  </si>
  <si>
    <t>pm0372_00_00_00.png</t>
  </si>
  <si>
    <t>にんたいポケモン</t>
  </si>
  <si>
    <t>0373-000</t>
  </si>
  <si>
    <t>ボーマンダ</t>
  </si>
  <si>
    <t>pm0373_00_00_00.png</t>
  </si>
  <si>
    <t>0373-001</t>
  </si>
  <si>
    <t>メガボーマンダ</t>
  </si>
  <si>
    <t>0374-000</t>
  </si>
  <si>
    <t>ダンバル</t>
  </si>
  <si>
    <t>pm0374_00_00_00.png</t>
  </si>
  <si>
    <t>てっきゅうポケモン</t>
  </si>
  <si>
    <t>0375-000</t>
  </si>
  <si>
    <t>メタング</t>
  </si>
  <si>
    <t>pm0375_00_00_00.png</t>
  </si>
  <si>
    <t>てつツメポケモン</t>
  </si>
  <si>
    <t>0376-000</t>
  </si>
  <si>
    <t>メタグロス</t>
  </si>
  <si>
    <t>pm0376_00_00_00.png</t>
  </si>
  <si>
    <t>てつあしポケモン</t>
  </si>
  <si>
    <t>0376-001</t>
  </si>
  <si>
    <t>メガメタグロス</t>
  </si>
  <si>
    <t>0377-000</t>
  </si>
  <si>
    <t>レジロック</t>
  </si>
  <si>
    <t>pm0377_00_00_00.png</t>
  </si>
  <si>
    <t>いわやまポケモン</t>
  </si>
  <si>
    <t>0378-000</t>
  </si>
  <si>
    <t>レジアイス</t>
  </si>
  <si>
    <t>pm0378_00_00_00.png</t>
  </si>
  <si>
    <t>ひょうざんポケモン</t>
  </si>
  <si>
    <t>0379-000</t>
  </si>
  <si>
    <t>レジスチル</t>
  </si>
  <si>
    <t>pm0379_00_00_00.png</t>
  </si>
  <si>
    <t>くろがねポケモン</t>
  </si>
  <si>
    <t>0380-000</t>
  </si>
  <si>
    <t>ラティアス</t>
  </si>
  <si>
    <t>pm0380_00_00_00.png</t>
  </si>
  <si>
    <t>むげんポケモン</t>
  </si>
  <si>
    <t>0380-001</t>
  </si>
  <si>
    <t>メガラティアス</t>
  </si>
  <si>
    <t>0381-000</t>
  </si>
  <si>
    <t>ラティオス</t>
  </si>
  <si>
    <t>pm0381_00_00_00.png</t>
  </si>
  <si>
    <t>0381-001</t>
  </si>
  <si>
    <t>メガラティオス</t>
  </si>
  <si>
    <t>0382-000</t>
  </si>
  <si>
    <t>カイオーガ</t>
  </si>
  <si>
    <t>カイオーガのすがた</t>
  </si>
  <si>
    <t>pm0382_00_00_00.png</t>
  </si>
  <si>
    <t>かいていポケモン</t>
  </si>
  <si>
    <t>0382-001</t>
  </si>
  <si>
    <t>ゲンシカイキのすがた</t>
  </si>
  <si>
    <t>カイオーガ(ゲンシカイキ)</t>
  </si>
  <si>
    <t>はじまりのうみ</t>
  </si>
  <si>
    <t>0383-000</t>
  </si>
  <si>
    <t>グラードン</t>
  </si>
  <si>
    <t>グラードンのすがた</t>
  </si>
  <si>
    <t>pm0383_00_00_00.png</t>
  </si>
  <si>
    <t>たいりくポケモン</t>
  </si>
  <si>
    <t>0383-001</t>
  </si>
  <si>
    <t>グラードン(ゲンシカイキ)</t>
  </si>
  <si>
    <t>おわりのだいち</t>
  </si>
  <si>
    <t>0384-000</t>
  </si>
  <si>
    <t>レックウザ</t>
  </si>
  <si>
    <t>pm0384_00_00_00.png</t>
  </si>
  <si>
    <t>てんくうポケモン</t>
  </si>
  <si>
    <t>エアロック</t>
  </si>
  <si>
    <t>0384-001</t>
  </si>
  <si>
    <t>メガレックウザ</t>
  </si>
  <si>
    <t>デルタストリーム</t>
  </si>
  <si>
    <t>0385-000</t>
  </si>
  <si>
    <t>ジラーチ</t>
  </si>
  <si>
    <t>pm0385_00_00_00.png</t>
  </si>
  <si>
    <t>ねがいごとポケモン</t>
  </si>
  <si>
    <t>0386-000</t>
  </si>
  <si>
    <t>デオキシス</t>
  </si>
  <si>
    <t>ノーマルフォルム</t>
  </si>
  <si>
    <t>デオキシス(ノーマル)</t>
  </si>
  <si>
    <t>pm0386_11_00_00.png</t>
  </si>
  <si>
    <t>ＤＮＡポケモン</t>
  </si>
  <si>
    <t>0386-001</t>
  </si>
  <si>
    <t>アタックフォルム</t>
  </si>
  <si>
    <t>デオキシス(アタック)</t>
  </si>
  <si>
    <t>pm0386_12_00_00.png</t>
  </si>
  <si>
    <t>0386-002</t>
  </si>
  <si>
    <t>ディフェンスフォルム</t>
  </si>
  <si>
    <t>デオキシス(ディフェンス)</t>
  </si>
  <si>
    <t>pm0386_13_00_00.png</t>
  </si>
  <si>
    <t>0386-003</t>
  </si>
  <si>
    <t>スピードフォルム</t>
  </si>
  <si>
    <t>デオキシス(スピード)</t>
  </si>
  <si>
    <t>pm0386_14_00_00.png</t>
  </si>
  <si>
    <t>0387-000</t>
  </si>
  <si>
    <t>ナエトル</t>
  </si>
  <si>
    <t>pm0387_00_00_00.png</t>
  </si>
  <si>
    <t>わかばポケモン</t>
  </si>
  <si>
    <t>0388-000</t>
  </si>
  <si>
    <t>ハヤシガメ</t>
  </si>
  <si>
    <t>pm0388_00_00_00.png</t>
  </si>
  <si>
    <t>こだちポケモン</t>
  </si>
  <si>
    <t>0389-000</t>
  </si>
  <si>
    <t>ドダイトス</t>
  </si>
  <si>
    <t>pm0389_00_00_00.png</t>
  </si>
  <si>
    <t>0390-000</t>
  </si>
  <si>
    <t>ヒコザル</t>
  </si>
  <si>
    <t>pm0390_00_00_00.png</t>
  </si>
  <si>
    <t>こざるポケモン</t>
  </si>
  <si>
    <t>0391-000</t>
  </si>
  <si>
    <t>モウカザル</t>
  </si>
  <si>
    <t>pm0391_00_00_00.png</t>
  </si>
  <si>
    <t>やんちゃポケモン</t>
  </si>
  <si>
    <t>0392-000</t>
  </si>
  <si>
    <t>ゴウカザル</t>
  </si>
  <si>
    <t>pm0392_00_00_00.png</t>
  </si>
  <si>
    <t>0393-000</t>
  </si>
  <si>
    <t>ポッチャマ</t>
  </si>
  <si>
    <t>pm0393_00_00_00.png</t>
  </si>
  <si>
    <t>ペンギンポケモン</t>
  </si>
  <si>
    <t>0394-000</t>
  </si>
  <si>
    <t>ポッタイシ</t>
  </si>
  <si>
    <t>pm0394_00_00_00.png</t>
  </si>
  <si>
    <t>0395-000</t>
  </si>
  <si>
    <t>エンペルト</t>
  </si>
  <si>
    <t>pm0395_00_00_00.png</t>
  </si>
  <si>
    <t>こうていポケモン</t>
  </si>
  <si>
    <t>0396-000</t>
  </si>
  <si>
    <t>ムックル</t>
  </si>
  <si>
    <t>pm0396_00_00_00.png</t>
  </si>
  <si>
    <t>むくどりポケモン</t>
  </si>
  <si>
    <t>0397-000</t>
  </si>
  <si>
    <t>ムクバード</t>
  </si>
  <si>
    <t>pm0397_00_00_00.png</t>
  </si>
  <si>
    <t>0398-000</t>
  </si>
  <si>
    <t>ムクホーク</t>
  </si>
  <si>
    <t>pm0398_00_00_00.png</t>
  </si>
  <si>
    <t>もうきんポケモン</t>
  </si>
  <si>
    <t>0399-000</t>
  </si>
  <si>
    <t>ビッパ</t>
  </si>
  <si>
    <t>まるねずみポケモン</t>
  </si>
  <si>
    <t>0400-000</t>
  </si>
  <si>
    <t>ビーダル</t>
  </si>
  <si>
    <t>ビーバーポケモン</t>
  </si>
  <si>
    <t>0401-000</t>
  </si>
  <si>
    <t>コロボーシ</t>
  </si>
  <si>
    <t>pm0401_00_00_00.png</t>
  </si>
  <si>
    <t>こおろぎポケモン</t>
  </si>
  <si>
    <t>0402-000</t>
  </si>
  <si>
    <t>コロトック</t>
  </si>
  <si>
    <t>pm0402_00_00_00.png</t>
  </si>
  <si>
    <t>0403-000</t>
  </si>
  <si>
    <t>コリンク</t>
  </si>
  <si>
    <t>pm0403_00_00_00.png</t>
  </si>
  <si>
    <t>せんこうポケモン</t>
  </si>
  <si>
    <t>0404-000</t>
  </si>
  <si>
    <t>ルクシオ</t>
  </si>
  <si>
    <t>pm0404_00_00_00.png</t>
  </si>
  <si>
    <t>でんこうポケモン</t>
  </si>
  <si>
    <t>0405-000</t>
  </si>
  <si>
    <t>レントラー</t>
  </si>
  <si>
    <t>pm0405_00_00_00.png</t>
  </si>
  <si>
    <t>がんこうポケモン</t>
  </si>
  <si>
    <t>0406-000</t>
  </si>
  <si>
    <t>スボミー</t>
  </si>
  <si>
    <t>つぼみポケモン</t>
  </si>
  <si>
    <t>0407-000</t>
  </si>
  <si>
    <t>ロズレイド</t>
  </si>
  <si>
    <t>ブーケポケモン</t>
  </si>
  <si>
    <t>0408-000</t>
  </si>
  <si>
    <t>ズガイドス</t>
  </si>
  <si>
    <t>pm0408_00_00_00.png</t>
  </si>
  <si>
    <t>ずつきポケモン</t>
  </si>
  <si>
    <t>0409-000</t>
  </si>
  <si>
    <t>ラムパルド</t>
  </si>
  <si>
    <t>pm0409_00_00_00.png</t>
  </si>
  <si>
    <t>0410-000</t>
  </si>
  <si>
    <t>タテトプス</t>
  </si>
  <si>
    <t>pm0410_00_00_00.png</t>
  </si>
  <si>
    <t>シールドポケモン</t>
  </si>
  <si>
    <t>0411-000</t>
  </si>
  <si>
    <t>トリデプス</t>
  </si>
  <si>
    <t>pm0411_00_00_00.png</t>
  </si>
  <si>
    <t>0412-000</t>
  </si>
  <si>
    <t>ミノムッチ</t>
  </si>
  <si>
    <t>くさきのミノ</t>
  </si>
  <si>
    <t>ミノムッチ(くさき)</t>
  </si>
  <si>
    <t>0412-001</t>
  </si>
  <si>
    <t>すなちのミノ</t>
  </si>
  <si>
    <t>ミノムッチ(すなち)</t>
  </si>
  <si>
    <t>0412-002</t>
  </si>
  <si>
    <t>ゴミのミノ</t>
  </si>
  <si>
    <t>ミノムッチ(ゴミ)</t>
  </si>
  <si>
    <t>0413-000</t>
  </si>
  <si>
    <t>ミノマダム</t>
  </si>
  <si>
    <t>ミノマダム(くさき)</t>
  </si>
  <si>
    <t>0413-001</t>
  </si>
  <si>
    <t>ミノマダム(すなち)</t>
  </si>
  <si>
    <t>0413-002</t>
  </si>
  <si>
    <t>ミノマダム(ゴミ)</t>
  </si>
  <si>
    <t>0414-000</t>
  </si>
  <si>
    <t>ガーメイル</t>
  </si>
  <si>
    <t>ミノガポケモン</t>
  </si>
  <si>
    <t>0415-000</t>
  </si>
  <si>
    <t>ミツハニー</t>
  </si>
  <si>
    <t>pm0415_00_00_00.png</t>
  </si>
  <si>
    <t>はちのこポケモン</t>
  </si>
  <si>
    <t>0416-000</t>
  </si>
  <si>
    <t>ビークイン</t>
  </si>
  <si>
    <t>pm0416_00_00_00.png</t>
  </si>
  <si>
    <t>はちのすポケモン</t>
  </si>
  <si>
    <t>0417-000</t>
  </si>
  <si>
    <t>パチリス</t>
  </si>
  <si>
    <t>pm0417_00_00_00.png</t>
  </si>
  <si>
    <t>でんきりすポケモン</t>
  </si>
  <si>
    <t>0418-000</t>
  </si>
  <si>
    <t>ブイゼル</t>
  </si>
  <si>
    <t>pm0418_00_00_00.png</t>
  </si>
  <si>
    <t>うみイタチポケモン</t>
  </si>
  <si>
    <t>0419-000</t>
  </si>
  <si>
    <t>フローゼル</t>
  </si>
  <si>
    <t>pm0419_00_00_00.png</t>
  </si>
  <si>
    <t>0420-000</t>
  </si>
  <si>
    <t>チェリンボ</t>
  </si>
  <si>
    <t>さくらんぼポケモン</t>
  </si>
  <si>
    <t>0421-000</t>
  </si>
  <si>
    <t>チェリム</t>
  </si>
  <si>
    <t>ネガフォルム</t>
  </si>
  <si>
    <t>サクラポケモン</t>
  </si>
  <si>
    <t>フラワーギフト</t>
  </si>
  <si>
    <t>0422-000</t>
  </si>
  <si>
    <t>カラナクシ</t>
  </si>
  <si>
    <t>にしのうみ</t>
  </si>
  <si>
    <t>pm0422_11_00_00.png</t>
  </si>
  <si>
    <t>ウミウシポケモン</t>
  </si>
  <si>
    <t>ひがしのうみ</t>
  </si>
  <si>
    <t>pm0422_12_00_00.png</t>
  </si>
  <si>
    <t>0423-000</t>
  </si>
  <si>
    <t>トリトドン</t>
  </si>
  <si>
    <t>pm0423_11_00_00.png</t>
  </si>
  <si>
    <t>pm0423_12_00_00.png</t>
  </si>
  <si>
    <t>0424-000</t>
  </si>
  <si>
    <t>エテボース</t>
  </si>
  <si>
    <t>pm0424_00_00_00.png</t>
  </si>
  <si>
    <t>0425-000</t>
  </si>
  <si>
    <t>フワンテ</t>
  </si>
  <si>
    <t>pm0425_00_00_00.png</t>
  </si>
  <si>
    <t>ねつぼうそう</t>
  </si>
  <si>
    <t>0426-000</t>
  </si>
  <si>
    <t>フワライド</t>
  </si>
  <si>
    <t>pm0426_00_00_00.png</t>
  </si>
  <si>
    <t>ききゅうポケモン</t>
  </si>
  <si>
    <t>0427-000</t>
  </si>
  <si>
    <t>ミミロル</t>
  </si>
  <si>
    <t>うさぎポケモン</t>
  </si>
  <si>
    <t>ぶきよう</t>
  </si>
  <si>
    <t>0428-000</t>
  </si>
  <si>
    <t>ミミロップ</t>
  </si>
  <si>
    <t>0428-001</t>
  </si>
  <si>
    <t>メガミミロップ</t>
  </si>
  <si>
    <t>0429-000</t>
  </si>
  <si>
    <t>ムウマージ</t>
  </si>
  <si>
    <t>pm0429_00_00_00.png</t>
  </si>
  <si>
    <t>マジカルポケモン</t>
  </si>
  <si>
    <t>0430-000</t>
  </si>
  <si>
    <t>ドンカラス</t>
  </si>
  <si>
    <t>pm0430_00_00_00.png</t>
  </si>
  <si>
    <t>おおボスポケモン</t>
  </si>
  <si>
    <t>0431-000</t>
  </si>
  <si>
    <t>ニャルマー</t>
  </si>
  <si>
    <t>ねこかぶりポケモン</t>
  </si>
  <si>
    <t>0432-000</t>
  </si>
  <si>
    <t>ブニャット</t>
  </si>
  <si>
    <t>とらねこポケモン</t>
  </si>
  <si>
    <t>0433-000</t>
  </si>
  <si>
    <t>リーシャン</t>
  </si>
  <si>
    <t>pm0433_00_00_00.png</t>
  </si>
  <si>
    <t>すずポケモン</t>
  </si>
  <si>
    <t>0434-000</t>
  </si>
  <si>
    <t>スカンプー</t>
  </si>
  <si>
    <t>pm0434_00_00_00.png</t>
  </si>
  <si>
    <t>スカンクポケモン</t>
  </si>
  <si>
    <t>0435-000</t>
  </si>
  <si>
    <t>スカタンク</t>
  </si>
  <si>
    <t>pm0435_00_00_00.png</t>
  </si>
  <si>
    <t>0436-000</t>
  </si>
  <si>
    <t>ドーミラー</t>
  </si>
  <si>
    <t>pm0436_00_00_00.png</t>
  </si>
  <si>
    <t>せいどうポケモン</t>
  </si>
  <si>
    <t>たいねつ</t>
  </si>
  <si>
    <t>0437-000</t>
  </si>
  <si>
    <t>ドータクン</t>
  </si>
  <si>
    <t>pm0437_00_00_00.png</t>
  </si>
  <si>
    <t>どうたくポケモン</t>
  </si>
  <si>
    <t>0438-000</t>
  </si>
  <si>
    <t>ウソハチ</t>
  </si>
  <si>
    <t>pm0438_00_00_00.png</t>
  </si>
  <si>
    <t>ぼんさいポケモン</t>
  </si>
  <si>
    <t>0439-000</t>
  </si>
  <si>
    <t>マネネ</t>
  </si>
  <si>
    <t>マイムポケモン</t>
  </si>
  <si>
    <t>0440-000</t>
  </si>
  <si>
    <t>ピンプク</t>
  </si>
  <si>
    <t>pm0440_00_00_00.png</t>
  </si>
  <si>
    <t>ままごとポケモン</t>
  </si>
  <si>
    <t>0441-000</t>
  </si>
  <si>
    <t>ペラップ</t>
  </si>
  <si>
    <t>おんぷポケモン</t>
  </si>
  <si>
    <t>0442-000</t>
  </si>
  <si>
    <t>ミカルゲ</t>
  </si>
  <si>
    <t>pm0442_00_00_00.png</t>
  </si>
  <si>
    <t>ふういんポケモン</t>
  </si>
  <si>
    <t>0443-000</t>
  </si>
  <si>
    <t>フカマル</t>
  </si>
  <si>
    <t>pm0443_00_00_00.png</t>
  </si>
  <si>
    <t>りくザメポケモン</t>
  </si>
  <si>
    <t>0444-000</t>
  </si>
  <si>
    <t>ガバイト</t>
  </si>
  <si>
    <t>pm0444_00_00_00.png</t>
  </si>
  <si>
    <t>ほらあなポケモン</t>
  </si>
  <si>
    <t>0445-000</t>
  </si>
  <si>
    <t>ガブリアス</t>
  </si>
  <si>
    <t>pm0445_00_00_00.png</t>
  </si>
  <si>
    <t>マッハポケモン</t>
  </si>
  <si>
    <t>0445-001</t>
  </si>
  <si>
    <t>メガガブリアス</t>
  </si>
  <si>
    <t>0446-000</t>
  </si>
  <si>
    <t>ゴンベ</t>
  </si>
  <si>
    <t>pm0446_00_00_00.png</t>
  </si>
  <si>
    <t>おおぐいポケモン</t>
  </si>
  <si>
    <t>0447-000</t>
  </si>
  <si>
    <t>リオル</t>
  </si>
  <si>
    <t>pm0447_00_00_00.png</t>
  </si>
  <si>
    <t>はもんポケモン</t>
  </si>
  <si>
    <t>0448-000</t>
  </si>
  <si>
    <t>ルカリオ</t>
  </si>
  <si>
    <t>pm0448_00_00_00.png</t>
  </si>
  <si>
    <t>はどうポケモン</t>
  </si>
  <si>
    <t>0448-001</t>
  </si>
  <si>
    <t>メガルカリオ</t>
  </si>
  <si>
    <t>0449-000</t>
  </si>
  <si>
    <t>ヒポポタス</t>
  </si>
  <si>
    <t>pm0449_00_00_00.png</t>
  </si>
  <si>
    <t>カバポケモン</t>
  </si>
  <si>
    <t>0450-000</t>
  </si>
  <si>
    <t>カバルドン</t>
  </si>
  <si>
    <t>pm0450_00_00_00.png</t>
  </si>
  <si>
    <t>じゅうりょうポケモン</t>
  </si>
  <si>
    <t>0451-000</t>
  </si>
  <si>
    <t>スコルピ</t>
  </si>
  <si>
    <t>さそりポケモン</t>
  </si>
  <si>
    <t>0452-000</t>
  </si>
  <si>
    <t>ドラピオン</t>
  </si>
  <si>
    <t>ばけさそりポケモン</t>
  </si>
  <si>
    <t>0453-000</t>
  </si>
  <si>
    <t>グレッグル</t>
  </si>
  <si>
    <t>pm0453_00_00_00.png</t>
  </si>
  <si>
    <t>どくづきポケモン</t>
  </si>
  <si>
    <t>0454-000</t>
  </si>
  <si>
    <t>ドクロッグ</t>
  </si>
  <si>
    <t>pm0454_00_00_00.png</t>
  </si>
  <si>
    <t>0455-000</t>
  </si>
  <si>
    <t>マスキッパ</t>
  </si>
  <si>
    <t>むしとりポケモン</t>
  </si>
  <si>
    <t>0456-000</t>
  </si>
  <si>
    <t>ケイコウオ</t>
  </si>
  <si>
    <t>pm0456_00_00_00.png</t>
  </si>
  <si>
    <t>はねうおポケモン</t>
  </si>
  <si>
    <t>0457-000</t>
  </si>
  <si>
    <t>ネオラント</t>
  </si>
  <si>
    <t>pm0457_00_00_00.png</t>
  </si>
  <si>
    <t>ネオンポケモン</t>
  </si>
  <si>
    <t>0458-000</t>
  </si>
  <si>
    <t>タマンタ</t>
  </si>
  <si>
    <t>0459-000</t>
  </si>
  <si>
    <t>ユキカブリ</t>
  </si>
  <si>
    <t>pm0459_00_00_00.png</t>
  </si>
  <si>
    <t>じゅひょうポケモン</t>
  </si>
  <si>
    <t>0460-000</t>
  </si>
  <si>
    <t>ユキノオー</t>
  </si>
  <si>
    <t>pm0460_00_00_00.png</t>
  </si>
  <si>
    <t>0460-001</t>
  </si>
  <si>
    <t>メガユキノオー</t>
  </si>
  <si>
    <t>0461-000</t>
  </si>
  <si>
    <t>マニューラ</t>
  </si>
  <si>
    <t>pm0461_00_00_00.png</t>
  </si>
  <si>
    <t>0462-000</t>
  </si>
  <si>
    <t>ジバコイル</t>
  </si>
  <si>
    <t>pm0462_00_00_00.png</t>
  </si>
  <si>
    <t>じばポケモン</t>
  </si>
  <si>
    <t>0463-000</t>
  </si>
  <si>
    <t>ベロベルト</t>
  </si>
  <si>
    <t>0464-000</t>
  </si>
  <si>
    <t>ドサイドン</t>
  </si>
  <si>
    <t>pm0464_00_00_00.png</t>
  </si>
  <si>
    <t>0465-000</t>
  </si>
  <si>
    <t>モジャンボ</t>
  </si>
  <si>
    <t>0466-000</t>
  </si>
  <si>
    <t>エレキブル</t>
  </si>
  <si>
    <t>pm0466_00_00_00.png</t>
  </si>
  <si>
    <t>らいでんポケモン</t>
  </si>
  <si>
    <t>でんきエンジン</t>
  </si>
  <si>
    <t>0467-000</t>
  </si>
  <si>
    <t>ブーバーン</t>
  </si>
  <si>
    <t>pm0467_00_00_00.png</t>
  </si>
  <si>
    <t>ばくえんポケモン</t>
  </si>
  <si>
    <t>0468-000</t>
  </si>
  <si>
    <t>トゲキッス</t>
  </si>
  <si>
    <t>しゅくふくポケモン</t>
  </si>
  <si>
    <t>0469-000</t>
  </si>
  <si>
    <t>メガヤンマ</t>
  </si>
  <si>
    <t>pm0469_00_00_00.png</t>
  </si>
  <si>
    <t>オニトンボポケモン</t>
  </si>
  <si>
    <t>0470-000</t>
  </si>
  <si>
    <t>リーフィア</t>
  </si>
  <si>
    <t>pm0470_00_00_00.png</t>
  </si>
  <si>
    <t>しんりょくポケモン</t>
  </si>
  <si>
    <t>0471-000</t>
  </si>
  <si>
    <t>グレイシア</t>
  </si>
  <si>
    <t>pm0471_00_00_00.png</t>
  </si>
  <si>
    <t>しんせつポケモン</t>
  </si>
  <si>
    <t>0472-000</t>
  </si>
  <si>
    <t>グライオン</t>
  </si>
  <si>
    <t>pm0472_00_00_00.png</t>
  </si>
  <si>
    <t>キバさそりポケモン</t>
  </si>
  <si>
    <t>0473-000</t>
  </si>
  <si>
    <t>マンムー</t>
  </si>
  <si>
    <t>pm0473_00_00_00.png</t>
  </si>
  <si>
    <t>２ほんキバポケモン</t>
  </si>
  <si>
    <t>0474-000</t>
  </si>
  <si>
    <t>ポリゴンＺ</t>
  </si>
  <si>
    <t>pm0474_00_00_00.png</t>
  </si>
  <si>
    <t>0475-000</t>
  </si>
  <si>
    <t>エルレイド</t>
  </si>
  <si>
    <t>pm0475_00_00_00.png</t>
  </si>
  <si>
    <t>やいばポケモン</t>
  </si>
  <si>
    <t>きれあじ</t>
  </si>
  <si>
    <t>0475-001</t>
  </si>
  <si>
    <t>メガエルレイド</t>
  </si>
  <si>
    <t>0476-000</t>
  </si>
  <si>
    <t>ダイノーズ</t>
  </si>
  <si>
    <t>pm0476_00_00_00.png</t>
  </si>
  <si>
    <t>0477-000</t>
  </si>
  <si>
    <t>ヨノワール</t>
  </si>
  <si>
    <t>pm0477_00_00_00.png</t>
  </si>
  <si>
    <t>てづかみポケモン</t>
  </si>
  <si>
    <t>0478-000</t>
  </si>
  <si>
    <t>ユキメノコ</t>
  </si>
  <si>
    <t>pm0478_00_00_00.png</t>
  </si>
  <si>
    <t>ゆきぐにポケモン</t>
  </si>
  <si>
    <t>0479-000</t>
  </si>
  <si>
    <t>ロトム</t>
  </si>
  <si>
    <t>ロトムのすがた</t>
  </si>
  <si>
    <t>pm0479_11_00_00.png</t>
  </si>
  <si>
    <t>プラズマポケモン</t>
  </si>
  <si>
    <t>0479-001</t>
  </si>
  <si>
    <t>ヒートロトム</t>
  </si>
  <si>
    <t>pm0479_12_00_00.png</t>
  </si>
  <si>
    <t>0479-002</t>
  </si>
  <si>
    <t>ウォッシュロトム</t>
  </si>
  <si>
    <t>pm0479_13_00_00.png</t>
  </si>
  <si>
    <t>0479-003</t>
  </si>
  <si>
    <t>フロストロトム</t>
  </si>
  <si>
    <t>pm0479_14_00_00.png</t>
  </si>
  <si>
    <t>0479-004</t>
  </si>
  <si>
    <t>スピンロトム</t>
  </si>
  <si>
    <t>pm0479_15_00_00.png</t>
  </si>
  <si>
    <t>0479-005</t>
  </si>
  <si>
    <t>カットロトム</t>
  </si>
  <si>
    <t>pm0479_16_00_00.png</t>
  </si>
  <si>
    <t>0480-000</t>
  </si>
  <si>
    <t>ユクシー</t>
  </si>
  <si>
    <t>pm0480_00_00_00.png</t>
  </si>
  <si>
    <t>ちしきポケモン</t>
  </si>
  <si>
    <t>0481-000</t>
  </si>
  <si>
    <t>エムリット</t>
  </si>
  <si>
    <t>pm0481_00_00_00.png</t>
  </si>
  <si>
    <t>0482-000</t>
  </si>
  <si>
    <t>アグノム</t>
  </si>
  <si>
    <t>pm0482_00_00_00.png</t>
  </si>
  <si>
    <t>いしポケモン</t>
  </si>
  <si>
    <t>0483-000</t>
  </si>
  <si>
    <t>ディアルガ</t>
  </si>
  <si>
    <t>pm0483_11_00_00.png</t>
  </si>
  <si>
    <t>じかんポケモン</t>
  </si>
  <si>
    <t>0483-001</t>
  </si>
  <si>
    <t>オリジンフォルム</t>
  </si>
  <si>
    <t>ディアルガ(オリジン)</t>
  </si>
  <si>
    <t>pm0483_12_00_00.png</t>
  </si>
  <si>
    <t>0484-000</t>
  </si>
  <si>
    <t>パルキア</t>
  </si>
  <si>
    <t>pm0484_11_00_00.png</t>
  </si>
  <si>
    <t>くうかんポケモン</t>
  </si>
  <si>
    <t>0484-001</t>
  </si>
  <si>
    <t>パルキア(オリジン)</t>
  </si>
  <si>
    <t>pm0484_12_00_00.png</t>
  </si>
  <si>
    <t>0485-000</t>
  </si>
  <si>
    <t>ヒードラン</t>
  </si>
  <si>
    <t>pm0485_00_00_00.png</t>
  </si>
  <si>
    <t>かこうポケモン</t>
  </si>
  <si>
    <t>0486-000</t>
  </si>
  <si>
    <t>レジギガス</t>
  </si>
  <si>
    <t>pm0486_00_00_00.png</t>
  </si>
  <si>
    <t>きょだいポケモン</t>
  </si>
  <si>
    <t>スロースタート</t>
  </si>
  <si>
    <t>0487-000</t>
  </si>
  <si>
    <t>ギラティナ</t>
  </si>
  <si>
    <t>アナザーフォルム</t>
  </si>
  <si>
    <t>ギラティナ(アナザー)</t>
  </si>
  <si>
    <t>pm0487_11_00_00.png</t>
  </si>
  <si>
    <t>はんこつポケモン</t>
  </si>
  <si>
    <t>0487-001</t>
  </si>
  <si>
    <t>ギラティナ(オリジン)</t>
  </si>
  <si>
    <t>pm0487_12_00_00.png</t>
  </si>
  <si>
    <t>0488-000</t>
  </si>
  <si>
    <t>クレセリア</t>
  </si>
  <si>
    <t>pm0488_00_00_00.png</t>
  </si>
  <si>
    <t>みかづきポケモン</t>
  </si>
  <si>
    <t>0489-000</t>
  </si>
  <si>
    <t>フィオネ</t>
  </si>
  <si>
    <t>pm0489_00_00_00.png</t>
  </si>
  <si>
    <t>かいようポケモン</t>
  </si>
  <si>
    <t>0490-000</t>
  </si>
  <si>
    <t>マナフィ</t>
  </si>
  <si>
    <t>pm0490_00_00_00.png</t>
  </si>
  <si>
    <t>かいゆうポケモン</t>
  </si>
  <si>
    <t>0491-000</t>
  </si>
  <si>
    <t>ダークライ</t>
  </si>
  <si>
    <t>pm0491_00_00_00.png</t>
  </si>
  <si>
    <t>あんこくポケモン</t>
  </si>
  <si>
    <t>ナイトメア</t>
  </si>
  <si>
    <t>0492-000</t>
  </si>
  <si>
    <t>シェイミ</t>
  </si>
  <si>
    <t>ランドフォルム</t>
  </si>
  <si>
    <t>シェイミ(ランド)</t>
  </si>
  <si>
    <t>pm0492_11_00_00.png</t>
  </si>
  <si>
    <t>かんしゃポケモン</t>
  </si>
  <si>
    <t>0492-001</t>
  </si>
  <si>
    <t>スカイフォルム</t>
  </si>
  <si>
    <t>シェイミ(スカイ)</t>
  </si>
  <si>
    <t>pm0492_12_00_00.png</t>
  </si>
  <si>
    <t>0493-000</t>
  </si>
  <si>
    <t>アルセウス</t>
  </si>
  <si>
    <t>アルセウスのすがた</t>
  </si>
  <si>
    <t>pm0493_11_00_00.png</t>
  </si>
  <si>
    <t>そうぞうポケモン</t>
  </si>
  <si>
    <t>マルチタイプ</t>
  </si>
  <si>
    <t>かくとうタイプ</t>
  </si>
  <si>
    <t>pm0493_11_00_01.png</t>
  </si>
  <si>
    <t>ひこうタイプ</t>
  </si>
  <si>
    <t>pm0493_11_00_02.png</t>
  </si>
  <si>
    <t>どくタイプ</t>
  </si>
  <si>
    <t>pm0493_11_00_03.png</t>
  </si>
  <si>
    <t>じめんタイプ</t>
  </si>
  <si>
    <t>pm0493_11_00_04.png</t>
  </si>
  <si>
    <t>いわタイプ</t>
  </si>
  <si>
    <t>pm0493_11_00_05.png</t>
  </si>
  <si>
    <t>むしタイプ</t>
  </si>
  <si>
    <t>pm0493_11_00_06.png</t>
  </si>
  <si>
    <t>ゴーストタイプ</t>
  </si>
  <si>
    <t>pm0493_11_00_07.png</t>
  </si>
  <si>
    <t>はがねタイプ</t>
  </si>
  <si>
    <t>pm0493_11_00_08.png</t>
  </si>
  <si>
    <t>ほのおタイプ</t>
  </si>
  <si>
    <t>pm0493_11_00_09.png</t>
  </si>
  <si>
    <t>みずタイプ</t>
  </si>
  <si>
    <t>pm0493_11_00_10.png</t>
  </si>
  <si>
    <t>くさタイプ</t>
  </si>
  <si>
    <t>pm0493_11_00_11.png</t>
  </si>
  <si>
    <t>でんきタイプ</t>
  </si>
  <si>
    <t>pm0493_11_00_12.png</t>
  </si>
  <si>
    <t>エスパータイプ</t>
  </si>
  <si>
    <t>pm0493_11_00_13.png</t>
  </si>
  <si>
    <t>こおりタイプ</t>
  </si>
  <si>
    <t>pm0493_11_00_14.png</t>
  </si>
  <si>
    <t>ドラゴンタイプ</t>
  </si>
  <si>
    <t>pm0493_11_00_15.png</t>
  </si>
  <si>
    <t>あくタイプ</t>
  </si>
  <si>
    <t>pm0493_11_00_16.png</t>
  </si>
  <si>
    <t>フェアリータイプ</t>
  </si>
  <si>
    <t>pm0493_11_00_17.png</t>
  </si>
  <si>
    <t>0494-000</t>
  </si>
  <si>
    <t>ビクティニ</t>
  </si>
  <si>
    <t>しょうりポケモン</t>
  </si>
  <si>
    <t>しょうりのほし</t>
  </si>
  <si>
    <t>0495-000</t>
  </si>
  <si>
    <t>ツタージャ</t>
  </si>
  <si>
    <t>pm0495_00_00_00.png</t>
  </si>
  <si>
    <t>くさへびポケモン</t>
  </si>
  <si>
    <t>0496-000</t>
  </si>
  <si>
    <t>ジャノビー</t>
  </si>
  <si>
    <t>pm0496_00_00_00.png</t>
  </si>
  <si>
    <t>0497-000</t>
  </si>
  <si>
    <t>ジャローダ</t>
  </si>
  <si>
    <t>pm0497_00_00_00.png</t>
  </si>
  <si>
    <t>ロイヤルポケモン</t>
  </si>
  <si>
    <t>0498-000</t>
  </si>
  <si>
    <t>ポカブ</t>
  </si>
  <si>
    <t>pm0498_00_00_00.png</t>
  </si>
  <si>
    <t>ひぶたポケモン</t>
  </si>
  <si>
    <t>0499-000</t>
  </si>
  <si>
    <t>チャオブー</t>
  </si>
  <si>
    <t>pm0499_00_00_00.png</t>
  </si>
  <si>
    <t>0500-000</t>
  </si>
  <si>
    <t>エンブオー</t>
  </si>
  <si>
    <t>pm0500_00_00_00.png</t>
  </si>
  <si>
    <t>おおひぶたポケモン</t>
  </si>
  <si>
    <t>0501-000</t>
  </si>
  <si>
    <t>ミジュマル</t>
  </si>
  <si>
    <t>pm0501_00_00_00.png</t>
  </si>
  <si>
    <t>ラッコポケモン</t>
  </si>
  <si>
    <t>0502-000</t>
  </si>
  <si>
    <t>フタチマル</t>
  </si>
  <si>
    <t>pm0502_00_00_00.png</t>
  </si>
  <si>
    <t>しゅぎょうポケモン</t>
  </si>
  <si>
    <t>0503-000</t>
  </si>
  <si>
    <t>ダイケンキ</t>
  </si>
  <si>
    <t>pm0503_00_00_00.png</t>
  </si>
  <si>
    <t>かんろくポケモン</t>
  </si>
  <si>
    <t>0503-001</t>
  </si>
  <si>
    <t>ダイケンキ(ヒスイ)</t>
  </si>
  <si>
    <t>pm0503_00_41_00.png</t>
  </si>
  <si>
    <t>0504-000</t>
  </si>
  <si>
    <t>ミネズミ</t>
  </si>
  <si>
    <t>0505-000</t>
  </si>
  <si>
    <t>ミルホッグ</t>
  </si>
  <si>
    <t>けいかいポケモン</t>
  </si>
  <si>
    <t>0506-000</t>
  </si>
  <si>
    <t>ヨーテリー</t>
  </si>
  <si>
    <t>0507-000</t>
  </si>
  <si>
    <t>ハーデリア</t>
  </si>
  <si>
    <t>ちゅうけんポケモン</t>
  </si>
  <si>
    <t>0508-000</t>
  </si>
  <si>
    <t>ムーランド</t>
  </si>
  <si>
    <t>かんだいポケモン</t>
  </si>
  <si>
    <t>0509-000</t>
  </si>
  <si>
    <t>チョロネコ</t>
  </si>
  <si>
    <t>しょうわるポケモン</t>
  </si>
  <si>
    <t>0510-000</t>
  </si>
  <si>
    <t>レパルダス</t>
  </si>
  <si>
    <t>0511-000</t>
  </si>
  <si>
    <t>ヤナップ</t>
  </si>
  <si>
    <t>くさざるポケモン</t>
  </si>
  <si>
    <t>0512-000</t>
  </si>
  <si>
    <t>ヤナッキー</t>
  </si>
  <si>
    <t>とげざるポケモン</t>
  </si>
  <si>
    <t>0513-000</t>
  </si>
  <si>
    <t>バオップ</t>
  </si>
  <si>
    <t>こうおんポケモン</t>
  </si>
  <si>
    <t>0514-000</t>
  </si>
  <si>
    <t>バオッキー</t>
  </si>
  <si>
    <t>ひのこポケモン</t>
  </si>
  <si>
    <t>0515-000</t>
  </si>
  <si>
    <t>ヒヤップ</t>
  </si>
  <si>
    <t>みずかけポケモン</t>
  </si>
  <si>
    <t>0516-000</t>
  </si>
  <si>
    <t>ヒヤッキー</t>
  </si>
  <si>
    <t>ほうすいポケモン</t>
  </si>
  <si>
    <t>0517-000</t>
  </si>
  <si>
    <t>ムンナ</t>
  </si>
  <si>
    <t>ゆめくいポケモン</t>
  </si>
  <si>
    <t>0518-000</t>
  </si>
  <si>
    <t>ムシャーナ</t>
  </si>
  <si>
    <t>ゆめうつつポケモン</t>
  </si>
  <si>
    <t>0519-000</t>
  </si>
  <si>
    <t>マメパト</t>
  </si>
  <si>
    <t>こばとポケモン</t>
  </si>
  <si>
    <t>0520-000</t>
  </si>
  <si>
    <t>ハトーボー</t>
  </si>
  <si>
    <t>のばとポケモン</t>
  </si>
  <si>
    <t>0521-000</t>
  </si>
  <si>
    <t>ケンホロウ</t>
  </si>
  <si>
    <t>プライドポケモン</t>
  </si>
  <si>
    <t>0522-000</t>
  </si>
  <si>
    <t>シママ</t>
  </si>
  <si>
    <t>pm0522_00_00_00.png</t>
  </si>
  <si>
    <t>たいでんポケモン</t>
  </si>
  <si>
    <t>0523-000</t>
  </si>
  <si>
    <t>ゼブライカ</t>
  </si>
  <si>
    <t>pm0523_00_00_00.png</t>
  </si>
  <si>
    <t>0524-000</t>
  </si>
  <si>
    <t>ダンゴロ</t>
  </si>
  <si>
    <t>マントルポケモン</t>
  </si>
  <si>
    <t>0525-000</t>
  </si>
  <si>
    <t>ガントル</t>
  </si>
  <si>
    <t>こうせきポケモン</t>
  </si>
  <si>
    <t>0526-000</t>
  </si>
  <si>
    <t>ギガイアス</t>
  </si>
  <si>
    <t>こうあつポケモン</t>
  </si>
  <si>
    <t>0527-000</t>
  </si>
  <si>
    <t>コロモリ</t>
  </si>
  <si>
    <t>0528-000</t>
  </si>
  <si>
    <t>ココロモリ</t>
  </si>
  <si>
    <t>きゅうあいポケモン</t>
  </si>
  <si>
    <t>0529-000</t>
  </si>
  <si>
    <t>モグリュー</t>
  </si>
  <si>
    <t>pm0529_00_00_00.png</t>
  </si>
  <si>
    <t>0530-000</t>
  </si>
  <si>
    <t>ドリュウズ</t>
  </si>
  <si>
    <t>pm0530_00_00_00.png</t>
  </si>
  <si>
    <t>ちていポケモン</t>
  </si>
  <si>
    <t>0531-000</t>
  </si>
  <si>
    <t>タブンネ</t>
  </si>
  <si>
    <t>ヒヤリングポケモン</t>
  </si>
  <si>
    <t>0531-001</t>
  </si>
  <si>
    <t>メガタブンネ</t>
  </si>
  <si>
    <t>0532-000</t>
  </si>
  <si>
    <t>ドッコラー</t>
  </si>
  <si>
    <t>pm0532_00_00_00.png</t>
  </si>
  <si>
    <t>きんこつポケモン</t>
  </si>
  <si>
    <t>0533-000</t>
  </si>
  <si>
    <t>ドテッコツ</t>
  </si>
  <si>
    <t>pm0533_00_00_00.png</t>
  </si>
  <si>
    <t>0534-000</t>
  </si>
  <si>
    <t>ローブシン</t>
  </si>
  <si>
    <t>pm0534_00_00_00.png</t>
  </si>
  <si>
    <t>0535-000</t>
  </si>
  <si>
    <t>オタマロ</t>
  </si>
  <si>
    <t>0536-000</t>
  </si>
  <si>
    <t>ガマガル</t>
  </si>
  <si>
    <t>0537-000</t>
  </si>
  <si>
    <t>ガマゲロゲ</t>
  </si>
  <si>
    <t>0538-000</t>
  </si>
  <si>
    <t>ナゲキ</t>
  </si>
  <si>
    <t>じゅうどうポケモン</t>
  </si>
  <si>
    <t>0539-000</t>
  </si>
  <si>
    <t>ダゲキ</t>
  </si>
  <si>
    <t>からてポケモン</t>
  </si>
  <si>
    <t>0540-000</t>
  </si>
  <si>
    <t>クルミル</t>
  </si>
  <si>
    <t>pm0540_00_00_00.png</t>
  </si>
  <si>
    <t>さいほうポケモン</t>
  </si>
  <si>
    <t>0541-000</t>
  </si>
  <si>
    <t>クルマユ</t>
  </si>
  <si>
    <t>pm0541_00_00_00.png</t>
  </si>
  <si>
    <t>はごもりポケモン</t>
  </si>
  <si>
    <t>0542-000</t>
  </si>
  <si>
    <t>ハハコモリ</t>
  </si>
  <si>
    <t>pm0542_00_00_00.png</t>
  </si>
  <si>
    <t>こそだてポケモン</t>
  </si>
  <si>
    <t>0543-000</t>
  </si>
  <si>
    <t>フシデ</t>
  </si>
  <si>
    <t>ムカデポケモン</t>
  </si>
  <si>
    <t>0544-000</t>
  </si>
  <si>
    <t>ホイーガ</t>
  </si>
  <si>
    <t>まゆムカデポケモン</t>
  </si>
  <si>
    <t>0545-000</t>
  </si>
  <si>
    <t>ペンドラー</t>
  </si>
  <si>
    <t>メガムカデポケモン</t>
  </si>
  <si>
    <t>0546-000</t>
  </si>
  <si>
    <t>モンメン</t>
  </si>
  <si>
    <t>pm0546_00_00_00.png</t>
  </si>
  <si>
    <t>わたたまポケモン</t>
  </si>
  <si>
    <t>0547-000</t>
  </si>
  <si>
    <t>エルフーン</t>
  </si>
  <si>
    <t>pm0547_00_00_00.png</t>
  </si>
  <si>
    <t>かぜかくれポケモン</t>
  </si>
  <si>
    <t>0548-000</t>
  </si>
  <si>
    <t>チュリネ</t>
  </si>
  <si>
    <t>pm0548_00_00_00.png</t>
  </si>
  <si>
    <t>ねっこポケモン</t>
  </si>
  <si>
    <t>0549-000</t>
  </si>
  <si>
    <t>ドレディア</t>
  </si>
  <si>
    <t>pm0549_00_00_00.png</t>
  </si>
  <si>
    <t>はなかざりポケモン</t>
  </si>
  <si>
    <t>0549-001</t>
  </si>
  <si>
    <t>ドレディア(ヒスイ)</t>
  </si>
  <si>
    <t>pm0549_00_41_00.png</t>
  </si>
  <si>
    <t>スピンポケモン</t>
  </si>
  <si>
    <t>0550-000</t>
  </si>
  <si>
    <t>バスラオ</t>
  </si>
  <si>
    <t>あかすじのすがた</t>
  </si>
  <si>
    <t>バスラオ(あか)</t>
  </si>
  <si>
    <t>pm0550_11_00_00.png</t>
  </si>
  <si>
    <t>らんぼうポケモン</t>
  </si>
  <si>
    <t>0550-001</t>
  </si>
  <si>
    <t>あおすじのすがた</t>
  </si>
  <si>
    <t>バスラオ(あお)</t>
  </si>
  <si>
    <t>pm0550_12_00_00.png</t>
  </si>
  <si>
    <t>0550-002</t>
  </si>
  <si>
    <t>しろすじのすがた</t>
  </si>
  <si>
    <t>バスラオ(しろ)</t>
  </si>
  <si>
    <t>pm0550_00_41_00.png</t>
  </si>
  <si>
    <t>おんこうポケモン</t>
  </si>
  <si>
    <t>0551-000</t>
  </si>
  <si>
    <t>メグロコ</t>
  </si>
  <si>
    <t>pm0551_00_00_00.png</t>
  </si>
  <si>
    <t>さばくワニポケモン</t>
  </si>
  <si>
    <t>0552-000</t>
  </si>
  <si>
    <t>ワルビル</t>
  </si>
  <si>
    <t>pm0552_00_00_00.png</t>
  </si>
  <si>
    <t>0553-000</t>
  </si>
  <si>
    <t>ワルビアル</t>
  </si>
  <si>
    <t>pm0553_00_00_00.png</t>
  </si>
  <si>
    <t>いかくポケモン</t>
  </si>
  <si>
    <t>0554-000</t>
  </si>
  <si>
    <t>ダルマッカ</t>
  </si>
  <si>
    <t>だるまポケモン</t>
  </si>
  <si>
    <t>0554-001</t>
  </si>
  <si>
    <t>ダルマッカ(ガラル)</t>
  </si>
  <si>
    <t>0555-000</t>
  </si>
  <si>
    <t>ヒヒダルマ</t>
  </si>
  <si>
    <t>ノーマルモード</t>
  </si>
  <si>
    <t>ヒヒダルマ(ノーマル)</t>
  </si>
  <si>
    <t>えんじょうポケモン</t>
  </si>
  <si>
    <t>ダルマモード</t>
  </si>
  <si>
    <t>0555-001</t>
  </si>
  <si>
    <t>ヒヒダルマ(ダルマ)</t>
  </si>
  <si>
    <t>0555-002</t>
  </si>
  <si>
    <t>ヒヒダルマ(ガラル)</t>
  </si>
  <si>
    <t>ごりむちゅう</t>
  </si>
  <si>
    <t>0556-000</t>
  </si>
  <si>
    <t>マラカッチ</t>
  </si>
  <si>
    <t>0557-000</t>
  </si>
  <si>
    <t>イシズマイ</t>
  </si>
  <si>
    <t>いしやどポケモン</t>
  </si>
  <si>
    <t>0558-000</t>
  </si>
  <si>
    <t>イワパレス</t>
  </si>
  <si>
    <t>いわやどポケモン</t>
  </si>
  <si>
    <t>0559-000</t>
  </si>
  <si>
    <t>ズルッグ</t>
  </si>
  <si>
    <t>pm0559_00_00_00.png</t>
  </si>
  <si>
    <t>だっぴポケモン</t>
  </si>
  <si>
    <t>0560-000</t>
  </si>
  <si>
    <t>ズルズキン</t>
  </si>
  <si>
    <t>pm0560_00_00_00.png</t>
  </si>
  <si>
    <t>あくとうポケモン</t>
  </si>
  <si>
    <t>0561-000</t>
  </si>
  <si>
    <t>シンボラー</t>
  </si>
  <si>
    <t>とりもどきポケモン</t>
  </si>
  <si>
    <t>0562-000</t>
  </si>
  <si>
    <t>デスマス</t>
  </si>
  <si>
    <t>たましいポケモン</t>
  </si>
  <si>
    <t>ミイラ</t>
  </si>
  <si>
    <t>0562-001</t>
  </si>
  <si>
    <t>デスマス(ガラル)</t>
  </si>
  <si>
    <t>さまようたましい</t>
  </si>
  <si>
    <t>0563-000</t>
  </si>
  <si>
    <t>デスカーン</t>
  </si>
  <si>
    <t>かんおけポケモン</t>
  </si>
  <si>
    <t>0564-000</t>
  </si>
  <si>
    <t>プロトーガ</t>
  </si>
  <si>
    <t>こだいがめポケモン</t>
  </si>
  <si>
    <t>0565-000</t>
  </si>
  <si>
    <t>アバゴーラ</t>
  </si>
  <si>
    <t>0566-000</t>
  </si>
  <si>
    <t>アーケン</t>
  </si>
  <si>
    <t>さいこどりポケモン</t>
  </si>
  <si>
    <t>よわき</t>
  </si>
  <si>
    <t>0567-000</t>
  </si>
  <si>
    <t>アーケオス</t>
  </si>
  <si>
    <t>0568-000</t>
  </si>
  <si>
    <t>ヤブクロン</t>
  </si>
  <si>
    <t>ゴミぶくろポケモン</t>
  </si>
  <si>
    <t>0569-000</t>
  </si>
  <si>
    <t>ダストダス</t>
  </si>
  <si>
    <t>ゴミすてばポケモン</t>
  </si>
  <si>
    <t>0569-999</t>
  </si>
  <si>
    <t>ダストダス(キョダイ)</t>
  </si>
  <si>
    <t>0570-000</t>
  </si>
  <si>
    <t>ゾロア</t>
  </si>
  <si>
    <t>pm0570_00_00_00.png</t>
  </si>
  <si>
    <t>わるぎつねポケモン</t>
  </si>
  <si>
    <t>イリュージョン</t>
  </si>
  <si>
    <t>0570-001</t>
  </si>
  <si>
    <t>ゾロア(ヒスイ)</t>
  </si>
  <si>
    <t>pm0570_00_41_00.png</t>
  </si>
  <si>
    <t>うらみぎつねポケモン</t>
  </si>
  <si>
    <t>0571-000</t>
  </si>
  <si>
    <t>ゾロアーク</t>
  </si>
  <si>
    <t>pm0571_00_00_00.png</t>
  </si>
  <si>
    <t>ばけぎつねポケモン</t>
  </si>
  <si>
    <t>0571-001</t>
  </si>
  <si>
    <t>ゾロアーク(ヒスイ)</t>
  </si>
  <si>
    <t>pm0571_00_41_00.png</t>
  </si>
  <si>
    <t>のろいぎつねポケモン</t>
  </si>
  <si>
    <t>0572-000</t>
  </si>
  <si>
    <t>チラーミィ</t>
  </si>
  <si>
    <t>pm0572_00_00_00.png</t>
  </si>
  <si>
    <t>チンチラポケモン</t>
  </si>
  <si>
    <t>0573-000</t>
  </si>
  <si>
    <t>チラチーノ</t>
  </si>
  <si>
    <t>pm0573_00_00_00.png</t>
  </si>
  <si>
    <t>スカーフポケモン</t>
  </si>
  <si>
    <t>0574-000</t>
  </si>
  <si>
    <t>ゴチム</t>
  </si>
  <si>
    <t>pm0574_00_00_00.png</t>
  </si>
  <si>
    <t>ぎょうしポケモン</t>
  </si>
  <si>
    <t>0575-000</t>
  </si>
  <si>
    <t>ゴチミル</t>
  </si>
  <si>
    <t>pm0575_00_00_00.png</t>
  </si>
  <si>
    <t>0576-000</t>
  </si>
  <si>
    <t>ゴチルゼル</t>
  </si>
  <si>
    <t>pm0576_00_00_00.png</t>
  </si>
  <si>
    <t>てんたいポケモン</t>
  </si>
  <si>
    <t>0577-000</t>
  </si>
  <si>
    <t>ユニラン</t>
  </si>
  <si>
    <t>pm0577_00_00_00.png</t>
  </si>
  <si>
    <t>さいぼうポケモン</t>
  </si>
  <si>
    <t>0578-000</t>
  </si>
  <si>
    <t>ダブラン</t>
  </si>
  <si>
    <t>pm0578_00_00_00.png</t>
  </si>
  <si>
    <t>ぶんかつポケモン</t>
  </si>
  <si>
    <t>0579-000</t>
  </si>
  <si>
    <t>ランクルス</t>
  </si>
  <si>
    <t>pm0579_00_00_00.png</t>
  </si>
  <si>
    <t>ぞうふくポケモン</t>
  </si>
  <si>
    <t>0580-000</t>
  </si>
  <si>
    <t>コアルヒー</t>
  </si>
  <si>
    <t>pm0580_00_00_00.png</t>
  </si>
  <si>
    <t>0581-000</t>
  </si>
  <si>
    <t>スワンナ</t>
  </si>
  <si>
    <t>pm0581_00_00_00.png</t>
  </si>
  <si>
    <t>しらとりポケモン</t>
  </si>
  <si>
    <t>0582-000</t>
  </si>
  <si>
    <t>バニプッチ</t>
  </si>
  <si>
    <t>0583-000</t>
  </si>
  <si>
    <t>バニリッチ</t>
  </si>
  <si>
    <t>ひょうせつポケモン</t>
  </si>
  <si>
    <t>0584-000</t>
  </si>
  <si>
    <t>バイバニラ</t>
  </si>
  <si>
    <t>ブリザードポケモン</t>
  </si>
  <si>
    <t>0585-000</t>
  </si>
  <si>
    <t>シキジカ</t>
  </si>
  <si>
    <t>はるのすがた</t>
  </si>
  <si>
    <t>pm0585_11_00_00.png</t>
  </si>
  <si>
    <t>きせつポケモン</t>
  </si>
  <si>
    <t>なつのすがた</t>
  </si>
  <si>
    <t>pm0585_12_00_00.png</t>
  </si>
  <si>
    <t>あきのすがた</t>
  </si>
  <si>
    <t>pm0585_13_00_00.png</t>
  </si>
  <si>
    <t>ふゆのすがた</t>
  </si>
  <si>
    <t>pm0585_14_00_00.png</t>
  </si>
  <si>
    <t>0586-000</t>
  </si>
  <si>
    <t>メブキジカ</t>
  </si>
  <si>
    <t>pm0586_11_00_00.png</t>
  </si>
  <si>
    <t>pm0586_12_00_00.png</t>
  </si>
  <si>
    <t>pm0586_13_00_00.png</t>
  </si>
  <si>
    <t>pm0586_14_00_00.png</t>
  </si>
  <si>
    <t>0587-000</t>
  </si>
  <si>
    <t>エモンガ</t>
  </si>
  <si>
    <t>モモンガポケモン</t>
  </si>
  <si>
    <t>0588-000</t>
  </si>
  <si>
    <t>カブルモ</t>
  </si>
  <si>
    <t>かぶりつきポケモン</t>
  </si>
  <si>
    <t>0589-000</t>
  </si>
  <si>
    <t>シュバルゴ</t>
  </si>
  <si>
    <t>きへいポケモン</t>
  </si>
  <si>
    <t>0590-000</t>
  </si>
  <si>
    <t>タマゲタケ</t>
  </si>
  <si>
    <t>pm0590_00_00_00.png</t>
  </si>
  <si>
    <t>0591-000</t>
  </si>
  <si>
    <t>モロバレル</t>
  </si>
  <si>
    <t>pm0591_00_00_00.png</t>
  </si>
  <si>
    <t>0592-000</t>
  </si>
  <si>
    <t>プルリル</t>
  </si>
  <si>
    <t>ふゆうポケモン</t>
  </si>
  <si>
    <t>0593-000</t>
  </si>
  <si>
    <t>ブルンゲル</t>
  </si>
  <si>
    <t>0594-000</t>
  </si>
  <si>
    <t>ママンボウ</t>
  </si>
  <si>
    <t>pm0594_00_00_00.png</t>
  </si>
  <si>
    <t>かいほうポケモン</t>
  </si>
  <si>
    <t>0595-000</t>
  </si>
  <si>
    <t>バチュル</t>
  </si>
  <si>
    <t>pm0595_00_00_00.png</t>
  </si>
  <si>
    <t>くっつきポケモン</t>
  </si>
  <si>
    <t>0596-000</t>
  </si>
  <si>
    <t>デンチュラ</t>
  </si>
  <si>
    <t>pm0596_00_00_00.png</t>
  </si>
  <si>
    <t>でんきグモポケモン</t>
  </si>
  <si>
    <t>0597-000</t>
  </si>
  <si>
    <t>テッシード</t>
  </si>
  <si>
    <t>とげのみポケモン</t>
  </si>
  <si>
    <t>てつのトゲ</t>
  </si>
  <si>
    <t>0598-000</t>
  </si>
  <si>
    <t>ナットレイ</t>
  </si>
  <si>
    <t>とげだまポケモン</t>
  </si>
  <si>
    <t>0599-000</t>
  </si>
  <si>
    <t>ギアル</t>
  </si>
  <si>
    <t>はぐるまポケモン</t>
  </si>
  <si>
    <t>0600-000</t>
  </si>
  <si>
    <t>ギギアル</t>
  </si>
  <si>
    <t>0601-000</t>
  </si>
  <si>
    <t>ギギギアル</t>
  </si>
  <si>
    <t>0602-000</t>
  </si>
  <si>
    <t>シビシラス</t>
  </si>
  <si>
    <t>pm0602_00_00_00.png</t>
  </si>
  <si>
    <t>でんきうおポケモン</t>
  </si>
  <si>
    <t>0603-000</t>
  </si>
  <si>
    <t>シビビール</t>
  </si>
  <si>
    <t>pm0603_00_00_00.png</t>
  </si>
  <si>
    <t>0604-000</t>
  </si>
  <si>
    <t>シビルドン</t>
  </si>
  <si>
    <t>pm0604_00_00_00.png</t>
  </si>
  <si>
    <t>0605-000</t>
  </si>
  <si>
    <t>リグレー</t>
  </si>
  <si>
    <t>ブレインポケモン</t>
  </si>
  <si>
    <t>0606-000</t>
  </si>
  <si>
    <t>オーベム</t>
  </si>
  <si>
    <t>0607-000</t>
  </si>
  <si>
    <t>ヒトモシ</t>
  </si>
  <si>
    <t>pm0607_00_00_00.png</t>
  </si>
  <si>
    <t>ろうそくポケモン</t>
  </si>
  <si>
    <t>0608-000</t>
  </si>
  <si>
    <t>ランプラー</t>
  </si>
  <si>
    <t>pm0608_00_00_00.png</t>
  </si>
  <si>
    <t>ランプポケモン</t>
  </si>
  <si>
    <t>0609-000</t>
  </si>
  <si>
    <t>シャンデラ</t>
  </si>
  <si>
    <t>pm0609_00_00_00.png</t>
  </si>
  <si>
    <t>いざないポケモン</t>
  </si>
  <si>
    <t>0610-000</t>
  </si>
  <si>
    <t>キバゴ</t>
  </si>
  <si>
    <t>pm0610_00_00_00.png</t>
  </si>
  <si>
    <t>キバポケモン</t>
  </si>
  <si>
    <t>0611-000</t>
  </si>
  <si>
    <t>オノンド</t>
  </si>
  <si>
    <t>pm0611_00_00_00.png</t>
  </si>
  <si>
    <t>あごオノポケモン</t>
  </si>
  <si>
    <t>0612-000</t>
  </si>
  <si>
    <t>オノノクス</t>
  </si>
  <si>
    <t>pm0612_00_00_00.png</t>
  </si>
  <si>
    <t>0613-000</t>
  </si>
  <si>
    <t>クマシュン</t>
  </si>
  <si>
    <t>pm0613_00_00_00.png</t>
  </si>
  <si>
    <t>ひょうけつポケモン</t>
  </si>
  <si>
    <t>0614-000</t>
  </si>
  <si>
    <t>ツンベアー</t>
  </si>
  <si>
    <t>pm0614_00_00_00.png</t>
  </si>
  <si>
    <t>とうけつポケモン</t>
  </si>
  <si>
    <t>0615-000</t>
  </si>
  <si>
    <t>フリージオ</t>
  </si>
  <si>
    <t>pm0615_00_00_00.png</t>
  </si>
  <si>
    <t>けっしょうポケモン</t>
  </si>
  <si>
    <t>0616-000</t>
  </si>
  <si>
    <t>チョボマキ</t>
  </si>
  <si>
    <t>マイマイポケモン</t>
  </si>
  <si>
    <t>0617-000</t>
  </si>
  <si>
    <t>アギルダー</t>
  </si>
  <si>
    <t>からぬけポケモン</t>
  </si>
  <si>
    <t>0618-000</t>
  </si>
  <si>
    <t>マッギョ</t>
  </si>
  <si>
    <t>トラップポケモン</t>
  </si>
  <si>
    <t>0618-001</t>
  </si>
  <si>
    <t>マッギョ(ガラル)</t>
  </si>
  <si>
    <t>ぎたい</t>
  </si>
  <si>
    <t>0619-000</t>
  </si>
  <si>
    <t>コジョフー</t>
  </si>
  <si>
    <t>pm0619_00_00_00.png</t>
  </si>
  <si>
    <t>ぶじゅつポケモン</t>
  </si>
  <si>
    <t>0620-000</t>
  </si>
  <si>
    <t>コジョンド</t>
  </si>
  <si>
    <t>pm0620_00_00_00.png</t>
  </si>
  <si>
    <t>0621-000</t>
  </si>
  <si>
    <t>クリムガン</t>
  </si>
  <si>
    <t>0622-000</t>
  </si>
  <si>
    <t>ゴビット</t>
  </si>
  <si>
    <t>pm0622_00_00_00.png</t>
  </si>
  <si>
    <t>ゴーレムポケモン</t>
  </si>
  <si>
    <t>0623-000</t>
  </si>
  <si>
    <t>ゴルーグ</t>
  </si>
  <si>
    <t>pm0623_00_00_00.png</t>
  </si>
  <si>
    <t>0624-000</t>
  </si>
  <si>
    <t>コマタナ</t>
  </si>
  <si>
    <t>pm0624_00_00_00.png</t>
  </si>
  <si>
    <t>はものポケモン</t>
  </si>
  <si>
    <t>0625-000</t>
  </si>
  <si>
    <t>キリキザン</t>
  </si>
  <si>
    <t>pm0625_00_00_00.png</t>
  </si>
  <si>
    <t>とうじんポケモン</t>
  </si>
  <si>
    <t>0626-000</t>
  </si>
  <si>
    <t>バッフロン</t>
  </si>
  <si>
    <t>ずつきうしポケモン</t>
  </si>
  <si>
    <t>0627-000</t>
  </si>
  <si>
    <t>ワシボン</t>
  </si>
  <si>
    <t>pm0627_00_00_00.png</t>
  </si>
  <si>
    <t>ヒナわしポケモン</t>
  </si>
  <si>
    <t>0628-000</t>
  </si>
  <si>
    <t>ウォーグル</t>
  </si>
  <si>
    <t>pm0628_00_00_00.png</t>
  </si>
  <si>
    <t>ゆうもうポケモン</t>
  </si>
  <si>
    <t>0628-001</t>
  </si>
  <si>
    <t>ウォーグル(ヒスイ)</t>
  </si>
  <si>
    <t>pm0628_00_41_00.png</t>
  </si>
  <si>
    <t>おたけびポケモン</t>
  </si>
  <si>
    <t>0629-000</t>
  </si>
  <si>
    <t>バルチャイ</t>
  </si>
  <si>
    <t>pm0629_00_00_00.png</t>
  </si>
  <si>
    <t>おむつポケモン</t>
  </si>
  <si>
    <t>0630-000</t>
  </si>
  <si>
    <t>バルジーナ</t>
  </si>
  <si>
    <t>pm0630_00_00_00.png</t>
  </si>
  <si>
    <t>ほねわしポケモン</t>
  </si>
  <si>
    <t>0631-000</t>
  </si>
  <si>
    <t>クイタラン</t>
  </si>
  <si>
    <t>アリクイポケモン</t>
  </si>
  <si>
    <t>0632-000</t>
  </si>
  <si>
    <t>アイアント</t>
  </si>
  <si>
    <t>てつアリポケモン</t>
  </si>
  <si>
    <t>0633-000</t>
  </si>
  <si>
    <t>モノズ</t>
  </si>
  <si>
    <t>pm0633_00_00_00.png</t>
  </si>
  <si>
    <t>そぼうポケモン</t>
  </si>
  <si>
    <t>0634-000</t>
  </si>
  <si>
    <t>ジヘッド</t>
  </si>
  <si>
    <t>pm0634_00_00_00.png</t>
  </si>
  <si>
    <t>0635-000</t>
  </si>
  <si>
    <t>サザンドラ</t>
  </si>
  <si>
    <t>pm0635_00_00_00.png</t>
  </si>
  <si>
    <t>0636-000</t>
  </si>
  <si>
    <t>メラルバ</t>
  </si>
  <si>
    <t>pm0636_00_00_00.png</t>
  </si>
  <si>
    <t>たいまつポケモン</t>
  </si>
  <si>
    <t>0637-000</t>
  </si>
  <si>
    <t>ウルガモス</t>
  </si>
  <si>
    <t>pm0637_00_00_00.png</t>
  </si>
  <si>
    <t>0638-000</t>
  </si>
  <si>
    <t>コバルオン</t>
  </si>
  <si>
    <t>pm0638_00_00_00.png</t>
  </si>
  <si>
    <t>てっしんポケモン</t>
  </si>
  <si>
    <t>0639-000</t>
  </si>
  <si>
    <t>テラキオン</t>
  </si>
  <si>
    <t>pm0639_00_00_00.png</t>
  </si>
  <si>
    <t>がんくつポケモン</t>
  </si>
  <si>
    <t>0640-000</t>
  </si>
  <si>
    <t>ビリジオン</t>
  </si>
  <si>
    <t>pm0640_00_00_00.png</t>
  </si>
  <si>
    <t>そうげんポケモン</t>
  </si>
  <si>
    <t>0641-000</t>
  </si>
  <si>
    <t>トルネロス</t>
  </si>
  <si>
    <t>けしんフォルム</t>
  </si>
  <si>
    <t>トルネロス(けしん)</t>
  </si>
  <si>
    <t>pm0641_11_00_00.png</t>
  </si>
  <si>
    <t>せんぷうポケモン</t>
  </si>
  <si>
    <t>0641-001</t>
  </si>
  <si>
    <t>れいじゅうフォルム</t>
  </si>
  <si>
    <t>トルネロス(れいじゅう)</t>
  </si>
  <si>
    <t>pm0641_12_00_00.png</t>
  </si>
  <si>
    <t>0642-000</t>
  </si>
  <si>
    <t>ボルトロス</t>
  </si>
  <si>
    <t>ボルトロス(けしん)</t>
  </si>
  <si>
    <t>pm0642_11_00_00.png</t>
  </si>
  <si>
    <t>らいげきポケモン</t>
  </si>
  <si>
    <t>0642-001</t>
  </si>
  <si>
    <t>ボルトロス(れいじゅう)</t>
  </si>
  <si>
    <t>pm0642_12_00_00.png</t>
  </si>
  <si>
    <t>0643-000</t>
  </si>
  <si>
    <t>レシラム</t>
  </si>
  <si>
    <t>pm0643_00_00_00.png</t>
  </si>
  <si>
    <t>はくようポケモン</t>
  </si>
  <si>
    <t>ターボブレイズ</t>
  </si>
  <si>
    <t>0644-000</t>
  </si>
  <si>
    <t>ゼクロム</t>
  </si>
  <si>
    <t>pm0644_00_00_00.png</t>
  </si>
  <si>
    <t>こくいんポケモン</t>
  </si>
  <si>
    <t>テラボルテージ</t>
  </si>
  <si>
    <t>0645-000</t>
  </si>
  <si>
    <t>ランドロス</t>
  </si>
  <si>
    <t>ランドロス(けしん)</t>
  </si>
  <si>
    <t>pm0645_11_00_00.png</t>
  </si>
  <si>
    <t>ほうじょうポケモン</t>
  </si>
  <si>
    <t>0645-001</t>
  </si>
  <si>
    <t>ランドロス(れいじゅう)</t>
  </si>
  <si>
    <t>pm0645_12_00_00.png</t>
  </si>
  <si>
    <t>0646-000</t>
  </si>
  <si>
    <t>キュレム</t>
  </si>
  <si>
    <t>キュレムのすがた</t>
  </si>
  <si>
    <t>pm0646_11_00_00.png</t>
  </si>
  <si>
    <t>きょうかいポケモン</t>
  </si>
  <si>
    <t>0646-001</t>
  </si>
  <si>
    <t>ホワイトキュレム</t>
  </si>
  <si>
    <t>pm0646_12_00_00.png</t>
  </si>
  <si>
    <t>0646-002</t>
  </si>
  <si>
    <t>ブラックキュレム</t>
  </si>
  <si>
    <t>pm0646_13_00_00.png</t>
  </si>
  <si>
    <t>0647-000</t>
  </si>
  <si>
    <t>ケルディオ</t>
  </si>
  <si>
    <t>いつものすがた</t>
  </si>
  <si>
    <t>ケルディオ(いつも)</t>
  </si>
  <si>
    <t>pm0647_11_00_00.png</t>
  </si>
  <si>
    <t>わかごまポケモン</t>
  </si>
  <si>
    <t>0647-001</t>
  </si>
  <si>
    <t>かくごのすがた</t>
  </si>
  <si>
    <t>ケルディオ(かくご)</t>
  </si>
  <si>
    <t>pm0647_12_00_00.png</t>
  </si>
  <si>
    <t>0648-000</t>
  </si>
  <si>
    <t>メロエッタ</t>
  </si>
  <si>
    <t>ボイスフォルム</t>
  </si>
  <si>
    <t>メロエッタ(ボイス)</t>
  </si>
  <si>
    <t>pm0648_11_00_00.png</t>
  </si>
  <si>
    <t>せんりつポケモン</t>
  </si>
  <si>
    <t>0648-001</t>
  </si>
  <si>
    <t>ステップフォルム</t>
  </si>
  <si>
    <t>メロエッタ(ステップ)</t>
  </si>
  <si>
    <t>pm0648_12_00_00.png</t>
  </si>
  <si>
    <t>0649-000</t>
  </si>
  <si>
    <t>ゲノセクト</t>
  </si>
  <si>
    <t>ゲノセクトのすがた</t>
  </si>
  <si>
    <t>こせいだいポケモン</t>
  </si>
  <si>
    <t>0650-000</t>
  </si>
  <si>
    <t>ハリマロン</t>
  </si>
  <si>
    <t>pm0650_00_00_00.png</t>
  </si>
  <si>
    <t>いがぐりポケモン</t>
  </si>
  <si>
    <t>ぼうだん</t>
  </si>
  <si>
    <t>0651-000</t>
  </si>
  <si>
    <t>ハリボーグ</t>
  </si>
  <si>
    <t>pm0651_00_00_00.png</t>
  </si>
  <si>
    <t>とげよろいポケモン</t>
  </si>
  <si>
    <t>0652-000</t>
  </si>
  <si>
    <t>ブリガロン</t>
  </si>
  <si>
    <t>pm0652_00_00_00.png</t>
  </si>
  <si>
    <t>0653-000</t>
  </si>
  <si>
    <t>フォッコ</t>
  </si>
  <si>
    <t>pm0653_00_00_00.png</t>
  </si>
  <si>
    <t>キツネポケモン</t>
  </si>
  <si>
    <t>マジシャン</t>
  </si>
  <si>
    <t>0654-000</t>
  </si>
  <si>
    <t>テールナー</t>
  </si>
  <si>
    <t>pm0654_00_00_00.png</t>
  </si>
  <si>
    <t>0655-000</t>
  </si>
  <si>
    <t>マフォクシー</t>
  </si>
  <si>
    <t>pm0655_00_00_00.png</t>
  </si>
  <si>
    <t>0656-000</t>
  </si>
  <si>
    <t>ケロマツ</t>
  </si>
  <si>
    <t>pm0656_00_00_00.png</t>
  </si>
  <si>
    <t>あわがえるポケモン</t>
  </si>
  <si>
    <t>0657-000</t>
  </si>
  <si>
    <t>ゲコガシラ</t>
  </si>
  <si>
    <t>pm0657_00_00_00.png</t>
  </si>
  <si>
    <t>0658-000</t>
  </si>
  <si>
    <t>ゲッコウガ</t>
  </si>
  <si>
    <t>pm0658_11_00_00.png</t>
  </si>
  <si>
    <t>0659-000</t>
  </si>
  <si>
    <t>ホルビー</t>
  </si>
  <si>
    <t>あなほりポケモン</t>
  </si>
  <si>
    <t>ほおぶくろ</t>
  </si>
  <si>
    <t>0660-000</t>
  </si>
  <si>
    <t>ホルード</t>
  </si>
  <si>
    <t>0661-000</t>
  </si>
  <si>
    <t>ヤヤコマ</t>
  </si>
  <si>
    <t>pm0661_00_00_00.png</t>
  </si>
  <si>
    <t>コマドリポケモン</t>
  </si>
  <si>
    <t>はやてのつばさ</t>
  </si>
  <si>
    <t>0662-000</t>
  </si>
  <si>
    <t>ヒノヤコマ</t>
  </si>
  <si>
    <t>pm0662_00_00_00.png</t>
  </si>
  <si>
    <t>0663-000</t>
  </si>
  <si>
    <t>ファイアロー</t>
  </si>
  <si>
    <t>pm0663_00_00_00.png</t>
  </si>
  <si>
    <t>れっかポケモン</t>
  </si>
  <si>
    <t>0664-000</t>
  </si>
  <si>
    <t>コフキムシ</t>
  </si>
  <si>
    <t>pm0664_00_00_00.png</t>
  </si>
  <si>
    <t>こなふきポケモン</t>
  </si>
  <si>
    <t>0665-000</t>
  </si>
  <si>
    <t>コフーライ</t>
  </si>
  <si>
    <t>pm0665_00_00_00.png</t>
  </si>
  <si>
    <t>0666-000</t>
  </si>
  <si>
    <t>ビビヨン</t>
  </si>
  <si>
    <t>ひょうせつのもよう</t>
  </si>
  <si>
    <t>pm0666_11_00_00.png</t>
  </si>
  <si>
    <t>りんぷんポケモン</t>
  </si>
  <si>
    <t>ゆきぐにのもよう</t>
  </si>
  <si>
    <t>pm0666_12_00_00.png</t>
  </si>
  <si>
    <t>せつげんのもよう</t>
  </si>
  <si>
    <t>pm0666_13_00_00.png</t>
  </si>
  <si>
    <t>たいりくのもよう</t>
  </si>
  <si>
    <t>pm0666_14_00_00.png</t>
  </si>
  <si>
    <t>ていえんのもよう</t>
  </si>
  <si>
    <t>pm0666_15_00_00.png</t>
  </si>
  <si>
    <t>みやびなもよう</t>
  </si>
  <si>
    <t>pm0666_16_00_00.png</t>
  </si>
  <si>
    <t>はなぞののもよう</t>
  </si>
  <si>
    <t>pm0666_17_00_00.png</t>
  </si>
  <si>
    <t>モダンなもよう</t>
  </si>
  <si>
    <t>pm0666_18_00_00.png</t>
  </si>
  <si>
    <t>マリンのもよう</t>
  </si>
  <si>
    <t>pm0666_19_00_00.png</t>
  </si>
  <si>
    <t>ぐんとうのもよう</t>
  </si>
  <si>
    <t>pm0666_20_00_00.png</t>
  </si>
  <si>
    <t>こうやのもよう</t>
  </si>
  <si>
    <t>pm0666_21_00_00.png</t>
  </si>
  <si>
    <t>さじんのもよう</t>
  </si>
  <si>
    <t>pm0666_22_00_00.png</t>
  </si>
  <si>
    <t>たいがのもよう</t>
  </si>
  <si>
    <t>pm0666_23_00_00.png</t>
  </si>
  <si>
    <t>スコールのもよう</t>
  </si>
  <si>
    <t>pm0666_24_00_00.png</t>
  </si>
  <si>
    <t>サバンナのもよう</t>
  </si>
  <si>
    <t>pm0666_25_00_00.png</t>
  </si>
  <si>
    <t>たいようのもよう</t>
  </si>
  <si>
    <t>pm0666_26_00_00.png</t>
  </si>
  <si>
    <t>オーシャンのもよう</t>
  </si>
  <si>
    <t>pm0666_27_00_00.png</t>
  </si>
  <si>
    <t>ジャングルのもよう</t>
  </si>
  <si>
    <t>pm0666_28_00_00.png</t>
  </si>
  <si>
    <t>ファンシーなもよう</t>
  </si>
  <si>
    <t>pm0666_29_00_00.png</t>
  </si>
  <si>
    <t>ボールもよう</t>
  </si>
  <si>
    <t>pm0666_30_00_00.png</t>
  </si>
  <si>
    <t>0667-000</t>
  </si>
  <si>
    <t>シシコ</t>
  </si>
  <si>
    <t>pm0667_00_00_00.png</t>
  </si>
  <si>
    <t>わかじしポケモン</t>
  </si>
  <si>
    <t>0668-000</t>
  </si>
  <si>
    <t>カエンジシ</t>
  </si>
  <si>
    <t>pm0668_00_00_00.png</t>
  </si>
  <si>
    <t>pm0668_01_00_00.png</t>
  </si>
  <si>
    <t>0669-000</t>
  </si>
  <si>
    <t>フラベベ</t>
  </si>
  <si>
    <t>あかいはな</t>
  </si>
  <si>
    <t>pm0669_11_00_00.png</t>
  </si>
  <si>
    <t>いちりんポケモン</t>
  </si>
  <si>
    <t>フラワーベール</t>
  </si>
  <si>
    <t>きょうせい</t>
  </si>
  <si>
    <t>きいろのはな</t>
  </si>
  <si>
    <t>pm0669_12_00_00.png</t>
  </si>
  <si>
    <t>オレンジいろのはな</t>
  </si>
  <si>
    <t>pm0669_13_00_00.png</t>
  </si>
  <si>
    <t>あおいはな</t>
  </si>
  <si>
    <t>pm0669_14_00_00.png</t>
  </si>
  <si>
    <t>しろいはな</t>
  </si>
  <si>
    <t>pm0669_15_00_00.png</t>
  </si>
  <si>
    <t>0670-000</t>
  </si>
  <si>
    <t>フラエッテ</t>
  </si>
  <si>
    <t>pm0670_11_00_00.png</t>
  </si>
  <si>
    <t>pm0670_12_00_00.png</t>
  </si>
  <si>
    <t>pm0670_13_00_00.png</t>
  </si>
  <si>
    <t>pm0670_14_00_00.png</t>
  </si>
  <si>
    <t>pm0670_15_00_00.png</t>
  </si>
  <si>
    <t>0671-000</t>
  </si>
  <si>
    <t>フラージェス</t>
  </si>
  <si>
    <t>pm0671_11_00_00.png</t>
  </si>
  <si>
    <t>ガーデンポケモン</t>
  </si>
  <si>
    <t>pm0671_12_00_00.png</t>
  </si>
  <si>
    <t>pm0671_13_00_00.png</t>
  </si>
  <si>
    <t>pm0671_14_00_00.png</t>
  </si>
  <si>
    <t>pm0671_15_00_00.png</t>
  </si>
  <si>
    <t>0672-000</t>
  </si>
  <si>
    <t>メェークル</t>
  </si>
  <si>
    <t>pm0672_00_00_00.png</t>
  </si>
  <si>
    <t>ライドポケモン</t>
  </si>
  <si>
    <t>くさのけがわ</t>
  </si>
  <si>
    <t>0673-000</t>
  </si>
  <si>
    <t>ゴーゴート</t>
  </si>
  <si>
    <t>pm0673_00_00_00.png</t>
  </si>
  <si>
    <t>0674-000</t>
  </si>
  <si>
    <t>ヤンチャム</t>
  </si>
  <si>
    <t>0675-000</t>
  </si>
  <si>
    <t>ゴロンダ</t>
  </si>
  <si>
    <t>こわもてポケモン</t>
  </si>
  <si>
    <t>0676-000</t>
  </si>
  <si>
    <t>トリミアン</t>
  </si>
  <si>
    <t>やせいのすがた</t>
  </si>
  <si>
    <t>プードルポケモン</t>
  </si>
  <si>
    <t>0677-000</t>
  </si>
  <si>
    <t>ニャスパー</t>
  </si>
  <si>
    <t>pm0677_00_00_00.png</t>
  </si>
  <si>
    <t>じせいポケモン</t>
  </si>
  <si>
    <t>0678-000</t>
  </si>
  <si>
    <t>ニャオニクス</t>
  </si>
  <si>
    <t>オスのすがた</t>
  </si>
  <si>
    <t>ニャオニクス(オス)</t>
  </si>
  <si>
    <t>pm0678_00_00_00.png</t>
  </si>
  <si>
    <t>よくせいポケモン</t>
  </si>
  <si>
    <t>0678-001</t>
  </si>
  <si>
    <t>メスのすがた</t>
  </si>
  <si>
    <t>ニャオニクス(メス)</t>
  </si>
  <si>
    <t>pm0678_01_00_00.png</t>
  </si>
  <si>
    <t>0679-000</t>
  </si>
  <si>
    <t>ヒトツキ</t>
  </si>
  <si>
    <t>とうけんポケモン</t>
  </si>
  <si>
    <t>0680-000</t>
  </si>
  <si>
    <t>ニダンギル</t>
  </si>
  <si>
    <t>0681-000</t>
  </si>
  <si>
    <t>ギルガルド</t>
  </si>
  <si>
    <t>シールドフォルム</t>
  </si>
  <si>
    <t>ギルガルド(シールド)</t>
  </si>
  <si>
    <t>おうけんポケモン</t>
  </si>
  <si>
    <t>バトルスイッチ</t>
  </si>
  <si>
    <t>0681-001</t>
  </si>
  <si>
    <t>ブレードフォルム</t>
  </si>
  <si>
    <t>ギルガルド(ブレード)</t>
  </si>
  <si>
    <t>0682-000</t>
  </si>
  <si>
    <t>シュシュプ</t>
  </si>
  <si>
    <t>こうすいポケモン</t>
  </si>
  <si>
    <t>アロマベール</t>
  </si>
  <si>
    <t>0683-000</t>
  </si>
  <si>
    <t>フレフワン</t>
  </si>
  <si>
    <t>ほうこうポケモン</t>
  </si>
  <si>
    <t>0684-000</t>
  </si>
  <si>
    <t>ペロッパフ</t>
  </si>
  <si>
    <t>わたあめポケモン</t>
  </si>
  <si>
    <t>スイートベール</t>
  </si>
  <si>
    <t>0685-000</t>
  </si>
  <si>
    <t>ペロリーム</t>
  </si>
  <si>
    <t>ホイップポケモン</t>
  </si>
  <si>
    <t>0686-000</t>
  </si>
  <si>
    <t>マーイーカ</t>
  </si>
  <si>
    <t>pm0686_00_00_00.png</t>
  </si>
  <si>
    <t>かいてんポケモン</t>
  </si>
  <si>
    <t>0687-000</t>
  </si>
  <si>
    <t>カラマネロ</t>
  </si>
  <si>
    <t>pm0687_00_00_00.png</t>
  </si>
  <si>
    <t>ぎゃくてんポケモン</t>
  </si>
  <si>
    <t>0688-000</t>
  </si>
  <si>
    <t>カメテテ</t>
  </si>
  <si>
    <t>ふたてポケモン</t>
  </si>
  <si>
    <t>0689-000</t>
  </si>
  <si>
    <t>ガメノデス</t>
  </si>
  <si>
    <t>しゅうごうポケモン</t>
  </si>
  <si>
    <t>0690-000</t>
  </si>
  <si>
    <t>クズモー</t>
  </si>
  <si>
    <t>pm0690_00_00_00.png</t>
  </si>
  <si>
    <t>クサモドキポケモン</t>
  </si>
  <si>
    <t>0691-000</t>
  </si>
  <si>
    <t>ドラミドロ</t>
  </si>
  <si>
    <t>pm0691_00_00_00.png</t>
  </si>
  <si>
    <t>0692-000</t>
  </si>
  <si>
    <t>ウデッポウ</t>
  </si>
  <si>
    <t>pm0692_00_00_00.png</t>
  </si>
  <si>
    <t>みずでっぽうポケモン</t>
  </si>
  <si>
    <t>0693-000</t>
  </si>
  <si>
    <t>ブロスター</t>
  </si>
  <si>
    <t>pm0693_00_00_00.png</t>
  </si>
  <si>
    <t>ランチャーポケモン</t>
  </si>
  <si>
    <t>0694-000</t>
  </si>
  <si>
    <t>エリキテル</t>
  </si>
  <si>
    <t>はつでんポケモン</t>
  </si>
  <si>
    <t>0695-000</t>
  </si>
  <si>
    <t>エレザード</t>
  </si>
  <si>
    <t>0696-000</t>
  </si>
  <si>
    <t>チゴラス</t>
  </si>
  <si>
    <t>ようくんポケモン</t>
  </si>
  <si>
    <t>0697-000</t>
  </si>
  <si>
    <t>ガチゴラス</t>
  </si>
  <si>
    <t>ぼうくんポケモン</t>
  </si>
  <si>
    <t>0698-000</t>
  </si>
  <si>
    <t>アマルス</t>
  </si>
  <si>
    <t>ツンドラポケモン</t>
  </si>
  <si>
    <t>0699-000</t>
  </si>
  <si>
    <t>アマルルガ</t>
  </si>
  <si>
    <t>0700-000</t>
  </si>
  <si>
    <t>ニンフィア</t>
  </si>
  <si>
    <t>pm0700_00_00_00.png</t>
  </si>
  <si>
    <t>むすびつきポケモン</t>
  </si>
  <si>
    <t>0701-000</t>
  </si>
  <si>
    <t>ルチャブル</t>
  </si>
  <si>
    <t>pm0701_00_00_00.png</t>
  </si>
  <si>
    <t>レスリングポケモン</t>
  </si>
  <si>
    <t>0702-000</t>
  </si>
  <si>
    <t>デデンネ</t>
  </si>
  <si>
    <t>pm0702_00_00_00.png</t>
  </si>
  <si>
    <t>アンテナポケモン</t>
  </si>
  <si>
    <t>0703-000</t>
  </si>
  <si>
    <t>メレシー</t>
  </si>
  <si>
    <t>pm0703_00_00_00.png</t>
  </si>
  <si>
    <t>ほうせきポケモン</t>
  </si>
  <si>
    <t>0704-000</t>
  </si>
  <si>
    <t>ヌメラ</t>
  </si>
  <si>
    <t>pm0704_00_00_00.png</t>
  </si>
  <si>
    <t>なんたいポケモン</t>
  </si>
  <si>
    <t>ぬめぬめ</t>
  </si>
  <si>
    <t>0705-000</t>
  </si>
  <si>
    <t>ヌメイル</t>
  </si>
  <si>
    <t>pm0705_00_00_00.png</t>
  </si>
  <si>
    <t>0705-001</t>
  </si>
  <si>
    <t>ヌメイル(ヒスイ)</t>
  </si>
  <si>
    <t>pm0705_00_41_00.png</t>
  </si>
  <si>
    <t>0706-000</t>
  </si>
  <si>
    <t>ヌメルゴン</t>
  </si>
  <si>
    <t>pm0706_00_00_00.png</t>
  </si>
  <si>
    <t>0706-001</t>
  </si>
  <si>
    <t>ヌメルゴン(ヒスイ)</t>
  </si>
  <si>
    <t>pm0706_00_41_00.png</t>
  </si>
  <si>
    <t>からこもりポケモン</t>
  </si>
  <si>
    <t>0707-000</t>
  </si>
  <si>
    <t>クレッフィ</t>
  </si>
  <si>
    <t>pm0707_00_00_00.png</t>
  </si>
  <si>
    <t>かぎたばポケモン</t>
  </si>
  <si>
    <t>0708-000</t>
  </si>
  <si>
    <t>ボクレー</t>
  </si>
  <si>
    <t>pm0708_00_00_00.png</t>
  </si>
  <si>
    <t>きりかぶポケモン</t>
  </si>
  <si>
    <t>0709-000</t>
  </si>
  <si>
    <t>オーロット</t>
  </si>
  <si>
    <t>pm0709_00_00_00.png</t>
  </si>
  <si>
    <t>ろうぼくポケモン</t>
  </si>
  <si>
    <t>0710-000</t>
  </si>
  <si>
    <t>バケッチャ</t>
  </si>
  <si>
    <t>ふつうのサイズ</t>
  </si>
  <si>
    <t>バケッチャ(ふつう)</t>
  </si>
  <si>
    <t>かぼちゃポケモン</t>
  </si>
  <si>
    <t>0710-001</t>
  </si>
  <si>
    <t>ちいさいサイズ</t>
  </si>
  <si>
    <t>バケッチャ(ちいさい)</t>
  </si>
  <si>
    <t>0710-002</t>
  </si>
  <si>
    <t>おおきいサイズ</t>
  </si>
  <si>
    <t>バケッチャ(おおきい)</t>
  </si>
  <si>
    <t>0710-003</t>
  </si>
  <si>
    <t>とくだいサイズ</t>
  </si>
  <si>
    <t>バケッチャ(とくだい)</t>
  </si>
  <si>
    <t>0711-000</t>
  </si>
  <si>
    <t>パンプジン</t>
  </si>
  <si>
    <t>パンプジン(ふつう)</t>
  </si>
  <si>
    <t>0711-001</t>
  </si>
  <si>
    <t>パンプジン(ちいさい)</t>
  </si>
  <si>
    <t>0711-002</t>
  </si>
  <si>
    <t>パンプジン(おおきい)</t>
  </si>
  <si>
    <t>0711-003</t>
  </si>
  <si>
    <t>パンプジン(とくだい)</t>
  </si>
  <si>
    <t>0712-000</t>
  </si>
  <si>
    <t>カチコール</t>
  </si>
  <si>
    <t>pm0712_00_00_00.png</t>
  </si>
  <si>
    <t>ひょうかいポケモン</t>
  </si>
  <si>
    <t>0713-000</t>
  </si>
  <si>
    <t>クレベース</t>
  </si>
  <si>
    <t>pm0713_00_00_00.png</t>
  </si>
  <si>
    <t>0713-001</t>
  </si>
  <si>
    <t>クレベース(ヒスイ)</t>
  </si>
  <si>
    <t>pm0713_00_41_00.png</t>
  </si>
  <si>
    <t>0714-000</t>
  </si>
  <si>
    <t>オンバット</t>
  </si>
  <si>
    <t>pm0714_00_00_00.png</t>
  </si>
  <si>
    <t>おんぱポケモン</t>
  </si>
  <si>
    <t>0715-000</t>
  </si>
  <si>
    <t>オンバーン</t>
  </si>
  <si>
    <t>pm0715_00_00_00.png</t>
  </si>
  <si>
    <t>0716-000</t>
  </si>
  <si>
    <t>ゼルネアス</t>
  </si>
  <si>
    <t>リラックスモード</t>
  </si>
  <si>
    <t>せいめいポケモン</t>
  </si>
  <si>
    <t>フェアリーオーラ</t>
  </si>
  <si>
    <t>0717-000</t>
  </si>
  <si>
    <t>イベルタル</t>
  </si>
  <si>
    <t>はかいポケモン</t>
  </si>
  <si>
    <t>ダークオーラ</t>
  </si>
  <si>
    <t>0718-000</t>
  </si>
  <si>
    <t>ジガルデ</t>
  </si>
  <si>
    <t>５０％フォルム</t>
  </si>
  <si>
    <t>ジガルデ(５０％)</t>
  </si>
  <si>
    <t>ちつじょポケモン</t>
  </si>
  <si>
    <t>オーラブレイク</t>
  </si>
  <si>
    <t>スワームチェンジ</t>
  </si>
  <si>
    <t>0718-001</t>
  </si>
  <si>
    <t>１０％フォルム</t>
  </si>
  <si>
    <t>ジガルデ(１０％)</t>
  </si>
  <si>
    <t>0718-004</t>
  </si>
  <si>
    <t>パーフェクトフォルム</t>
  </si>
  <si>
    <t>ジガルデ(パーフェクト)</t>
  </si>
  <si>
    <t>0719-000</t>
  </si>
  <si>
    <t>ディアンシー</t>
  </si>
  <si>
    <t>pm0719_00_00_00.png</t>
  </si>
  <si>
    <t>0719-001</t>
  </si>
  <si>
    <t>メガディアンシー</t>
  </si>
  <si>
    <t>0720-000</t>
  </si>
  <si>
    <t>フーパ</t>
  </si>
  <si>
    <t>いましめられしフーパ</t>
  </si>
  <si>
    <t>フーパ(いましめられし)</t>
  </si>
  <si>
    <t>pm0720_11_00_00.png</t>
  </si>
  <si>
    <t>いたずらポケモン</t>
  </si>
  <si>
    <t>0720-001</t>
  </si>
  <si>
    <t>ときはなたれしフーパ</t>
  </si>
  <si>
    <t>フーパ(ときはなたれし)</t>
  </si>
  <si>
    <t>pm0720_12_00_00.png</t>
  </si>
  <si>
    <t>まじんポケモン</t>
  </si>
  <si>
    <t>0721-000</t>
  </si>
  <si>
    <t>ボルケニオン</t>
  </si>
  <si>
    <t>pm0721_00_00_00.png</t>
  </si>
  <si>
    <t>スチームポケモン</t>
  </si>
  <si>
    <t>0722-000</t>
  </si>
  <si>
    <t>モクロー</t>
  </si>
  <si>
    <t>pm0722_00_00_00.png</t>
  </si>
  <si>
    <t>くさばねポケモン</t>
  </si>
  <si>
    <t>えんかく</t>
  </si>
  <si>
    <t>0723-000</t>
  </si>
  <si>
    <t>フクスロー</t>
  </si>
  <si>
    <t>pm0723_00_00_00.png</t>
  </si>
  <si>
    <t>はばねポケモン</t>
  </si>
  <si>
    <t>0724-000</t>
  </si>
  <si>
    <t>ジュナイパー</t>
  </si>
  <si>
    <t>pm0724_00_00_00.png</t>
  </si>
  <si>
    <t>やばねポケモン</t>
  </si>
  <si>
    <t>0724-001</t>
  </si>
  <si>
    <t>ジュナイパー(ヒスイ)</t>
  </si>
  <si>
    <t>pm0724_00_41_00.png</t>
  </si>
  <si>
    <t>0725-000</t>
  </si>
  <si>
    <t>ニャビー</t>
  </si>
  <si>
    <t>pm0725_00_00_00.png</t>
  </si>
  <si>
    <t>ひねこポケモン</t>
  </si>
  <si>
    <t>0726-000</t>
  </si>
  <si>
    <t>ニャヒート</t>
  </si>
  <si>
    <t>pm0726_00_00_00.png</t>
  </si>
  <si>
    <t>0727-000</t>
  </si>
  <si>
    <t>ガオガエン</t>
  </si>
  <si>
    <t>pm0727_00_00_00.png</t>
  </si>
  <si>
    <t>ヒールポケモン</t>
  </si>
  <si>
    <t>0728-000</t>
  </si>
  <si>
    <t>アシマリ</t>
  </si>
  <si>
    <t>pm0728_00_00_00.png</t>
  </si>
  <si>
    <t>うるおいボイス</t>
  </si>
  <si>
    <t>0729-000</t>
  </si>
  <si>
    <t>オシャマリ</t>
  </si>
  <si>
    <t>pm0729_00_00_00.png</t>
  </si>
  <si>
    <t>アイドルポケモン</t>
  </si>
  <si>
    <t>0730-000</t>
  </si>
  <si>
    <t>アシレーヌ</t>
  </si>
  <si>
    <t>pm0730_00_00_00.png</t>
  </si>
  <si>
    <t>ソリストポケモン</t>
  </si>
  <si>
    <t>0731-000</t>
  </si>
  <si>
    <t>ツツケラ</t>
  </si>
  <si>
    <t>pm0731_00_00_00.png</t>
  </si>
  <si>
    <t>きつつきポケモン</t>
  </si>
  <si>
    <t>0732-000</t>
  </si>
  <si>
    <t>ケララッパ</t>
  </si>
  <si>
    <t>pm0732_00_00_00.png</t>
  </si>
  <si>
    <t>ラッパぐちポケモン</t>
  </si>
  <si>
    <t>0733-000</t>
  </si>
  <si>
    <t>ドデカバシ</t>
  </si>
  <si>
    <t>pm0733_00_00_00.png</t>
  </si>
  <si>
    <t>おおづつポケモン</t>
  </si>
  <si>
    <t>0734-000</t>
  </si>
  <si>
    <t>ヤングース</t>
  </si>
  <si>
    <t>pm0734_00_00_00.png</t>
  </si>
  <si>
    <t>うろつきポケモン</t>
  </si>
  <si>
    <t>はりこみ</t>
  </si>
  <si>
    <t>0735-000</t>
  </si>
  <si>
    <t>デカグース</t>
  </si>
  <si>
    <t>pm0735_00_00_00.png</t>
  </si>
  <si>
    <t>はりこみポケモン</t>
  </si>
  <si>
    <t>0736-000</t>
  </si>
  <si>
    <t>アゴジムシ</t>
  </si>
  <si>
    <t>pm0736_00_00_00.png</t>
  </si>
  <si>
    <t>ようちゅうポケモン</t>
  </si>
  <si>
    <t>0737-000</t>
  </si>
  <si>
    <t>デンヂムシ</t>
  </si>
  <si>
    <t>pm0737_00_00_00.png</t>
  </si>
  <si>
    <t>バッテリーポケモン</t>
  </si>
  <si>
    <t>バッテリー</t>
  </si>
  <si>
    <t>0738-000</t>
  </si>
  <si>
    <t>クワガノン</t>
  </si>
  <si>
    <t>pm0738_00_00_00.png</t>
  </si>
  <si>
    <t>0739-000</t>
  </si>
  <si>
    <t>マケンカニ</t>
  </si>
  <si>
    <t>pm0739_00_00_00.png</t>
  </si>
  <si>
    <t>けんとうポケモン</t>
  </si>
  <si>
    <t>0740-000</t>
  </si>
  <si>
    <t>ケケンカニ</t>
  </si>
  <si>
    <t>pm0740_00_00_00.png</t>
  </si>
  <si>
    <t>けがにポケモン</t>
  </si>
  <si>
    <t>0741-000</t>
  </si>
  <si>
    <t>オドリドリ</t>
  </si>
  <si>
    <t>めらめらスタイル</t>
  </si>
  <si>
    <t>オドリドリ(めらめら)</t>
  </si>
  <si>
    <t>pm0741_11_00_00.png</t>
  </si>
  <si>
    <t>おどりこ</t>
  </si>
  <si>
    <t>0741-001</t>
  </si>
  <si>
    <t>ぱちぱちスタイル</t>
  </si>
  <si>
    <t>オドリドリ(ぱちぱち)</t>
  </si>
  <si>
    <t>pm0741_12_00_00.png</t>
  </si>
  <si>
    <t>0741-002</t>
  </si>
  <si>
    <t>ふらふらスタイル</t>
  </si>
  <si>
    <t>オドリドリ(ふらふら)</t>
  </si>
  <si>
    <t>pm0741_13_00_00.png</t>
  </si>
  <si>
    <t>0741-003</t>
  </si>
  <si>
    <t>まいまいスタイル</t>
  </si>
  <si>
    <t>オドリドリ(まいまい)</t>
  </si>
  <si>
    <t>pm0741_14_00_00.png</t>
  </si>
  <si>
    <t>0742-000</t>
  </si>
  <si>
    <t>アブリー</t>
  </si>
  <si>
    <t>pm0742_00_00_00.png</t>
  </si>
  <si>
    <t>ツリアブポケモン</t>
  </si>
  <si>
    <t>0743-000</t>
  </si>
  <si>
    <t>アブリボン</t>
  </si>
  <si>
    <t>pm0743_00_00_00.png</t>
  </si>
  <si>
    <t>0744-000</t>
  </si>
  <si>
    <t>イワンコ</t>
  </si>
  <si>
    <t>pm0744_00_00_00.png</t>
  </si>
  <si>
    <t>0745-000</t>
  </si>
  <si>
    <t>ルガルガン</t>
  </si>
  <si>
    <t>まひるのすがた</t>
  </si>
  <si>
    <t>ルガルガン(まひる)</t>
  </si>
  <si>
    <t>pm0745_11_00_00.png</t>
  </si>
  <si>
    <t>オオカミポケモン</t>
  </si>
  <si>
    <t>0745-001</t>
  </si>
  <si>
    <t>まよなかのすがた</t>
  </si>
  <si>
    <t>ルガルガン(まよなか)</t>
  </si>
  <si>
    <t>pm0745_12_00_00.png</t>
  </si>
  <si>
    <t>0745-002</t>
  </si>
  <si>
    <t>たそがれのすがた</t>
  </si>
  <si>
    <t>ルガルガン(たそがれ)</t>
  </si>
  <si>
    <t>pm0745_13_00_00.png</t>
  </si>
  <si>
    <t>0746-000</t>
  </si>
  <si>
    <t>ヨワシ</t>
  </si>
  <si>
    <t>たんどくのすがた</t>
  </si>
  <si>
    <t>ヨワシ(たんどく)</t>
  </si>
  <si>
    <t>こざかなポケモン</t>
  </si>
  <si>
    <t>ぎょぐん</t>
  </si>
  <si>
    <t>0746-001</t>
  </si>
  <si>
    <t>むれたすがた</t>
  </si>
  <si>
    <t>ヨワシ(むれ)</t>
  </si>
  <si>
    <t>0747-000</t>
  </si>
  <si>
    <t>ヒドイデ</t>
  </si>
  <si>
    <t>pm0747_00_00_00.png</t>
  </si>
  <si>
    <t>ヒトデナシポケモン</t>
  </si>
  <si>
    <t>ひとでなし</t>
  </si>
  <si>
    <t>0748-000</t>
  </si>
  <si>
    <t>ドヒドイデ</t>
  </si>
  <si>
    <t>pm0748_00_00_00.png</t>
  </si>
  <si>
    <t>0749-000</t>
  </si>
  <si>
    <t>ドロバンコ</t>
  </si>
  <si>
    <t>pm0749_00_00_00.png</t>
  </si>
  <si>
    <t>うさぎうまポケモン</t>
  </si>
  <si>
    <t>じきゅうりょく</t>
  </si>
  <si>
    <t>0750-000</t>
  </si>
  <si>
    <t>バンバドロ</t>
  </si>
  <si>
    <t>pm0750_00_00_00.png</t>
  </si>
  <si>
    <t>ばんばポケモン</t>
  </si>
  <si>
    <t>0751-000</t>
  </si>
  <si>
    <t>シズクモ</t>
  </si>
  <si>
    <t>pm0751_00_00_00.png</t>
  </si>
  <si>
    <t>すいほうポケモン</t>
  </si>
  <si>
    <t>すいほう</t>
  </si>
  <si>
    <t>0752-000</t>
  </si>
  <si>
    <t>オニシズクモ</t>
  </si>
  <si>
    <t>pm0752_00_00_00.png</t>
  </si>
  <si>
    <t>0753-000</t>
  </si>
  <si>
    <t>カリキリ</t>
  </si>
  <si>
    <t>pm0753_00_00_00.png</t>
  </si>
  <si>
    <t>かまくさポケモン</t>
  </si>
  <si>
    <t>0754-000</t>
  </si>
  <si>
    <t>ラランテス</t>
  </si>
  <si>
    <t>pm0754_00_00_00.png</t>
  </si>
  <si>
    <t>はなかまポケモン</t>
  </si>
  <si>
    <t>0755-000</t>
  </si>
  <si>
    <t>ネマシュ</t>
  </si>
  <si>
    <t>0756-000</t>
  </si>
  <si>
    <t>マシェード</t>
  </si>
  <si>
    <t>0757-000</t>
  </si>
  <si>
    <t>ヤトウモリ</t>
  </si>
  <si>
    <t>pm0757_00_00_00.png</t>
  </si>
  <si>
    <t>どくトカゲポケモン</t>
  </si>
  <si>
    <t>ふしょく</t>
  </si>
  <si>
    <t>0758-000</t>
  </si>
  <si>
    <t>エンニュート</t>
  </si>
  <si>
    <t>pm0758_00_00_00.png</t>
  </si>
  <si>
    <t>0759-000</t>
  </si>
  <si>
    <t>ヌイコグマ</t>
  </si>
  <si>
    <t>じたばたポケモン</t>
  </si>
  <si>
    <t>もふもふ</t>
  </si>
  <si>
    <t>0760-000</t>
  </si>
  <si>
    <t>キテルグマ</t>
  </si>
  <si>
    <t>ごうわんポケモン</t>
  </si>
  <si>
    <t>0761-000</t>
  </si>
  <si>
    <t>アマカジ</t>
  </si>
  <si>
    <t>pm0761_00_00_00.png</t>
  </si>
  <si>
    <t>0762-000</t>
  </si>
  <si>
    <t>アママイコ</t>
  </si>
  <si>
    <t>pm0762_00_00_00.png</t>
  </si>
  <si>
    <t>0763-000</t>
  </si>
  <si>
    <t>アマージョ</t>
  </si>
  <si>
    <t>pm0763_00_00_00.png</t>
  </si>
  <si>
    <t>じょおうのいげん</t>
  </si>
  <si>
    <t>0764-000</t>
  </si>
  <si>
    <t>キュワワー</t>
  </si>
  <si>
    <t>pm0764_00_00_00.png</t>
  </si>
  <si>
    <t>はなつみポケモン</t>
  </si>
  <si>
    <t>ヒーリングシフト</t>
  </si>
  <si>
    <t>0765-000</t>
  </si>
  <si>
    <t>ヤレユータン</t>
  </si>
  <si>
    <t>pm0765_00_00_00.png</t>
  </si>
  <si>
    <t>けんじゃポケモン</t>
  </si>
  <si>
    <t>0766-000</t>
  </si>
  <si>
    <t>ナゲツケサル</t>
  </si>
  <si>
    <t>pm0766_00_00_00.png</t>
  </si>
  <si>
    <t>れんけいポケモン</t>
  </si>
  <si>
    <t>レシーバー</t>
  </si>
  <si>
    <t>0767-000</t>
  </si>
  <si>
    <t>コソクムシ</t>
  </si>
  <si>
    <t>そうこうポケモン</t>
  </si>
  <si>
    <t>にげごし</t>
  </si>
  <si>
    <t>0768-000</t>
  </si>
  <si>
    <t>グソクムシャ</t>
  </si>
  <si>
    <t>ききかいひ</t>
  </si>
  <si>
    <t>0769-000</t>
  </si>
  <si>
    <t>スナバァ</t>
  </si>
  <si>
    <t>pm0769_00_00_00.png</t>
  </si>
  <si>
    <t>すなやまポケモン</t>
  </si>
  <si>
    <t>みずがため</t>
  </si>
  <si>
    <t>0770-000</t>
  </si>
  <si>
    <t>シロデスナ</t>
  </si>
  <si>
    <t>pm0770_00_00_00.png</t>
  </si>
  <si>
    <t>すなのしろポケモン</t>
  </si>
  <si>
    <t>0771-000</t>
  </si>
  <si>
    <t>ナマコブシ</t>
  </si>
  <si>
    <t>なまこポケモン</t>
  </si>
  <si>
    <t>とびだすなかみ</t>
  </si>
  <si>
    <t>0772-000</t>
  </si>
  <si>
    <t>タイプ：ヌル</t>
  </si>
  <si>
    <t>じんこうポケモン</t>
  </si>
  <si>
    <t>0773-000</t>
  </si>
  <si>
    <t>シルヴァディ</t>
  </si>
  <si>
    <t>タイプ：ノーマル</t>
  </si>
  <si>
    <t>ＡＲシステム</t>
  </si>
  <si>
    <t>ARシステム</t>
  </si>
  <si>
    <t>0774-000</t>
  </si>
  <si>
    <t>メテノ</t>
  </si>
  <si>
    <t>りゅうせいのすがた</t>
  </si>
  <si>
    <t>メテノ(りゅうせい)</t>
  </si>
  <si>
    <t>pm0774_11_00_00.png</t>
  </si>
  <si>
    <t>ながれぼしポケモン</t>
  </si>
  <si>
    <t>リミットシールド</t>
  </si>
  <si>
    <t>0774-007</t>
  </si>
  <si>
    <t>あかいろのコア</t>
  </si>
  <si>
    <t>メテノ(コア)</t>
  </si>
  <si>
    <t>pm0774_12_00_00.png</t>
  </si>
  <si>
    <t>だいだいいろのコア</t>
  </si>
  <si>
    <t>pm0774_12_00_01.png</t>
  </si>
  <si>
    <t>きいろのコア</t>
  </si>
  <si>
    <t>pm0774_12_00_02.png</t>
  </si>
  <si>
    <t>みどりいろのコア</t>
  </si>
  <si>
    <t>pm0774_12_00_03.png</t>
  </si>
  <si>
    <t>みずいろのコア</t>
  </si>
  <si>
    <t>pm0774_12_00_04.png</t>
  </si>
  <si>
    <t>あおいろのコア</t>
  </si>
  <si>
    <t>pm0774_12_00_05.png</t>
  </si>
  <si>
    <t>むらさきいろのコア</t>
  </si>
  <si>
    <t>pm0774_12_00_06.png</t>
  </si>
  <si>
    <t>0775-000</t>
  </si>
  <si>
    <t>ネッコアラ</t>
  </si>
  <si>
    <t>pm0775_00_00_00.png</t>
  </si>
  <si>
    <t>ぜったいねむり</t>
  </si>
  <si>
    <t>0776-000</t>
  </si>
  <si>
    <t>バクガメス</t>
  </si>
  <si>
    <t>ばくはつがめポケモン</t>
  </si>
  <si>
    <t>0777-000</t>
  </si>
  <si>
    <t>トゲデマル</t>
  </si>
  <si>
    <t>まるまりポケモン</t>
  </si>
  <si>
    <t>0778-000</t>
  </si>
  <si>
    <t>ミミッキュ</t>
  </si>
  <si>
    <t>pm0778_11_00_00.png</t>
  </si>
  <si>
    <t>ばけのかわポケモン</t>
  </si>
  <si>
    <t>ばけのかわ</t>
  </si>
  <si>
    <t>0779-000</t>
  </si>
  <si>
    <t>ハギギシリ</t>
  </si>
  <si>
    <t>pm0779_00_00_00.png</t>
  </si>
  <si>
    <t>はぎしりポケモン</t>
  </si>
  <si>
    <t>ビビッドボディ</t>
  </si>
  <si>
    <t>0780-000</t>
  </si>
  <si>
    <t>ジジーロン</t>
  </si>
  <si>
    <t>ゆうゆうポケモン</t>
  </si>
  <si>
    <t>0781-000</t>
  </si>
  <si>
    <t>ダダリン</t>
  </si>
  <si>
    <t>もくずポケモン</t>
  </si>
  <si>
    <t>はがねつかい</t>
  </si>
  <si>
    <t>0782-000</t>
  </si>
  <si>
    <t>ジャラコ</t>
  </si>
  <si>
    <t>pm0782_00_00_00.png</t>
  </si>
  <si>
    <t>うろこポケモン</t>
  </si>
  <si>
    <t>0783-000</t>
  </si>
  <si>
    <t>ジャランゴ</t>
  </si>
  <si>
    <t>pm0783_00_00_00.png</t>
  </si>
  <si>
    <t>0784-000</t>
  </si>
  <si>
    <t>ジャラランガ</t>
  </si>
  <si>
    <t>pm0784_00_00_00.png</t>
  </si>
  <si>
    <t>0785-000</t>
  </si>
  <si>
    <t>カプ・コケコ</t>
  </si>
  <si>
    <t>とちがみポケモン</t>
  </si>
  <si>
    <t>エレキメイカー</t>
  </si>
  <si>
    <t>0786-000</t>
  </si>
  <si>
    <t>カプ・テテフ</t>
  </si>
  <si>
    <t>サイコメイカー</t>
  </si>
  <si>
    <t>0787-000</t>
  </si>
  <si>
    <t>カプ・ブルル</t>
  </si>
  <si>
    <t>グラスメイカー</t>
  </si>
  <si>
    <t>0788-000</t>
  </si>
  <si>
    <t>カプ・レヒレ</t>
  </si>
  <si>
    <t>ミストメイカー</t>
  </si>
  <si>
    <t>0789-000</t>
  </si>
  <si>
    <t>コスモッグ</t>
  </si>
  <si>
    <t>pm0789_00_00_00.png</t>
  </si>
  <si>
    <t>せいうんポケモン</t>
  </si>
  <si>
    <t>0790-000</t>
  </si>
  <si>
    <t>コスモウム</t>
  </si>
  <si>
    <t>pm0790_00_00_00.png</t>
  </si>
  <si>
    <t>げんしせいポケモン</t>
  </si>
  <si>
    <t>0791-000</t>
  </si>
  <si>
    <t>ソルガレオ</t>
  </si>
  <si>
    <t>pm0791_00_00_00.png</t>
  </si>
  <si>
    <t>にちりんポケモン</t>
  </si>
  <si>
    <t>メタルプロテクト</t>
  </si>
  <si>
    <t>0792-000</t>
  </si>
  <si>
    <t>ルナアーラ</t>
  </si>
  <si>
    <t>pm0792_00_00_00.png</t>
  </si>
  <si>
    <t>がちりんポケモン</t>
  </si>
  <si>
    <t>ファントムガード</t>
  </si>
  <si>
    <t>0793-000</t>
  </si>
  <si>
    <t>ウツロイド</t>
  </si>
  <si>
    <t>きせいポケモン</t>
  </si>
  <si>
    <t>ビーストブースト</t>
  </si>
  <si>
    <t>0794-000</t>
  </si>
  <si>
    <t>マッシブーン</t>
  </si>
  <si>
    <t>ぼうちょうポケモン</t>
  </si>
  <si>
    <t>0795-000</t>
  </si>
  <si>
    <t>フェローチェ</t>
  </si>
  <si>
    <t>えんびポケモン</t>
  </si>
  <si>
    <t>0796-000</t>
  </si>
  <si>
    <t>デンジュモク</t>
  </si>
  <si>
    <t>でんしょくポケモン</t>
  </si>
  <si>
    <t>0797-000</t>
  </si>
  <si>
    <t>テッカグヤ</t>
  </si>
  <si>
    <t>うちあげポケモン</t>
  </si>
  <si>
    <t>0798-000</t>
  </si>
  <si>
    <t>カミツルギ</t>
  </si>
  <si>
    <t>ばっとうポケモン</t>
  </si>
  <si>
    <t>0799-000</t>
  </si>
  <si>
    <t>アクジキング</t>
  </si>
  <si>
    <t>あくじきポケモン</t>
  </si>
  <si>
    <t>0800-000</t>
  </si>
  <si>
    <t>ネクロズマ</t>
  </si>
  <si>
    <t>pm0800_11_00_00.png</t>
  </si>
  <si>
    <t>プリズムポケモン</t>
  </si>
  <si>
    <t>プリズムアーマー</t>
  </si>
  <si>
    <t>0800-001</t>
  </si>
  <si>
    <t>たそがれのたてがみ</t>
  </si>
  <si>
    <t>ネクロズマ(たそがれ)</t>
  </si>
  <si>
    <t>pm0800_12_00_00.png</t>
  </si>
  <si>
    <t>0800-002</t>
  </si>
  <si>
    <t>あかつきのつばさ</t>
  </si>
  <si>
    <t>ネクロズマ(あかつき)</t>
  </si>
  <si>
    <t>pm0800_13_00_00.png</t>
  </si>
  <si>
    <t>0800-003</t>
  </si>
  <si>
    <t>ウルトラネクロズマ</t>
  </si>
  <si>
    <t>ネクロズマ(ウルトラネクロズマ)</t>
  </si>
  <si>
    <t>ブレインフォース</t>
  </si>
  <si>
    <t>0801-000</t>
  </si>
  <si>
    <t>マギアナ</t>
  </si>
  <si>
    <t>pm0801_11_00_00.png</t>
  </si>
  <si>
    <t>じんぞうポケモン</t>
  </si>
  <si>
    <t>ソウルハート</t>
  </si>
  <si>
    <t>500ねんまえのいろ</t>
  </si>
  <si>
    <t>pm0801_12_00_00.png</t>
  </si>
  <si>
    <t>0802-000</t>
  </si>
  <si>
    <t>マーシャドー</t>
  </si>
  <si>
    <t>かげすみポケモン</t>
  </si>
  <si>
    <t>0803-000</t>
  </si>
  <si>
    <t>ベベノム</t>
  </si>
  <si>
    <t>0804-000</t>
  </si>
  <si>
    <t>アーゴヨン</t>
  </si>
  <si>
    <t>0805-000</t>
  </si>
  <si>
    <t>ツンデツンデ</t>
  </si>
  <si>
    <t>いしがきポケモン</t>
  </si>
  <si>
    <t>0806-000</t>
  </si>
  <si>
    <t>ズガドーン</t>
  </si>
  <si>
    <t>はなびポケモン</t>
  </si>
  <si>
    <t>0807-000</t>
  </si>
  <si>
    <t>ゼラオラ</t>
  </si>
  <si>
    <t>じんらいポケモン</t>
  </si>
  <si>
    <t>0808-000</t>
  </si>
  <si>
    <t>メルタン</t>
  </si>
  <si>
    <t>ナットポケモン</t>
  </si>
  <si>
    <t>0809-000</t>
  </si>
  <si>
    <t>メルメタル</t>
  </si>
  <si>
    <t>0809-999</t>
  </si>
  <si>
    <t>メルメタル(キョダイ)</t>
  </si>
  <si>
    <t>0810-000</t>
  </si>
  <si>
    <t>サルノリ</t>
  </si>
  <si>
    <t>pm0810_00_00_00.png</t>
  </si>
  <si>
    <t>0811-000</t>
  </si>
  <si>
    <t>バチンキー</t>
  </si>
  <si>
    <t>pm0811_00_00_00.png</t>
  </si>
  <si>
    <t>ビートポケモン</t>
  </si>
  <si>
    <t>0812-000</t>
  </si>
  <si>
    <t>ゴリランダー</t>
  </si>
  <si>
    <t>pm0812_00_00_00.png</t>
  </si>
  <si>
    <t>ドラマーポケモン</t>
  </si>
  <si>
    <t>0812-999</t>
  </si>
  <si>
    <t>ゴリランダー(キョダイ)</t>
  </si>
  <si>
    <t>0813-000</t>
  </si>
  <si>
    <t>ヒバニー</t>
  </si>
  <si>
    <t>pm0813_00_00_00.png</t>
  </si>
  <si>
    <t>リベロ</t>
  </si>
  <si>
    <t>0814-000</t>
  </si>
  <si>
    <t>ラビフット</t>
  </si>
  <si>
    <t>pm0814_00_00_00.png</t>
  </si>
  <si>
    <t>0815-000</t>
  </si>
  <si>
    <t>エースバーン</t>
  </si>
  <si>
    <t>pm0815_00_00_00.png</t>
  </si>
  <si>
    <t>ストライカーポケモン</t>
  </si>
  <si>
    <t>0815-999</t>
  </si>
  <si>
    <t>エースバーン(キョダイ)</t>
  </si>
  <si>
    <t>0816-000</t>
  </si>
  <si>
    <t>メッソン</t>
  </si>
  <si>
    <t>pm0816_00_00_00.png</t>
  </si>
  <si>
    <t>みずとかげポケモン</t>
  </si>
  <si>
    <t>0817-000</t>
  </si>
  <si>
    <t>ジメレオン</t>
  </si>
  <si>
    <t>pm0817_00_00_00.png</t>
  </si>
  <si>
    <t>0818-000</t>
  </si>
  <si>
    <t>インテレオン</t>
  </si>
  <si>
    <t>pm0818_00_00_00.png</t>
  </si>
  <si>
    <t>エージェントポケモン</t>
  </si>
  <si>
    <t>0818-999</t>
  </si>
  <si>
    <t>インテレオン(キョダイ)</t>
  </si>
  <si>
    <t>0819-000</t>
  </si>
  <si>
    <t>ホシガリス</t>
  </si>
  <si>
    <t>pm0819_00_00_00.png</t>
  </si>
  <si>
    <t>ほおばりポケモン</t>
  </si>
  <si>
    <t>0820-000</t>
  </si>
  <si>
    <t>ヨクバリス</t>
  </si>
  <si>
    <t>pm0820_00_00_00.png</t>
  </si>
  <si>
    <t>よくばりポケモン</t>
  </si>
  <si>
    <t>0821-000</t>
  </si>
  <si>
    <t>ココガラ</t>
  </si>
  <si>
    <t>pm0821_00_00_00.png</t>
  </si>
  <si>
    <t>0822-000</t>
  </si>
  <si>
    <t>アオガラス</t>
  </si>
  <si>
    <t>pm0822_00_00_00.png</t>
  </si>
  <si>
    <t>カラスポケモン</t>
  </si>
  <si>
    <t>0823-000</t>
  </si>
  <si>
    <t>アーマーガア</t>
  </si>
  <si>
    <t>pm0823_00_00_00.png</t>
  </si>
  <si>
    <t>ミラーアーマー</t>
  </si>
  <si>
    <t>0823-999</t>
  </si>
  <si>
    <t>アーマーガア(キョダイ)</t>
  </si>
  <si>
    <t>0824-000</t>
  </si>
  <si>
    <t>サッチムシ</t>
  </si>
  <si>
    <t>0825-000</t>
  </si>
  <si>
    <t>レドームシ</t>
  </si>
  <si>
    <t>レドームポケモン</t>
  </si>
  <si>
    <t>0826-000</t>
  </si>
  <si>
    <t>イオルブ</t>
  </si>
  <si>
    <t>ななほしポケモン</t>
  </si>
  <si>
    <t>0826-999</t>
  </si>
  <si>
    <t>イオルブ(キョダイ)</t>
  </si>
  <si>
    <t>0827-000</t>
  </si>
  <si>
    <t>クスネ</t>
  </si>
  <si>
    <t>0828-000</t>
  </si>
  <si>
    <t>フォクスライ</t>
  </si>
  <si>
    <t>0829-000</t>
  </si>
  <si>
    <t>ヒメンカ</t>
  </si>
  <si>
    <t>わたげ</t>
  </si>
  <si>
    <t>0830-000</t>
  </si>
  <si>
    <t>ワタシラガ</t>
  </si>
  <si>
    <t>わたかざりポケモン</t>
  </si>
  <si>
    <t>0831-000</t>
  </si>
  <si>
    <t>ウールー</t>
  </si>
  <si>
    <t>ひつじポケモン</t>
  </si>
  <si>
    <t>0832-000</t>
  </si>
  <si>
    <t>バイウールー</t>
  </si>
  <si>
    <t>0833-000</t>
  </si>
  <si>
    <t>カムカメ</t>
  </si>
  <si>
    <t>pm0833_00_00_00.png</t>
  </si>
  <si>
    <t>くいつきポケモン</t>
  </si>
  <si>
    <t>0834-000</t>
  </si>
  <si>
    <t>カジリガメ</t>
  </si>
  <si>
    <t>pm0834_00_00_00.png</t>
  </si>
  <si>
    <t>0834-999</t>
  </si>
  <si>
    <t>カジリガメ(キョダイ)</t>
  </si>
  <si>
    <t>0835-000</t>
  </si>
  <si>
    <t>ワンパチ</t>
  </si>
  <si>
    <t>たまひろい</t>
  </si>
  <si>
    <t>0836-000</t>
  </si>
  <si>
    <t>パルスワン</t>
  </si>
  <si>
    <t>いぬポケモン</t>
  </si>
  <si>
    <t>0837-000</t>
  </si>
  <si>
    <t>タンドン</t>
  </si>
  <si>
    <t>pm0837_00_00_00.png</t>
  </si>
  <si>
    <t>じょうききかん</t>
  </si>
  <si>
    <t>0838-000</t>
  </si>
  <si>
    <t>トロッゴン</t>
  </si>
  <si>
    <t>pm0838_00_00_00.png</t>
  </si>
  <si>
    <t>0839-000</t>
  </si>
  <si>
    <t>セキタンザン</t>
  </si>
  <si>
    <t>pm0839_00_00_00.png</t>
  </si>
  <si>
    <t>0839-999</t>
  </si>
  <si>
    <t>セキタンザン(キョダイ)</t>
  </si>
  <si>
    <t>0840-000</t>
  </si>
  <si>
    <t>カジッチュ</t>
  </si>
  <si>
    <t>pm0840_00_00_00.png</t>
  </si>
  <si>
    <t>りんごぐらしポケモン</t>
  </si>
  <si>
    <t>じゅくせい</t>
  </si>
  <si>
    <t>0841-000</t>
  </si>
  <si>
    <t>アップリュー</t>
  </si>
  <si>
    <t>pm0841_00_00_00.png</t>
  </si>
  <si>
    <t>りんごはねポケモン</t>
  </si>
  <si>
    <t>0841-999</t>
  </si>
  <si>
    <t>アップリュー(キョダイ)</t>
  </si>
  <si>
    <t>0842-000</t>
  </si>
  <si>
    <t>タルップル</t>
  </si>
  <si>
    <t>pm0842_00_00_00.png</t>
  </si>
  <si>
    <t>りんごじるポケモン</t>
  </si>
  <si>
    <t>0842-999</t>
  </si>
  <si>
    <t>タルップル(キョダイ)</t>
  </si>
  <si>
    <t>0843-000</t>
  </si>
  <si>
    <t>スナヘビ</t>
  </si>
  <si>
    <t>pm0843_00_00_00.png</t>
  </si>
  <si>
    <t>すなへびポケモン</t>
  </si>
  <si>
    <t>すなはき</t>
  </si>
  <si>
    <t>0844-000</t>
  </si>
  <si>
    <t>サダイジャ</t>
  </si>
  <si>
    <t>pm0844_00_00_00.png</t>
  </si>
  <si>
    <t>0844-999</t>
  </si>
  <si>
    <t>サダイジャ(キョダイ)</t>
  </si>
  <si>
    <t>0845-000</t>
  </si>
  <si>
    <t>ウッウ</t>
  </si>
  <si>
    <t>pm0845_11_00_00.png</t>
  </si>
  <si>
    <t>うのみポケモン</t>
  </si>
  <si>
    <t>うのミサイル</t>
  </si>
  <si>
    <t>0846-000</t>
  </si>
  <si>
    <t>サシカマス</t>
  </si>
  <si>
    <t>pm0846_00_00_00.png</t>
  </si>
  <si>
    <t>とつげきポケモン</t>
  </si>
  <si>
    <t>スクリューおびれ</t>
  </si>
  <si>
    <t>0847-000</t>
  </si>
  <si>
    <t>カマスジョー</t>
  </si>
  <si>
    <t>pm0847_00_00_00.png</t>
  </si>
  <si>
    <t>くしざしポケモン</t>
  </si>
  <si>
    <t>0848-000</t>
  </si>
  <si>
    <t>エレズン</t>
  </si>
  <si>
    <t>pm0848_00_00_00.png</t>
  </si>
  <si>
    <t>あかごポケモン</t>
  </si>
  <si>
    <t>0849-000</t>
  </si>
  <si>
    <t>ストリンダー</t>
  </si>
  <si>
    <t>ハイなすがた</t>
  </si>
  <si>
    <t>ストリンダー(ハイ)</t>
  </si>
  <si>
    <t>pm0849_11_00_00.png</t>
  </si>
  <si>
    <t>パンクポケモン</t>
  </si>
  <si>
    <t>パンクロック</t>
  </si>
  <si>
    <t>0849-001</t>
  </si>
  <si>
    <t>ローなすがた</t>
  </si>
  <si>
    <t>ストリンダー(ロー)</t>
  </si>
  <si>
    <t>pm0849_12_00_00.png</t>
  </si>
  <si>
    <t>0849-999</t>
  </si>
  <si>
    <t>ストリンダー(キョダイ)</t>
  </si>
  <si>
    <t>0850-000</t>
  </si>
  <si>
    <t>ヤクデ</t>
  </si>
  <si>
    <t>はつねつポケモン</t>
  </si>
  <si>
    <t>0851-000</t>
  </si>
  <si>
    <t>マルヤクデ</t>
  </si>
  <si>
    <t>0851-999</t>
  </si>
  <si>
    <t>マルヤクデ(キョダイ)</t>
  </si>
  <si>
    <t>0852-000</t>
  </si>
  <si>
    <t>タタッコ</t>
  </si>
  <si>
    <t>だだっこポケモン</t>
  </si>
  <si>
    <t>0853-000</t>
  </si>
  <si>
    <t>オトスパス</t>
  </si>
  <si>
    <t>じゅうじゅつポケモン</t>
  </si>
  <si>
    <t>0854-000</t>
  </si>
  <si>
    <t>ヤバチャ</t>
  </si>
  <si>
    <t>pm0854_11_00_00.png</t>
  </si>
  <si>
    <t>こうちゃポケモン</t>
  </si>
  <si>
    <t>0855-000</t>
  </si>
  <si>
    <t>ポットデス</t>
  </si>
  <si>
    <t>pm0855_11_00_00.png</t>
  </si>
  <si>
    <t>0856-000</t>
  </si>
  <si>
    <t>ミブリム</t>
  </si>
  <si>
    <t>pm0856_00_00_00.png</t>
  </si>
  <si>
    <t>おだやかポケモン</t>
  </si>
  <si>
    <t>0857-000</t>
  </si>
  <si>
    <t>テブリム</t>
  </si>
  <si>
    <t>pm0857_00_00_00.png</t>
  </si>
  <si>
    <t>せいしゅくポケモン</t>
  </si>
  <si>
    <t>0858-000</t>
  </si>
  <si>
    <t>ブリムオン</t>
  </si>
  <si>
    <t>pm0858_00_00_00.png</t>
  </si>
  <si>
    <t>せいじゃくポケモン</t>
  </si>
  <si>
    <t>0858-999</t>
  </si>
  <si>
    <t>ブリムオン(キョダイ)</t>
  </si>
  <si>
    <t>0859-000</t>
  </si>
  <si>
    <t>ベロバー</t>
  </si>
  <si>
    <t>pm0859_00_00_00.png</t>
  </si>
  <si>
    <t>0860-000</t>
  </si>
  <si>
    <t>ギモー</t>
  </si>
  <si>
    <t>pm0860_00_00_00.png</t>
  </si>
  <si>
    <t>0861-000</t>
  </si>
  <si>
    <t>オーロンゲ</t>
  </si>
  <si>
    <t>pm0861_00_00_00.png</t>
  </si>
  <si>
    <t>ビルドアップポケモン</t>
  </si>
  <si>
    <t>0861-999</t>
  </si>
  <si>
    <t>オーロンゲ(キョダイ)</t>
  </si>
  <si>
    <t>0862-000</t>
  </si>
  <si>
    <t>タチフサグマ</t>
  </si>
  <si>
    <t>ていしポケモン</t>
  </si>
  <si>
    <t>0863-000</t>
  </si>
  <si>
    <t>ニャイキング</t>
  </si>
  <si>
    <t>pm0863_00_31_00.png</t>
  </si>
  <si>
    <t>バイキングポケモン</t>
  </si>
  <si>
    <t>はがねのせいしん</t>
  </si>
  <si>
    <t>0864-000</t>
  </si>
  <si>
    <t>サニゴーン</t>
  </si>
  <si>
    <t>ほろびのボディ</t>
  </si>
  <si>
    <t>0865-000</t>
  </si>
  <si>
    <t>ネギガナイト</t>
  </si>
  <si>
    <t>0866-000</t>
  </si>
  <si>
    <t>バリコオル</t>
  </si>
  <si>
    <t>コメディアンポケモン</t>
  </si>
  <si>
    <t>0867-000</t>
  </si>
  <si>
    <t>デスバーン</t>
  </si>
  <si>
    <t>おんねんポケモン</t>
  </si>
  <si>
    <t>0868-000</t>
  </si>
  <si>
    <t>マホミル</t>
  </si>
  <si>
    <t>pm0868_00_00_00.png</t>
  </si>
  <si>
    <t>クリームポケモン</t>
  </si>
  <si>
    <t>0869-000</t>
  </si>
  <si>
    <t>マホイップ</t>
  </si>
  <si>
    <t>ミルキィバニラ</t>
  </si>
  <si>
    <t>pm0869_11_00_00.png</t>
  </si>
  <si>
    <t>ミルキィルビー</t>
  </si>
  <si>
    <t>pm0869_12_00_00.png</t>
  </si>
  <si>
    <t>ミルキィまっちゃ</t>
  </si>
  <si>
    <t>pm0869_13_00_00.png</t>
  </si>
  <si>
    <t>ミルキィミント</t>
  </si>
  <si>
    <t>pm0869_14_00_00.png</t>
  </si>
  <si>
    <t>ミルキィレモン</t>
  </si>
  <si>
    <t>pm0869_15_00_00.png</t>
  </si>
  <si>
    <t>ミルキィソルト</t>
  </si>
  <si>
    <t>pm0869_16_00_00.png</t>
  </si>
  <si>
    <t>ルビーミックス</t>
  </si>
  <si>
    <t>pm0869_17_00_00.png</t>
  </si>
  <si>
    <t>キャラメルミックス</t>
  </si>
  <si>
    <t>pm0869_18_00_00.png</t>
  </si>
  <si>
    <t>トリプルミックス</t>
  </si>
  <si>
    <t>pm0869_19_00_00.png</t>
  </si>
  <si>
    <t>0869-999</t>
  </si>
  <si>
    <t>マホイップ(キョダイ)</t>
  </si>
  <si>
    <t>0870-000</t>
  </si>
  <si>
    <t>タイレーツ</t>
  </si>
  <si>
    <t>pm0870_00_00_00.png</t>
  </si>
  <si>
    <t>じんけいポケモン</t>
  </si>
  <si>
    <t>0871-000</t>
  </si>
  <si>
    <t>バチンウニ</t>
  </si>
  <si>
    <t>pm0871_00_00_00.png</t>
  </si>
  <si>
    <t>うにポケモン</t>
  </si>
  <si>
    <t>0872-000</t>
  </si>
  <si>
    <t>ユキハミ</t>
  </si>
  <si>
    <t>pm0872_00_00_00.png</t>
  </si>
  <si>
    <t>こおりのりんぷん</t>
  </si>
  <si>
    <t>0873-000</t>
  </si>
  <si>
    <t>モスノウ</t>
  </si>
  <si>
    <t>pm0873_00_00_00.png</t>
  </si>
  <si>
    <t>こおりがポケモン</t>
  </si>
  <si>
    <t>0874-000</t>
  </si>
  <si>
    <t>イシヘンジン</t>
  </si>
  <si>
    <t>pm0874_00_00_00.png</t>
  </si>
  <si>
    <t>きょせきポケモン</t>
  </si>
  <si>
    <t>パワースポット</t>
  </si>
  <si>
    <t>0875-000</t>
  </si>
  <si>
    <t>コオリッポ</t>
  </si>
  <si>
    <t>アイスフェイス</t>
  </si>
  <si>
    <t>コオリッポ(アイス)</t>
  </si>
  <si>
    <t>pm0875_11_00_00.png</t>
  </si>
  <si>
    <t>0875-001</t>
  </si>
  <si>
    <t>ナイスフェイス</t>
  </si>
  <si>
    <t>コオリッポ(ナイス)</t>
  </si>
  <si>
    <t>pm0875_12_00_00.png</t>
  </si>
  <si>
    <t>0876-000</t>
  </si>
  <si>
    <t>イエッサン</t>
  </si>
  <si>
    <t>イエッサン(オス)</t>
  </si>
  <si>
    <t>pm0876_00_00_00.png</t>
  </si>
  <si>
    <t>0876-001</t>
  </si>
  <si>
    <t>イエッサン(メス)</t>
  </si>
  <si>
    <t>pm0876_01_00_00.png</t>
  </si>
  <si>
    <t>0877-000</t>
  </si>
  <si>
    <t>モルペコ</t>
  </si>
  <si>
    <t>まんぷくもよう</t>
  </si>
  <si>
    <t>pm0877_11_00_00.png</t>
  </si>
  <si>
    <t>にめんポケモン</t>
  </si>
  <si>
    <t>はらぺこスイッチ</t>
  </si>
  <si>
    <t>0878-000</t>
  </si>
  <si>
    <t>ゾウドウ</t>
  </si>
  <si>
    <t>pm0878_00_00_00.png</t>
  </si>
  <si>
    <t>どうぞうポケモン</t>
  </si>
  <si>
    <t>0879-000</t>
  </si>
  <si>
    <t>ダイオウドウ</t>
  </si>
  <si>
    <t>pm0879_00_00_00.png</t>
  </si>
  <si>
    <t>0879-999</t>
  </si>
  <si>
    <t>ダイオウドウ(キョダイ)</t>
  </si>
  <si>
    <t>0880-000</t>
  </si>
  <si>
    <t>パッチラゴン</t>
  </si>
  <si>
    <t>0881-000</t>
  </si>
  <si>
    <t>パッチルドン</t>
  </si>
  <si>
    <t>0882-000</t>
  </si>
  <si>
    <t>ウオノラゴン</t>
  </si>
  <si>
    <t>0883-000</t>
  </si>
  <si>
    <t>ウオチルドン</t>
  </si>
  <si>
    <t>0884-000</t>
  </si>
  <si>
    <t>ジュラルドン</t>
  </si>
  <si>
    <t>pm0884_00_00_00.png</t>
  </si>
  <si>
    <t>ごうきんポケモン</t>
  </si>
  <si>
    <t>すじがねいり</t>
  </si>
  <si>
    <t>0884-999</t>
  </si>
  <si>
    <t>ジュラルドン(キョダイ)</t>
  </si>
  <si>
    <t>0885-000</t>
  </si>
  <si>
    <t>ドラメシヤ</t>
  </si>
  <si>
    <t>pm0885_00_00_00.png</t>
  </si>
  <si>
    <t>うらめしポケモン</t>
  </si>
  <si>
    <t>0886-000</t>
  </si>
  <si>
    <t>ドロンチ</t>
  </si>
  <si>
    <t>pm0886_00_00_00.png</t>
  </si>
  <si>
    <t>せわやくポケモン</t>
  </si>
  <si>
    <t>0887-000</t>
  </si>
  <si>
    <t>ドラパルト</t>
  </si>
  <si>
    <t>pm0887_00_00_00.png</t>
  </si>
  <si>
    <t>ステルスポケモン</t>
  </si>
  <si>
    <t>0888-000</t>
  </si>
  <si>
    <t>ザシアン</t>
  </si>
  <si>
    <t>れきせんのゆうしゃ</t>
  </si>
  <si>
    <t>ザシアン(れきせん)</t>
  </si>
  <si>
    <t>pm0888_11_00_00.png</t>
  </si>
  <si>
    <t>つわものポケモン</t>
  </si>
  <si>
    <t>ふとうのけん</t>
  </si>
  <si>
    <t>0888-001</t>
  </si>
  <si>
    <t>けんのおう</t>
  </si>
  <si>
    <t>ザシアン(けんのおう)</t>
  </si>
  <si>
    <t>pm0888_12_00_00.png</t>
  </si>
  <si>
    <t>0889-000</t>
  </si>
  <si>
    <t>ザマゼンタ</t>
  </si>
  <si>
    <t>ザマゼンタ(れきせん)</t>
  </si>
  <si>
    <t>pm0889_11_00_00.png</t>
  </si>
  <si>
    <t>ふくつのたて</t>
  </si>
  <si>
    <t>0889-001</t>
  </si>
  <si>
    <t>たてのおう</t>
  </si>
  <si>
    <t>ザマゼンタ(たてのおう)</t>
  </si>
  <si>
    <t>pm0889_12_00_00.png</t>
  </si>
  <si>
    <t>0890-000</t>
  </si>
  <si>
    <t>ムゲンダイナ</t>
  </si>
  <si>
    <t>pm0890_00_00_00.png</t>
  </si>
  <si>
    <t>キョダイポケモン</t>
  </si>
  <si>
    <t>0891-000</t>
  </si>
  <si>
    <t>ダクマ</t>
  </si>
  <si>
    <t>pm0891_00_00_00.png</t>
  </si>
  <si>
    <t>けんぽうポケモン</t>
  </si>
  <si>
    <t>0892-000</t>
  </si>
  <si>
    <t>ウーラオス</t>
  </si>
  <si>
    <t>いちげきのかた</t>
  </si>
  <si>
    <t>ウーラオス(いちげき)</t>
  </si>
  <si>
    <t>ふかしのこぶし</t>
  </si>
  <si>
    <t>0892-001</t>
  </si>
  <si>
    <t>れんげきのかた</t>
  </si>
  <si>
    <t>ウーラオス(れんげき)</t>
  </si>
  <si>
    <t>0892-999</t>
  </si>
  <si>
    <t>ウーラオス(キョダイ)</t>
  </si>
  <si>
    <t>0893-000</t>
  </si>
  <si>
    <t>ザルード</t>
  </si>
  <si>
    <t>pm0893_11_00_00.png</t>
  </si>
  <si>
    <t>わるざるポケモン</t>
  </si>
  <si>
    <t>とうちゃん</t>
  </si>
  <si>
    <t>pm0893_12_00_00.png</t>
  </si>
  <si>
    <t>0894-000</t>
  </si>
  <si>
    <t>レジエレキ</t>
  </si>
  <si>
    <t>pm0894_00_00_00.png</t>
  </si>
  <si>
    <t>エレクトロンポケモン</t>
  </si>
  <si>
    <t>トランジスタ</t>
  </si>
  <si>
    <t>0895-000</t>
  </si>
  <si>
    <t>レジドラゴ</t>
  </si>
  <si>
    <t>pm0895_00_00_00.png</t>
  </si>
  <si>
    <t>りゅうぎょくポケモン</t>
  </si>
  <si>
    <t>りゅうのあぎと</t>
  </si>
  <si>
    <t>0896-000</t>
  </si>
  <si>
    <t>ブリザポス</t>
  </si>
  <si>
    <t>pm0896_00_00_00.png</t>
  </si>
  <si>
    <t>あばれうまポケモン</t>
  </si>
  <si>
    <t>しろのいななき</t>
  </si>
  <si>
    <t>0897-000</t>
  </si>
  <si>
    <t>レイスポス</t>
  </si>
  <si>
    <t>pm0897_00_00_00.png</t>
  </si>
  <si>
    <t>しゅんばポケモン</t>
  </si>
  <si>
    <t>くろのいななき</t>
  </si>
  <si>
    <t>0898-000</t>
  </si>
  <si>
    <t>バドレックス</t>
  </si>
  <si>
    <t>pm0898_11_00_00.png</t>
  </si>
  <si>
    <t>キングポケモン</t>
  </si>
  <si>
    <t>0898-001</t>
  </si>
  <si>
    <t>はくばじょうのすがた</t>
  </si>
  <si>
    <t>バドレックス(はくば)</t>
  </si>
  <si>
    <t>pm0898_12_00_00.png</t>
  </si>
  <si>
    <t>エンペラーポケモン</t>
  </si>
  <si>
    <t>じんばいったい</t>
  </si>
  <si>
    <t>0898-002</t>
  </si>
  <si>
    <t>こくばじょうのすがた</t>
  </si>
  <si>
    <t>バドレックス(こくば)</t>
  </si>
  <si>
    <t>pm0898_13_00_00.png</t>
  </si>
  <si>
    <t>0899-000</t>
  </si>
  <si>
    <t>アヤシシ</t>
  </si>
  <si>
    <t>pm0899_00_00_00.png</t>
  </si>
  <si>
    <t>0900-000</t>
  </si>
  <si>
    <t>バサギリ</t>
  </si>
  <si>
    <t>pm0900_00_00_00.png</t>
  </si>
  <si>
    <t>まさかりポケモン</t>
  </si>
  <si>
    <t>0901-000</t>
  </si>
  <si>
    <t>ガチグマ</t>
  </si>
  <si>
    <t>pm0901_00_00_00.png</t>
  </si>
  <si>
    <t>でいたんポケモン</t>
  </si>
  <si>
    <t>0901-001</t>
  </si>
  <si>
    <t>アカツキ</t>
  </si>
  <si>
    <t>ガチグマ(アカツキ)</t>
  </si>
  <si>
    <t>pm0901_11_00_00.png</t>
  </si>
  <si>
    <t>しんがん</t>
  </si>
  <si>
    <t>0902-000</t>
  </si>
  <si>
    <t>イダイトウ</t>
  </si>
  <si>
    <t>イダイトウ(オス)</t>
  </si>
  <si>
    <t>pm0902_11_41_00.png</t>
  </si>
  <si>
    <t>おおうおポケモン</t>
  </si>
  <si>
    <t>0902-001</t>
  </si>
  <si>
    <t>イダイトウ(メス)</t>
  </si>
  <si>
    <t>pm0902_12_41_00.png</t>
  </si>
  <si>
    <t>0903-000</t>
  </si>
  <si>
    <t>オオニューラ</t>
  </si>
  <si>
    <t>pm0903_00_41_00.png</t>
  </si>
  <si>
    <t>クライミングポケモン</t>
  </si>
  <si>
    <t>0904-000</t>
  </si>
  <si>
    <t>ハリーマン</t>
  </si>
  <si>
    <t>pm0904_00_41_00.png</t>
  </si>
  <si>
    <t>けんざんポケモン</t>
  </si>
  <si>
    <t>0905-000</t>
  </si>
  <si>
    <t>ラブトロス</t>
  </si>
  <si>
    <t>ラブトロス(けしん)</t>
  </si>
  <si>
    <t>pm0905_11_00_00.png</t>
  </si>
  <si>
    <t>あいぞうポケモン</t>
  </si>
  <si>
    <t>0905-001</t>
  </si>
  <si>
    <t>ラブトロス(れいじゅう)</t>
  </si>
  <si>
    <t>pm0905_12_00_00.png</t>
  </si>
  <si>
    <t>0906-000</t>
  </si>
  <si>
    <t>ニャオハ</t>
  </si>
  <si>
    <t>pm0906_00_00_00.png</t>
  </si>
  <si>
    <t>くさねこポケモン</t>
  </si>
  <si>
    <t>0907-000</t>
  </si>
  <si>
    <t>ニャローテ</t>
  </si>
  <si>
    <t>pm0907_00_00_00.png</t>
  </si>
  <si>
    <t>0908-000</t>
  </si>
  <si>
    <t>マスカーニャ</t>
  </si>
  <si>
    <t>pm0908_00_00_00.png</t>
  </si>
  <si>
    <t>マジシャンポケモン</t>
  </si>
  <si>
    <t>0909-000</t>
  </si>
  <si>
    <t>ホゲータ</t>
  </si>
  <si>
    <t>pm0909_00_00_00.png</t>
  </si>
  <si>
    <t>ほのおワニポケモン</t>
  </si>
  <si>
    <t>0910-000</t>
  </si>
  <si>
    <t>アチゲータ</t>
  </si>
  <si>
    <t>pm0910_00_00_00.png</t>
  </si>
  <si>
    <t>0911-000</t>
  </si>
  <si>
    <t>ラウドボーン</t>
  </si>
  <si>
    <t>pm0911_00_00_00.png</t>
  </si>
  <si>
    <t>シンガーポケモン</t>
  </si>
  <si>
    <t>0912-000</t>
  </si>
  <si>
    <t>クワッス</t>
  </si>
  <si>
    <t>pm0912_00_00_00.png</t>
  </si>
  <si>
    <t>こがもポケモン</t>
  </si>
  <si>
    <t>0913-000</t>
  </si>
  <si>
    <t>ウェルカモ</t>
  </si>
  <si>
    <t>pm0913_00_00_00.png</t>
  </si>
  <si>
    <t>レッスンポケモン</t>
  </si>
  <si>
    <t>0914-000</t>
  </si>
  <si>
    <t>ウェーニバル</t>
  </si>
  <si>
    <t>pm0914_00_00_00.png</t>
  </si>
  <si>
    <t>ダンサーポケモン</t>
  </si>
  <si>
    <t>0915-000</t>
  </si>
  <si>
    <t>グルトン</t>
  </si>
  <si>
    <t>pm0915_00_00_00.png</t>
  </si>
  <si>
    <t>ぶたポケモン</t>
  </si>
  <si>
    <t>0916-000</t>
  </si>
  <si>
    <t>パフュートン</t>
  </si>
  <si>
    <t>パフュートン(オス)</t>
  </si>
  <si>
    <t>pm0916_00_00_00.png</t>
  </si>
  <si>
    <t>とれないにおい</t>
  </si>
  <si>
    <t>0916-001</t>
  </si>
  <si>
    <t>パフュートン(メス)</t>
  </si>
  <si>
    <t>pm0916_01_00_00.png</t>
  </si>
  <si>
    <t>0917-000</t>
  </si>
  <si>
    <t>タマンチュラ</t>
  </si>
  <si>
    <t>pm0917_00_00_00.png</t>
  </si>
  <si>
    <t>いとだまポケモン</t>
  </si>
  <si>
    <t>0918-000</t>
  </si>
  <si>
    <t>ワナイダー</t>
  </si>
  <si>
    <t>pm0918_00_00_00.png</t>
  </si>
  <si>
    <t>0919-000</t>
  </si>
  <si>
    <t>マメバッタ</t>
  </si>
  <si>
    <t>pm0919_00_00_00.png</t>
  </si>
  <si>
    <t>バッタポケモン</t>
  </si>
  <si>
    <t>0920-000</t>
  </si>
  <si>
    <t>エクスレッグ</t>
  </si>
  <si>
    <t>pm0920_00_00_00.png</t>
  </si>
  <si>
    <t>0921-000</t>
  </si>
  <si>
    <t>パモ</t>
  </si>
  <si>
    <t>pm0921_00_00_00.png</t>
  </si>
  <si>
    <t>0922-000</t>
  </si>
  <si>
    <t>パモット</t>
  </si>
  <si>
    <t>pm0922_00_00_00.png</t>
  </si>
  <si>
    <t>0923-000</t>
  </si>
  <si>
    <t>パーモット</t>
  </si>
  <si>
    <t>pm0923_00_00_00.png</t>
  </si>
  <si>
    <t>てあてポケモン</t>
  </si>
  <si>
    <t>0924-000</t>
  </si>
  <si>
    <t>ワッカネズミ</t>
  </si>
  <si>
    <t>pm0924_00_00_00.png</t>
  </si>
  <si>
    <t>カップルポケモン</t>
  </si>
  <si>
    <t>0925-000</t>
  </si>
  <si>
    <t>イッカネズミ</t>
  </si>
  <si>
    <t>3びきかぞく</t>
  </si>
  <si>
    <t>pm0925_11_00_00.png</t>
  </si>
  <si>
    <t>ファミリーポケモン</t>
  </si>
  <si>
    <t>4ひきかぞく</t>
  </si>
  <si>
    <t>pm0925_12_00_00.png</t>
  </si>
  <si>
    <t>0926-000</t>
  </si>
  <si>
    <t>パピモッチ</t>
  </si>
  <si>
    <t>pm0926_00_00_00.png</t>
  </si>
  <si>
    <t>0927-000</t>
  </si>
  <si>
    <t>バウッツェル</t>
  </si>
  <si>
    <t>pm0927_00_00_00.png</t>
  </si>
  <si>
    <t>こんがりボディ</t>
  </si>
  <si>
    <t>0928-000</t>
  </si>
  <si>
    <t>ミニーブ</t>
  </si>
  <si>
    <t>pm0928_00_00_00.png</t>
  </si>
  <si>
    <t>オリーブポケモン</t>
  </si>
  <si>
    <t>0929-000</t>
  </si>
  <si>
    <t>オリーニョ</t>
  </si>
  <si>
    <t>pm0929_00_00_00.png</t>
  </si>
  <si>
    <t>0930-000</t>
  </si>
  <si>
    <t>オリーヴァ</t>
  </si>
  <si>
    <t>pm0930_00_00_00.png</t>
  </si>
  <si>
    <t>こぼれダネ</t>
  </si>
  <si>
    <t>0931-000</t>
  </si>
  <si>
    <t>イキリンコ</t>
  </si>
  <si>
    <t>グリーンフェザー</t>
  </si>
  <si>
    <t>イキリンコ(グリーン)</t>
  </si>
  <si>
    <t>pm0931_11_00_00.png</t>
  </si>
  <si>
    <t>インコポケモン</t>
  </si>
  <si>
    <t>0931-001</t>
  </si>
  <si>
    <t>ブルーフェザー</t>
  </si>
  <si>
    <t>イキリンコ(ブルー)</t>
  </si>
  <si>
    <t>pm0931_11_00_01.png</t>
  </si>
  <si>
    <t>0931-002</t>
  </si>
  <si>
    <t>イエローフェザー</t>
  </si>
  <si>
    <t>イキリンコ(イエロー)</t>
  </si>
  <si>
    <t>pm0931_11_00_02.png</t>
  </si>
  <si>
    <t>0931-003</t>
  </si>
  <si>
    <t>ホワイトフェザー</t>
  </si>
  <si>
    <t>イキリンコ(ホワイト)</t>
  </si>
  <si>
    <t>pm0931_11_00_03.png</t>
  </si>
  <si>
    <t>0932-000</t>
  </si>
  <si>
    <t>コジオ</t>
  </si>
  <si>
    <t>pm0932_00_00_00.png</t>
  </si>
  <si>
    <t>がんえんポケモン</t>
  </si>
  <si>
    <t>きよめのしお</t>
  </si>
  <si>
    <t>0933-000</t>
  </si>
  <si>
    <t>ジオヅム</t>
  </si>
  <si>
    <t>pm0933_00_00_00.png</t>
  </si>
  <si>
    <t>0934-000</t>
  </si>
  <si>
    <t>キョジオーン</t>
  </si>
  <si>
    <t>pm0934_00_00_00.png</t>
  </si>
  <si>
    <t>0935-000</t>
  </si>
  <si>
    <t>カルボウ</t>
  </si>
  <si>
    <t>pm0935_00_00_00.png</t>
  </si>
  <si>
    <t>0936-000</t>
  </si>
  <si>
    <t>グレンアルマ</t>
  </si>
  <si>
    <t>pm0936_00_00_00.png</t>
  </si>
  <si>
    <t>ひのせんしポケモン</t>
  </si>
  <si>
    <t>0937-000</t>
  </si>
  <si>
    <t>ソウブレイズ</t>
  </si>
  <si>
    <t>pm0937_00_00_00.png</t>
  </si>
  <si>
    <t>ひのけんしポケモン</t>
  </si>
  <si>
    <t>0938-000</t>
  </si>
  <si>
    <t>ズピカ</t>
  </si>
  <si>
    <t>pm0938_00_00_00.png</t>
  </si>
  <si>
    <t>でんきおたまポケモン</t>
  </si>
  <si>
    <t>0939-000</t>
  </si>
  <si>
    <t>ハラバリー</t>
  </si>
  <si>
    <t>pm0939_00_00_00.png</t>
  </si>
  <si>
    <t>でんきがえるポケモン</t>
  </si>
  <si>
    <t>でんきにかえる</t>
  </si>
  <si>
    <t>0940-000</t>
  </si>
  <si>
    <t>カイデン</t>
  </si>
  <si>
    <t>pm0940_00_00_00.png</t>
  </si>
  <si>
    <t>うみつばめポケモン</t>
  </si>
  <si>
    <t>ふうりょくでんき</t>
  </si>
  <si>
    <t>0941-000</t>
  </si>
  <si>
    <t>タイカイデン</t>
  </si>
  <si>
    <t>pm0941_00_00_00.png</t>
  </si>
  <si>
    <t>ぐんかんどりポケモン</t>
  </si>
  <si>
    <t>0942-000</t>
  </si>
  <si>
    <t>オラチフ</t>
  </si>
  <si>
    <t>pm0942_00_00_00.png</t>
  </si>
  <si>
    <t>わかぞうポケモン</t>
  </si>
  <si>
    <t>0943-000</t>
  </si>
  <si>
    <t>マフィティフ</t>
  </si>
  <si>
    <t>pm0943_00_00_00.png</t>
  </si>
  <si>
    <t>おやぶんポケモン</t>
  </si>
  <si>
    <t>ばんけん</t>
  </si>
  <si>
    <t>0944-000</t>
  </si>
  <si>
    <t>シルシュルー</t>
  </si>
  <si>
    <t>pm0944_00_00_00.png</t>
  </si>
  <si>
    <t>どくねずみポケモン</t>
  </si>
  <si>
    <t>0945-000</t>
  </si>
  <si>
    <t>タギングル</t>
  </si>
  <si>
    <t>pm0945_00_00_00.png</t>
  </si>
  <si>
    <t>どくざるポケモン</t>
  </si>
  <si>
    <t>0946-000</t>
  </si>
  <si>
    <t>アノクサ</t>
  </si>
  <si>
    <t>pm0946_00_00_00.png</t>
  </si>
  <si>
    <t>ころがりぐさポケモン</t>
  </si>
  <si>
    <t>0947-000</t>
  </si>
  <si>
    <t>アノホラグサ</t>
  </si>
  <si>
    <t>pm0947_00_00_00.png</t>
  </si>
  <si>
    <t>0948-000</t>
  </si>
  <si>
    <t>ノノクラゲ</t>
  </si>
  <si>
    <t>pm0948_00_00_00.png</t>
  </si>
  <si>
    <t>きくらげポケモン</t>
  </si>
  <si>
    <t>きんしのちから</t>
  </si>
  <si>
    <t>0949-000</t>
  </si>
  <si>
    <t>リククラゲ</t>
  </si>
  <si>
    <t>pm0949_00_00_00.png</t>
  </si>
  <si>
    <t>0950-000</t>
  </si>
  <si>
    <t>ガケガニ</t>
  </si>
  <si>
    <t>pm0950_00_00_00.png</t>
  </si>
  <si>
    <t>まちぶせポケモン</t>
  </si>
  <si>
    <t>いかりのこうら</t>
  </si>
  <si>
    <t>0951-000</t>
  </si>
  <si>
    <t>カプサイジ</t>
  </si>
  <si>
    <t>pm0951_00_00_00.png</t>
  </si>
  <si>
    <t>ハバネロポケモン</t>
  </si>
  <si>
    <t>0952-000</t>
  </si>
  <si>
    <t>スコヴィラン</t>
  </si>
  <si>
    <t>pm0952_00_00_00.png</t>
  </si>
  <si>
    <t>0953-000</t>
  </si>
  <si>
    <t>シガロコ</t>
  </si>
  <si>
    <t>pm0953_00_00_00.png</t>
  </si>
  <si>
    <t>ころがしポケモン</t>
  </si>
  <si>
    <t>0954-000</t>
  </si>
  <si>
    <t>ベラカス</t>
  </si>
  <si>
    <t>pm0954_00_00_00.png</t>
  </si>
  <si>
    <t>0955-000</t>
  </si>
  <si>
    <t>ヒラヒナ</t>
  </si>
  <si>
    <t>pm0955_00_00_00.png</t>
  </si>
  <si>
    <t>フリルポケモン</t>
  </si>
  <si>
    <t>0956-000</t>
  </si>
  <si>
    <t>クエスパトラ</t>
  </si>
  <si>
    <t>pm0956_00_00_00.png</t>
  </si>
  <si>
    <t>ダチョウポケモン</t>
  </si>
  <si>
    <t>びんじょう</t>
  </si>
  <si>
    <t>0957-000</t>
  </si>
  <si>
    <t>カヌチャン</t>
  </si>
  <si>
    <t>pm0957_00_00_00.png</t>
  </si>
  <si>
    <t>かなうちポケモン</t>
  </si>
  <si>
    <t>0958-000</t>
  </si>
  <si>
    <t>ナカヌチャン</t>
  </si>
  <si>
    <t>pm0958_00_00_00.png</t>
  </si>
  <si>
    <t>ハンマーポケモン</t>
  </si>
  <si>
    <t>0959-000</t>
  </si>
  <si>
    <t>デカヌチャン</t>
  </si>
  <si>
    <t>pm0959_00_00_00.png</t>
  </si>
  <si>
    <t>0960-000</t>
  </si>
  <si>
    <t>ウミディグダ</t>
  </si>
  <si>
    <t>pm0960_00_00_00.png</t>
  </si>
  <si>
    <t>あなごポケモン</t>
  </si>
  <si>
    <t>0961-000</t>
  </si>
  <si>
    <t>ウミトリオ</t>
  </si>
  <si>
    <t>pm0961_00_00_00.png</t>
  </si>
  <si>
    <t>0962-000</t>
  </si>
  <si>
    <t>オトシドリ</t>
  </si>
  <si>
    <t>pm0962_00_00_00.png</t>
  </si>
  <si>
    <t>おとしものポケモン</t>
  </si>
  <si>
    <t>いわはこび</t>
  </si>
  <si>
    <t>0963-000</t>
  </si>
  <si>
    <t>ナミイルカ</t>
  </si>
  <si>
    <t>pm0963_00_00_00.png</t>
  </si>
  <si>
    <t>イルカポケモン</t>
  </si>
  <si>
    <t>0964-000</t>
  </si>
  <si>
    <t>イルカマン</t>
  </si>
  <si>
    <t>ナイーブフォルム</t>
  </si>
  <si>
    <t>イルカマン(ナイーブ)</t>
  </si>
  <si>
    <t>pm0964_11_00_00.png</t>
  </si>
  <si>
    <t>マイティチェンジ</t>
  </si>
  <si>
    <t>0964-001</t>
  </si>
  <si>
    <t>マイティフォルム</t>
  </si>
  <si>
    <t>イルカマン(マイティ)</t>
  </si>
  <si>
    <t>pm0964_12_00_00.png</t>
  </si>
  <si>
    <t>ヒーローポケモン</t>
  </si>
  <si>
    <t>0965-000</t>
  </si>
  <si>
    <t>ブロロン</t>
  </si>
  <si>
    <t>pm0965_00_00_00.png</t>
  </si>
  <si>
    <t>たんきとうポケモン</t>
  </si>
  <si>
    <t>0966-000</t>
  </si>
  <si>
    <t>ブロロローム</t>
  </si>
  <si>
    <t>pm0966_00_00_00.png</t>
  </si>
  <si>
    <t>たきとうポケモン</t>
  </si>
  <si>
    <t>0967-000</t>
  </si>
  <si>
    <t>モトトカゲ</t>
  </si>
  <si>
    <t>pm0967_00_00_00.png</t>
  </si>
  <si>
    <t>0968-000</t>
  </si>
  <si>
    <t>ミミズズ</t>
  </si>
  <si>
    <t>pm0968_00_00_00.png</t>
  </si>
  <si>
    <t>ミミズポケモン</t>
  </si>
  <si>
    <t>どしょく</t>
  </si>
  <si>
    <t>0969-000</t>
  </si>
  <si>
    <t>キラーメ</t>
  </si>
  <si>
    <t>pm0969_00_00_00.png</t>
  </si>
  <si>
    <t>どくげしょう</t>
  </si>
  <si>
    <t>0970-000</t>
  </si>
  <si>
    <t>キラフロル</t>
  </si>
  <si>
    <t>pm0970_00_00_00.png</t>
  </si>
  <si>
    <t>0971-000</t>
  </si>
  <si>
    <t>ボチ</t>
  </si>
  <si>
    <t>pm0971_00_00_00.png</t>
  </si>
  <si>
    <t>おばけいぬポケモン</t>
  </si>
  <si>
    <t>0972-000</t>
  </si>
  <si>
    <t>ハカドッグ</t>
  </si>
  <si>
    <t>pm0972_00_00_00.png</t>
  </si>
  <si>
    <t>0973-000</t>
  </si>
  <si>
    <t>カラミンゴ</t>
  </si>
  <si>
    <t>pm0973_00_00_00.png</t>
  </si>
  <si>
    <t>シンクロポケモン</t>
  </si>
  <si>
    <t>きょうえん</t>
  </si>
  <si>
    <t>0974-000</t>
  </si>
  <si>
    <t>アルクジラ</t>
  </si>
  <si>
    <t>pm0974_00_00_00.png</t>
  </si>
  <si>
    <t>りくくじらポケモン</t>
  </si>
  <si>
    <t>0975-000</t>
  </si>
  <si>
    <t>ハルクジラ</t>
  </si>
  <si>
    <t>pm0975_00_00_00.png</t>
  </si>
  <si>
    <t>0976-000</t>
  </si>
  <si>
    <t>ミガルーサ</t>
  </si>
  <si>
    <t>pm0976_00_00_00.png</t>
  </si>
  <si>
    <t>きりはなしポケモン</t>
  </si>
  <si>
    <t>0977-000</t>
  </si>
  <si>
    <t>ヘイラッシャ</t>
  </si>
  <si>
    <t>pm0977_00_00_00.png</t>
  </si>
  <si>
    <t>おおなまずポケモン</t>
  </si>
  <si>
    <t>0978-000</t>
  </si>
  <si>
    <t>シャリタツ</t>
  </si>
  <si>
    <t>そったすがた</t>
  </si>
  <si>
    <t>シャリタツ(そっ)</t>
  </si>
  <si>
    <t>pm0978_11_00_00.png</t>
  </si>
  <si>
    <t>ぎたいポケモン</t>
  </si>
  <si>
    <t>しれいとう</t>
  </si>
  <si>
    <t>0978-001</t>
  </si>
  <si>
    <t>たれたすがた</t>
  </si>
  <si>
    <t>シャリタツ(たれ)</t>
  </si>
  <si>
    <t>pm0978_12_00_00.png</t>
  </si>
  <si>
    <t>0978-002</t>
  </si>
  <si>
    <t>のびたすがた</t>
  </si>
  <si>
    <t>シャリタツ(のび)</t>
  </si>
  <si>
    <t>pm0978_13_00_00.png</t>
  </si>
  <si>
    <t>0979-000</t>
  </si>
  <si>
    <t>コノヨザル</t>
  </si>
  <si>
    <t>pm0979_00_00_00.png</t>
  </si>
  <si>
    <t>ふんどざるポケモン</t>
  </si>
  <si>
    <t>0980-000</t>
  </si>
  <si>
    <t>ドオー</t>
  </si>
  <si>
    <t>pm0980_00_51_00.png</t>
  </si>
  <si>
    <t>とげうおポケモン</t>
  </si>
  <si>
    <t>0981-000</t>
  </si>
  <si>
    <t>リキキリン</t>
  </si>
  <si>
    <t>pm0981_00_00_00.png</t>
  </si>
  <si>
    <t>はんすう</t>
  </si>
  <si>
    <t>テイルアーマー</t>
  </si>
  <si>
    <t>0982-000</t>
  </si>
  <si>
    <t>ノココッチ</t>
  </si>
  <si>
    <t>pm0982_11_00_00.png</t>
  </si>
  <si>
    <t>0983-000</t>
  </si>
  <si>
    <t>ドドゲザン</t>
  </si>
  <si>
    <t>pm0983_00_00_00.png</t>
  </si>
  <si>
    <t>だいとうポケモン</t>
  </si>
  <si>
    <t>そうだいしょう</t>
  </si>
  <si>
    <t>0984-000</t>
  </si>
  <si>
    <t>イダイナキバ</t>
  </si>
  <si>
    <t>pm0984_00_00_00.png</t>
  </si>
  <si>
    <t>パラドックスポケモン</t>
  </si>
  <si>
    <t>こだいかっせい</t>
  </si>
  <si>
    <t>0985-000</t>
  </si>
  <si>
    <t>サケブシッポ</t>
  </si>
  <si>
    <t>pm0985_00_00_00.png</t>
  </si>
  <si>
    <t>0986-000</t>
  </si>
  <si>
    <t>アラブルタケ</t>
  </si>
  <si>
    <t>pm0986_00_00_00.png</t>
  </si>
  <si>
    <t>0987-000</t>
  </si>
  <si>
    <t>ハバタクカミ</t>
  </si>
  <si>
    <t>pm0987_00_00_00.png</t>
  </si>
  <si>
    <t>0988-000</t>
  </si>
  <si>
    <t>チヲハウハネ</t>
  </si>
  <si>
    <t>pm0988_00_00_00.png</t>
  </si>
  <si>
    <t>0989-000</t>
  </si>
  <si>
    <t>スナノケガワ</t>
  </si>
  <si>
    <t>pm0989_00_00_00.png</t>
  </si>
  <si>
    <t>0990-000</t>
  </si>
  <si>
    <t>テツノワダチ</t>
  </si>
  <si>
    <t>pm0990_00_00_00.png</t>
  </si>
  <si>
    <t>クォークチャージ</t>
  </si>
  <si>
    <t>0991-000</t>
  </si>
  <si>
    <t>テツノツツミ</t>
  </si>
  <si>
    <t>pm0991_00_00_00.png</t>
  </si>
  <si>
    <t>0992-000</t>
  </si>
  <si>
    <t>テツノカイナ</t>
  </si>
  <si>
    <t>pm0992_00_00_00.png</t>
  </si>
  <si>
    <t>0993-000</t>
  </si>
  <si>
    <t>テツノコウベ</t>
  </si>
  <si>
    <t>pm0993_00_00_00.png</t>
  </si>
  <si>
    <t>0994-000</t>
  </si>
  <si>
    <t>テツノドクガ</t>
  </si>
  <si>
    <t>pm0994_00_00_00.png</t>
  </si>
  <si>
    <t>0995-000</t>
  </si>
  <si>
    <t>テツノイバラ</t>
  </si>
  <si>
    <t>pm0995_00_00_00.png</t>
  </si>
  <si>
    <t>0996-000</t>
  </si>
  <si>
    <t>セビエ</t>
  </si>
  <si>
    <t>pm0996_00_00_00.png</t>
  </si>
  <si>
    <t>こおりビレポケモン</t>
  </si>
  <si>
    <t>ねつこうかん</t>
  </si>
  <si>
    <t>0997-000</t>
  </si>
  <si>
    <t>セゴール</t>
  </si>
  <si>
    <t>pm0997_00_00_00.png</t>
  </si>
  <si>
    <t>0998-000</t>
  </si>
  <si>
    <t>セグレイブ</t>
  </si>
  <si>
    <t>pm0998_00_00_00.png</t>
  </si>
  <si>
    <t>ひょうりゅうポケモン</t>
  </si>
  <si>
    <t>0999-000</t>
  </si>
  <si>
    <t>コレクレー</t>
  </si>
  <si>
    <t>はこフォルム</t>
  </si>
  <si>
    <t>コレクレー(はこ)</t>
  </si>
  <si>
    <t>pm0999_11_00_00.png</t>
  </si>
  <si>
    <t>たからばこポケモン</t>
  </si>
  <si>
    <t>0999-001</t>
  </si>
  <si>
    <t>とほフォルム</t>
  </si>
  <si>
    <t>コレクレー(とほ)</t>
  </si>
  <si>
    <t>pm0999_12_00_00.png</t>
  </si>
  <si>
    <t>たからさがしポケモン</t>
  </si>
  <si>
    <t>1000-000</t>
  </si>
  <si>
    <t>サーフゴー</t>
  </si>
  <si>
    <t>pm1000_00_00_00.png</t>
  </si>
  <si>
    <t>たからものポケモン</t>
  </si>
  <si>
    <t>おうごんのからだ</t>
  </si>
  <si>
    <t>1001-000</t>
  </si>
  <si>
    <t>チオンジェン</t>
  </si>
  <si>
    <t>pm1001_00_00_00.png</t>
  </si>
  <si>
    <t>さいやくポケモン</t>
  </si>
  <si>
    <t>わざわいのおふだ</t>
  </si>
  <si>
    <t>1002-000</t>
  </si>
  <si>
    <t>パオジアン</t>
  </si>
  <si>
    <t>pm1002_00_00_00.png</t>
  </si>
  <si>
    <t>わざわいのつるぎ</t>
  </si>
  <si>
    <t>1003-000</t>
  </si>
  <si>
    <t>ディンルー</t>
  </si>
  <si>
    <t>pm1003_00_00_00.png</t>
  </si>
  <si>
    <t>わざわいのうつわ</t>
  </si>
  <si>
    <t>1004-000</t>
  </si>
  <si>
    <t>イーユイ</t>
  </si>
  <si>
    <t>pm1004_00_00_00.png</t>
  </si>
  <si>
    <t>わざわいのたま</t>
  </si>
  <si>
    <t>1005-000</t>
  </si>
  <si>
    <t>トドロクツキ</t>
  </si>
  <si>
    <t>pm1005_00_00_00.png</t>
  </si>
  <si>
    <t>1006-000</t>
  </si>
  <si>
    <t>テツノブジン</t>
  </si>
  <si>
    <t>pm1006_00_00_00.png</t>
  </si>
  <si>
    <t>1007-000</t>
  </si>
  <si>
    <t>コライドン</t>
  </si>
  <si>
    <t>pm1007_11_00_00.png</t>
  </si>
  <si>
    <t>ひひいろのこどう</t>
  </si>
  <si>
    <t>1008-000</t>
  </si>
  <si>
    <t>ミライドン</t>
  </si>
  <si>
    <t>pm1008_11_00_00.png</t>
  </si>
  <si>
    <t>ハドロンエンジン</t>
  </si>
  <si>
    <t>1009-000</t>
  </si>
  <si>
    <t>ウネルミナモ</t>
  </si>
  <si>
    <t>pm1009_00_00_00.png</t>
  </si>
  <si>
    <t>1010-000</t>
  </si>
  <si>
    <t>テツノイサハ</t>
  </si>
  <si>
    <t>pm1010_00_00_00.png</t>
  </si>
  <si>
    <t>1011-000</t>
  </si>
  <si>
    <t>カミッチュ</t>
  </si>
  <si>
    <t>pm1011_00_00_00.png</t>
  </si>
  <si>
    <t>りんごあめポケモン</t>
  </si>
  <si>
    <t>かんろなミツ</t>
  </si>
  <si>
    <t>1012-000</t>
  </si>
  <si>
    <t>チャデス</t>
  </si>
  <si>
    <t>マガイモノのすがた</t>
  </si>
  <si>
    <t>pm1012_11_00_00.png</t>
  </si>
  <si>
    <t>まっちゃポケモン</t>
  </si>
  <si>
    <t>おもてなし</t>
  </si>
  <si>
    <t>1013-000</t>
  </si>
  <si>
    <t>ヤバソチャ</t>
  </si>
  <si>
    <t>ボンサクのすがた</t>
  </si>
  <si>
    <t>pm1013_11_00_00.png</t>
  </si>
  <si>
    <t>1014-000</t>
  </si>
  <si>
    <t>イイネイヌ</t>
  </si>
  <si>
    <t>pm1014_00_00_00.png</t>
  </si>
  <si>
    <t>けらいポケモン</t>
  </si>
  <si>
    <t>どくのくさり</t>
  </si>
  <si>
    <t>1015-000</t>
  </si>
  <si>
    <t>マシマシラ</t>
  </si>
  <si>
    <t>pm1015_00_00_00.png</t>
  </si>
  <si>
    <t>1016-000</t>
  </si>
  <si>
    <t>キチキギス</t>
  </si>
  <si>
    <t>pm1016_00_00_00.png</t>
  </si>
  <si>
    <t>1017-000</t>
  </si>
  <si>
    <t>オーガポン</t>
  </si>
  <si>
    <t>みどりのめん</t>
  </si>
  <si>
    <t>オーガポン(みどり)</t>
  </si>
  <si>
    <t>pm1017_11_00_00.png</t>
  </si>
  <si>
    <t>おめんポケモン</t>
  </si>
  <si>
    <t>1017-001</t>
  </si>
  <si>
    <t>いどのめん</t>
  </si>
  <si>
    <t>オーガポン(いど)</t>
  </si>
  <si>
    <t>pm1017_12_00_01.png</t>
  </si>
  <si>
    <t>1017-002</t>
  </si>
  <si>
    <t>かまどのめん</t>
  </si>
  <si>
    <t>オーガポン(かまど)</t>
  </si>
  <si>
    <t>pm1017_13_00_02.png</t>
  </si>
  <si>
    <t>1017-003</t>
  </si>
  <si>
    <t>いしずえのめん</t>
  </si>
  <si>
    <t>オーガポン(いしずえ)</t>
  </si>
  <si>
    <t>pm1017_14_00_03.png</t>
  </si>
  <si>
    <t>1018-000</t>
  </si>
  <si>
    <t>ブリジュラス</t>
  </si>
  <si>
    <t>pm1018_00_00_00.png</t>
  </si>
  <si>
    <t>1019-000</t>
  </si>
  <si>
    <t>カミツオロチ</t>
  </si>
  <si>
    <t>pm1019_00_00_00.png</t>
  </si>
  <si>
    <t>りんごオロチポケモン</t>
  </si>
  <si>
    <t>1020-000</t>
  </si>
  <si>
    <t>ウガツホムラ</t>
  </si>
  <si>
    <t>pm1020_00_00_00.png</t>
  </si>
  <si>
    <t>1021-000</t>
  </si>
  <si>
    <t>タケルライコ</t>
  </si>
  <si>
    <t>pm1021_00_00_00.png</t>
  </si>
  <si>
    <t>1022-000</t>
  </si>
  <si>
    <t>テツノイワオ</t>
  </si>
  <si>
    <t>pm1022_00_00_00.png</t>
  </si>
  <si>
    <t>1023-000</t>
  </si>
  <si>
    <t>テツノカシラ</t>
  </si>
  <si>
    <t>pm1023_00_00_00.png</t>
  </si>
  <si>
    <t>1024-000</t>
  </si>
  <si>
    <t>テラパゴス</t>
  </si>
  <si>
    <t>テラパゴス(ノーマル)</t>
  </si>
  <si>
    <t>pm1024_11_00_00.png</t>
  </si>
  <si>
    <t>テラスタルポケモン</t>
  </si>
  <si>
    <t>テラスチェンジ</t>
  </si>
  <si>
    <t>1024-001</t>
  </si>
  <si>
    <t>テラスタルフォルム</t>
  </si>
  <si>
    <t>テラパゴス(テラスタル)</t>
  </si>
  <si>
    <t>pm1024_12_00_00.png</t>
  </si>
  <si>
    <t>テラスシェル</t>
  </si>
  <si>
    <t>1024-002</t>
  </si>
  <si>
    <t>ステラフォルム</t>
  </si>
  <si>
    <t>テラパゴス(ステラ)</t>
  </si>
  <si>
    <t>pm1024_13_00_00.png</t>
  </si>
  <si>
    <t>ゼロフォーミング</t>
  </si>
  <si>
    <t>1025-000</t>
  </si>
  <si>
    <t>モモワロウ</t>
  </si>
  <si>
    <t>pm1025_00_00_00.png</t>
  </si>
  <si>
    <t>しはいポケモン</t>
  </si>
  <si>
    <t>どくくぐつ</t>
  </si>
  <si>
    <t>image_file</t>
    <phoneticPr fontId="2"/>
  </si>
  <si>
    <t>H_max</t>
    <phoneticPr fontId="2"/>
  </si>
  <si>
    <t>H_boost</t>
    <phoneticPr fontId="2"/>
  </si>
  <si>
    <t>H_neutral</t>
    <phoneticPr fontId="2"/>
  </si>
  <si>
    <t>H_weaken</t>
    <phoneticPr fontId="2"/>
  </si>
  <si>
    <t>H_min</t>
    <phoneticPr fontId="2"/>
  </si>
  <si>
    <t>A_max</t>
    <phoneticPr fontId="2"/>
  </si>
  <si>
    <t>A_boost</t>
    <phoneticPr fontId="2"/>
  </si>
  <si>
    <t>A_neutral</t>
    <phoneticPr fontId="2"/>
  </si>
  <si>
    <t>A_weaken</t>
    <phoneticPr fontId="2"/>
  </si>
  <si>
    <t>A_min</t>
    <phoneticPr fontId="2"/>
  </si>
  <si>
    <t>B_max</t>
    <phoneticPr fontId="2"/>
  </si>
  <si>
    <t>B_boost</t>
    <phoneticPr fontId="2"/>
  </si>
  <si>
    <t>B_neutral</t>
    <phoneticPr fontId="2"/>
  </si>
  <si>
    <t>B_weaken</t>
    <phoneticPr fontId="2"/>
  </si>
  <si>
    <t>B_min</t>
    <phoneticPr fontId="2"/>
  </si>
  <si>
    <t>C_max</t>
    <phoneticPr fontId="2"/>
  </si>
  <si>
    <t>C_boost</t>
    <phoneticPr fontId="2"/>
  </si>
  <si>
    <t>C_neutral</t>
    <phoneticPr fontId="2"/>
  </si>
  <si>
    <t>C_weaken</t>
    <phoneticPr fontId="2"/>
  </si>
  <si>
    <t>C_min</t>
    <phoneticPr fontId="2"/>
  </si>
  <si>
    <t>D_max</t>
    <phoneticPr fontId="2"/>
  </si>
  <si>
    <t>D_boost</t>
    <phoneticPr fontId="2"/>
  </si>
  <si>
    <t>D_neutral</t>
    <phoneticPr fontId="2"/>
  </si>
  <si>
    <t>D_weaken</t>
    <phoneticPr fontId="2"/>
  </si>
  <si>
    <t>D_min</t>
    <phoneticPr fontId="2"/>
  </si>
  <si>
    <t>S_max</t>
    <phoneticPr fontId="2"/>
  </si>
  <si>
    <t>S_boost</t>
    <phoneticPr fontId="2"/>
  </si>
  <si>
    <t>S_neutral</t>
    <phoneticPr fontId="2"/>
  </si>
  <si>
    <t>S_weaken</t>
    <phoneticPr fontId="2"/>
  </si>
  <si>
    <t>S_min</t>
    <phoneticPr fontId="2"/>
  </si>
  <si>
    <t>pm0892_11_00_00_02.png</t>
    <phoneticPr fontId="2"/>
  </si>
  <si>
    <t>form_image_file</t>
    <phoneticPr fontId="2"/>
  </si>
  <si>
    <t>pm0892_11_00_00_01.png</t>
  </si>
  <si>
    <t>pm0892_11_00_00.png</t>
    <phoneticPr fontId="2"/>
  </si>
  <si>
    <t>0493-001</t>
    <phoneticPr fontId="2"/>
  </si>
  <si>
    <t>0493-002</t>
    <phoneticPr fontId="2"/>
  </si>
  <si>
    <t>0493-003</t>
    <phoneticPr fontId="2"/>
  </si>
  <si>
    <t>0493-004</t>
    <phoneticPr fontId="2"/>
  </si>
  <si>
    <t>0493-005</t>
    <phoneticPr fontId="2"/>
  </si>
  <si>
    <t>0493-006</t>
    <phoneticPr fontId="2"/>
  </si>
  <si>
    <t>0493-007</t>
    <phoneticPr fontId="2"/>
  </si>
  <si>
    <t>0493-008</t>
    <phoneticPr fontId="2"/>
  </si>
  <si>
    <t>0493-009</t>
    <phoneticPr fontId="2"/>
  </si>
  <si>
    <t>0493-010</t>
    <phoneticPr fontId="2"/>
  </si>
  <si>
    <t>0493-011</t>
    <phoneticPr fontId="2"/>
  </si>
  <si>
    <t>0493-012</t>
    <phoneticPr fontId="2"/>
  </si>
  <si>
    <t>0493-013</t>
    <phoneticPr fontId="2"/>
  </si>
  <si>
    <t>0493-014</t>
    <phoneticPr fontId="2"/>
  </si>
  <si>
    <t>0493-015</t>
    <phoneticPr fontId="2"/>
  </si>
  <si>
    <t>0493-016</t>
    <phoneticPr fontId="2"/>
  </si>
  <si>
    <t>0493-017</t>
    <phoneticPr fontId="2"/>
  </si>
  <si>
    <t>アルセウス(かくとう)</t>
    <phoneticPr fontId="2"/>
  </si>
  <si>
    <t>アルセウス(ひこう)</t>
    <phoneticPr fontId="2"/>
  </si>
  <si>
    <t>アルセウス(どく)</t>
    <phoneticPr fontId="2"/>
  </si>
  <si>
    <t>アルセウス(じめん)</t>
    <phoneticPr fontId="2"/>
  </si>
  <si>
    <t>アルセウス(いわ)</t>
    <phoneticPr fontId="2"/>
  </si>
  <si>
    <t>アルセウス(むし)</t>
    <phoneticPr fontId="2"/>
  </si>
  <si>
    <t>アルセウス(ゴースト)</t>
    <phoneticPr fontId="2"/>
  </si>
  <si>
    <t>アルセウス(はがね)</t>
    <phoneticPr fontId="2"/>
  </si>
  <si>
    <t>アルセウス(ほのお)</t>
    <phoneticPr fontId="2"/>
  </si>
  <si>
    <t>アルセウス(みず)</t>
    <phoneticPr fontId="2"/>
  </si>
  <si>
    <t>アルセウス(くさ)</t>
    <phoneticPr fontId="2"/>
  </si>
  <si>
    <t>アルセウス(でんき)</t>
    <phoneticPr fontId="2"/>
  </si>
  <si>
    <t>アルセウス(エスパー)</t>
    <phoneticPr fontId="2"/>
  </si>
  <si>
    <t>アルセウス(こおり)</t>
    <phoneticPr fontId="2"/>
  </si>
  <si>
    <t>アルセウス(ドラゴン)</t>
    <phoneticPr fontId="2"/>
  </si>
  <si>
    <t>アルセウス(あく)</t>
    <phoneticPr fontId="2"/>
  </si>
  <si>
    <t>アルセウス(フェアリー)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</si>
</sst>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ukanTable" displayName="ZukanTable" ref="A1:BB1318">
  <autoFilter ref="A1:BB1318" xr:uid="{00000000-0009-0000-0100-000001000000}"/>
  <tableColumns count="54">
    <tableColumn id="1" xr3:uid="{00000000-0010-0000-0000-000001000000}" name="label"/>
    <tableColumn id="2" xr3:uid="{00000000-0010-0000-0000-000002000000}" name="Column1"/>
    <tableColumn id="3" xr3:uid="{00000000-0010-0000-0000-000003000000}" name="id"/>
    <tableColumn id="4" xr3:uid="{00000000-0010-0000-0000-000004000000}" name="form_id"/>
    <tableColumn id="5" xr3:uid="{00000000-0010-0000-0000-000005000000}" name="name"/>
    <tableColumn id="6" xr3:uid="{00000000-0010-0000-0000-000006000000}" name="form"/>
    <tableColumn id="7" xr3:uid="{00000000-0010-0000-0000-000007000000}" name="alias"/>
    <tableColumn id="8" xr3:uid="{00000000-0010-0000-0000-000008000000}" name="image_file"/>
    <tableColumn id="55" xr3:uid="{C9CF8605-DF60-450A-B15A-1E7F4769AF25}" name="form_image_file"/>
    <tableColumn id="9" xr3:uid="{00000000-0010-0000-0000-000009000000}" name="category"/>
    <tableColumn id="10" xr3:uid="{00000000-0010-0000-0000-00000A000000}" name="weight"/>
    <tableColumn id="11" xr3:uid="{00000000-0010-0000-0000-00000B000000}" name="height"/>
    <tableColumn id="12" xr3:uid="{00000000-0010-0000-0000-00000C000000}" name="type_1"/>
    <tableColumn id="13" xr3:uid="{00000000-0010-0000-0000-00000D000000}" name="type_2"/>
    <tableColumn id="14" xr3:uid="{00000000-0010-0000-0000-00000E000000}" name="ability_1"/>
    <tableColumn id="15" xr3:uid="{00000000-0010-0000-0000-00000F000000}" name="ability_2"/>
    <tableColumn id="16" xr3:uid="{00000000-0010-0000-0000-000010000000}" name="ability_3"/>
    <tableColumn id="17" xr3:uid="{00000000-0010-0000-0000-000011000000}" name="last_gen"/>
    <tableColumn id="18" xr3:uid="{00000000-0010-0000-0000-000012000000}" name="H"/>
    <tableColumn id="19" xr3:uid="{00000000-0010-0000-0000-000013000000}" name="A"/>
    <tableColumn id="20" xr3:uid="{00000000-0010-0000-0000-000014000000}" name="B"/>
    <tableColumn id="21" xr3:uid="{00000000-0010-0000-0000-000015000000}" name="C"/>
    <tableColumn id="22" xr3:uid="{00000000-0010-0000-0000-000016000000}" name="D"/>
    <tableColumn id="23" xr3:uid="{00000000-0010-0000-0000-000017000000}" name="S"/>
    <tableColumn id="24" xr3:uid="{056ACF22-EC5F-49C8-BE3E-8E435D1F418A}" name="H_max" dataDxfId="29">
      <calculatedColumnFormula>IF(S2="", "", S2+107)</calculatedColumnFormula>
    </tableColumn>
    <tableColumn id="25" xr3:uid="{8E1D5A93-B758-48F4-A71F-EF174E0846BC}" name="H_boost" dataDxfId="28">
      <calculatedColumnFormula>IF(S2="", "", S2+107)</calculatedColumnFormula>
    </tableColumn>
    <tableColumn id="26" xr3:uid="{1F667CF6-5490-49DD-9665-7883CFD180EC}" name="H_neutral" dataDxfId="27">
      <calculatedColumnFormula>IF(S2="", "", INT(INT(S2*2 + 31)/2) + 60)</calculatedColumnFormula>
    </tableColumn>
    <tableColumn id="27" xr3:uid="{24B58E3E-853D-4BEE-B963-1B78D09619C2}" name="H_weaken" dataDxfId="26">
      <calculatedColumnFormula>IF(S2="", "", INT(INT(S2*2 + 31)/2) + 60)</calculatedColumnFormula>
    </tableColumn>
    <tableColumn id="28" xr3:uid="{64BB9B29-A109-4C57-B58A-A20DDFF3F302}" name="H_min" dataDxfId="25">
      <calculatedColumnFormula>IF(S2="", "", S2 + 60)</calculatedColumnFormula>
    </tableColumn>
    <tableColumn id="29" xr3:uid="{F56E8860-A7C3-46FE-90DD-51D9452F54F0}" name="A_max" dataDxfId="24">
      <calculatedColumnFormula>IF(T2="","",INT((T2+52)*1.1))</calculatedColumnFormula>
    </tableColumn>
    <tableColumn id="30" xr3:uid="{24DAC98D-05DE-4564-9F4B-2AFF11B3E379}" name="A_boost" dataDxfId="23">
      <calculatedColumnFormula>IF(T2="","",T2+52)</calculatedColumnFormula>
    </tableColumn>
    <tableColumn id="31" xr3:uid="{9AF96716-CC30-4F3F-B869-96A2D8262A6B}" name="A_neutral" dataDxfId="22">
      <calculatedColumnFormula>IF(T2="", "", INT((T2*2 + 31)/2) + 5)</calculatedColumnFormula>
    </tableColumn>
    <tableColumn id="32" xr3:uid="{8E3646A3-87F4-481D-9AF8-1AA7B8ABB229}" name="A_weaken" dataDxfId="21">
      <calculatedColumnFormula>IF(T2="", "", INT((INT((T2*2 + 31)/2) + 5)*0.9) )</calculatedColumnFormula>
    </tableColumn>
    <tableColumn id="33" xr3:uid="{5E9E3BC0-D4CC-4928-BB2C-D8D75ACD4EFE}" name="A_min" dataDxfId="20">
      <calculatedColumnFormula>IF(T2="", "", INT((T2 + 5) * 0.9))</calculatedColumnFormula>
    </tableColumn>
    <tableColumn id="34" xr3:uid="{3E679301-7906-46C3-BE77-11C47250362E}" name="B_max" dataDxfId="19">
      <calculatedColumnFormula>IF(U2="","",INT((U2+52)*1.1))</calculatedColumnFormula>
    </tableColumn>
    <tableColumn id="35" xr3:uid="{E640D0F6-0F69-4956-8580-F655B20A7304}" name="B_boost" dataDxfId="18">
      <calculatedColumnFormula>IF(U2="","",U2+52)</calculatedColumnFormula>
    </tableColumn>
    <tableColumn id="36" xr3:uid="{9AF1A22E-1C8F-4805-B923-ACB994C9B4F6}" name="B_neutral" dataDxfId="17">
      <calculatedColumnFormula>IF(U2="", "", INT((U2*2 + 31)/2) + 5)</calculatedColumnFormula>
    </tableColumn>
    <tableColumn id="37" xr3:uid="{C8717DE6-708B-472A-B4A8-D1DE22D83288}" name="B_weaken" dataDxfId="16">
      <calculatedColumnFormula>IF(U2="", "", INT((INT((U2*2 + 31)/2) + 5)*0.9) )</calculatedColumnFormula>
    </tableColumn>
    <tableColumn id="38" xr3:uid="{22CAD639-80ED-4BA5-BBE8-A9A9B64BD51D}" name="B_min" dataDxfId="15">
      <calculatedColumnFormula>IF(U2="", "", INT((U2 + 5) * 0.9))</calculatedColumnFormula>
    </tableColumn>
    <tableColumn id="39" xr3:uid="{5C522FB9-92B4-4465-B4B3-8B30EBABF6DE}" name="C_max" dataDxfId="14">
      <calculatedColumnFormula>IF(V2="","",INT((V2+52)*1.1))</calculatedColumnFormula>
    </tableColumn>
    <tableColumn id="40" xr3:uid="{8C8B6835-DCA6-4182-9141-B27910433F85}" name="C_boost" dataDxfId="13">
      <calculatedColumnFormula>IF(V2="","",V2+52)</calculatedColumnFormula>
    </tableColumn>
    <tableColumn id="41" xr3:uid="{A21EC672-2039-42BC-85A4-8A6217ACFDCB}" name="C_neutral" dataDxfId="12">
      <calculatedColumnFormula>IF(V2="", "", INT((V2*2 + 31)/2) + 5)</calculatedColumnFormula>
    </tableColumn>
    <tableColumn id="42" xr3:uid="{9154A799-C401-4413-9D9A-D6A4C2FDA105}" name="C_weaken" dataDxfId="11">
      <calculatedColumnFormula>IF(V2="", "", INT((INT((V2*2 + 31)/2) + 5)*0.9) )</calculatedColumnFormula>
    </tableColumn>
    <tableColumn id="43" xr3:uid="{63019FB8-9B2F-4097-9353-8CA5F0749184}" name="C_min" dataDxfId="10">
      <calculatedColumnFormula>IF(V2="", "", INT((V2 + 5) * 0.9))</calculatedColumnFormula>
    </tableColumn>
    <tableColumn id="44" xr3:uid="{3FDDA1E2-D15D-49A5-B021-E0FD7DE6A44E}" name="D_max" dataDxfId="9">
      <calculatedColumnFormula>IF(W2="","",INT((W2+52)*1.1))</calculatedColumnFormula>
    </tableColumn>
    <tableColumn id="45" xr3:uid="{D87781FE-477C-443B-977D-D1B112D01A81}" name="D_boost" dataDxfId="8">
      <calculatedColumnFormula>IF(W2="","",W2+52)</calculatedColumnFormula>
    </tableColumn>
    <tableColumn id="46" xr3:uid="{05BEEDB9-44CB-4085-B946-DD4CF377D1A4}" name="D_neutral" dataDxfId="7">
      <calculatedColumnFormula>IF(W2="", "", INT((W2*2 + 31)/2) + 5)</calculatedColumnFormula>
    </tableColumn>
    <tableColumn id="47" xr3:uid="{9732D49A-3130-48FB-9524-2C6F9011BA62}" name="D_weaken" dataDxfId="6">
      <calculatedColumnFormula>IF(W2="", "", INT((INT((W2*2 + 31)/2) + 5)*0.9) )</calculatedColumnFormula>
    </tableColumn>
    <tableColumn id="48" xr3:uid="{C85550F4-1D59-4ECF-B9DA-ADC9039C37B2}" name="D_min" dataDxfId="5">
      <calculatedColumnFormula>IF(W2="", "", INT((W2 + 5) * 0.9))</calculatedColumnFormula>
    </tableColumn>
    <tableColumn id="49" xr3:uid="{C3086AAB-650E-4D17-8208-D26116059E80}" name="S_max" dataDxfId="4">
      <calculatedColumnFormula>IF(X2="","",INT((X2+52)*1.1))</calculatedColumnFormula>
    </tableColumn>
    <tableColumn id="50" xr3:uid="{A792E1CE-235A-4853-AED1-138B12A18A8D}" name="S_boost" dataDxfId="3">
      <calculatedColumnFormula>IF(X2="","",X2+52)</calculatedColumnFormula>
    </tableColumn>
    <tableColumn id="51" xr3:uid="{771DC66C-4DA1-49CD-9049-5B5C0937A786}" name="S_neutral" dataDxfId="2">
      <calculatedColumnFormula>IF(X2="", "", INT((X2*2 + 31)/2) + 5)</calculatedColumnFormula>
    </tableColumn>
    <tableColumn id="52" xr3:uid="{3AE5C494-BF6E-471E-9DB9-8E468D31EE00}" name="S_weaken" dataDxfId="1">
      <calculatedColumnFormula>IF(X2="", "", INT((INT((X2*2 + 31)/2) + 5)*0.9) )</calculatedColumnFormula>
    </tableColumn>
    <tableColumn id="53" xr3:uid="{E1600DBE-29B4-4C3B-9496-4EC56502E23C}" name="S_min" dataDxfId="0">
      <calculatedColumnFormula>IF(X2="", "", INT((X2 + 5) * 0.9))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18"/>
  <sheetViews>
    <sheetView tabSelected="1" topLeftCell="A608" workbookViewId="0">
      <selection activeCell="G641" sqref="G641"/>
    </sheetView>
  </sheetViews>
  <sheetFormatPr defaultRowHeight="13.5" x14ac:dyDescent="0.15"/>
  <cols>
    <col min="2" max="2" width="14.25" customWidth="1"/>
    <col min="3" max="3" width="9.5" customWidth="1"/>
    <col min="5" max="5" width="11.25" customWidth="1"/>
    <col min="6" max="6" width="17.125" customWidth="1"/>
    <col min="7" max="7" width="20.5" customWidth="1"/>
    <col min="8" max="8" width="20.75" customWidth="1"/>
    <col min="9" max="9" width="20.5" customWidth="1"/>
    <col min="10" max="11" width="14.625" customWidth="1"/>
    <col min="12" max="13" width="12.625" customWidth="1"/>
    <col min="14" max="16" width="18.875" customWidth="1"/>
    <col min="17" max="17" width="14.375" customWidth="1"/>
    <col min="24" max="53" width="15.625" customWidth="1"/>
  </cols>
  <sheetData>
    <row r="1" spans="1:5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4666</v>
      </c>
      <c r="I1" s="1" t="s">
        <v>4698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2" t="s">
        <v>4667</v>
      </c>
      <c r="Z1" s="2" t="s">
        <v>4668</v>
      </c>
      <c r="AA1" s="2" t="s">
        <v>4669</v>
      </c>
      <c r="AB1" s="2" t="s">
        <v>4670</v>
      </c>
      <c r="AC1" s="2" t="s">
        <v>4671</v>
      </c>
      <c r="AD1" s="2" t="s">
        <v>4672</v>
      </c>
      <c r="AE1" s="2" t="s">
        <v>4673</v>
      </c>
      <c r="AF1" s="2" t="s">
        <v>4674</v>
      </c>
      <c r="AG1" s="2" t="s">
        <v>4675</v>
      </c>
      <c r="AH1" s="2" t="s">
        <v>4676</v>
      </c>
      <c r="AI1" s="2" t="s">
        <v>4677</v>
      </c>
      <c r="AJ1" s="2" t="s">
        <v>4678</v>
      </c>
      <c r="AK1" s="2" t="s">
        <v>4679</v>
      </c>
      <c r="AL1" s="2" t="s">
        <v>4680</v>
      </c>
      <c r="AM1" s="2" t="s">
        <v>4681</v>
      </c>
      <c r="AN1" s="2" t="s">
        <v>4682</v>
      </c>
      <c r="AO1" s="2" t="s">
        <v>4683</v>
      </c>
      <c r="AP1" s="2" t="s">
        <v>4684</v>
      </c>
      <c r="AQ1" s="2" t="s">
        <v>4685</v>
      </c>
      <c r="AR1" s="2" t="s">
        <v>4686</v>
      </c>
      <c r="AS1" s="2" t="s">
        <v>4687</v>
      </c>
      <c r="AT1" s="2" t="s">
        <v>4688</v>
      </c>
      <c r="AU1" s="2" t="s">
        <v>4689</v>
      </c>
      <c r="AV1" s="2" t="s">
        <v>4690</v>
      </c>
      <c r="AW1" s="2" t="s">
        <v>4691</v>
      </c>
      <c r="AX1" s="2" t="s">
        <v>4692</v>
      </c>
      <c r="AY1" s="2" t="s">
        <v>4693</v>
      </c>
      <c r="AZ1" s="2" t="s">
        <v>4694</v>
      </c>
      <c r="BA1" s="2" t="s">
        <v>4695</v>
      </c>
      <c r="BB1" s="2" t="s">
        <v>4696</v>
      </c>
    </row>
    <row r="2" spans="1:54" x14ac:dyDescent="0.15">
      <c r="A2">
        <v>2</v>
      </c>
      <c r="B2" t="s">
        <v>22</v>
      </c>
      <c r="C2">
        <v>1</v>
      </c>
      <c r="D2">
        <v>0</v>
      </c>
      <c r="E2" t="s">
        <v>23</v>
      </c>
      <c r="G2" t="s">
        <v>23</v>
      </c>
      <c r="H2" t="s">
        <v>24</v>
      </c>
      <c r="J2" t="s">
        <v>25</v>
      </c>
      <c r="K2">
        <v>6.9</v>
      </c>
      <c r="L2">
        <v>0.7</v>
      </c>
      <c r="M2" t="s">
        <v>26</v>
      </c>
      <c r="N2" t="s">
        <v>27</v>
      </c>
      <c r="O2" t="s">
        <v>28</v>
      </c>
      <c r="P2" t="s">
        <v>29</v>
      </c>
      <c r="R2">
        <v>9</v>
      </c>
      <c r="S2">
        <v>45</v>
      </c>
      <c r="T2">
        <v>49</v>
      </c>
      <c r="U2">
        <v>49</v>
      </c>
      <c r="V2">
        <v>65</v>
      </c>
      <c r="W2">
        <v>65</v>
      </c>
      <c r="X2">
        <v>45</v>
      </c>
      <c r="Y2">
        <f>IF(S2="", "", S2+107)</f>
        <v>152</v>
      </c>
      <c r="Z2">
        <f t="shared" ref="Z2:Z65" si="0">IF(S2="", "", S2+107)</f>
        <v>152</v>
      </c>
      <c r="AA2">
        <f>IF(S2="", "", INT(INT(S2*2 + 31)/2) + 60)</f>
        <v>120</v>
      </c>
      <c r="AB2">
        <f>IF(S2="", "", INT(INT(S2*2 + 31)/2) + 60)</f>
        <v>120</v>
      </c>
      <c r="AC2">
        <f>IF(S2="", "", S2 + 60)</f>
        <v>105</v>
      </c>
      <c r="AD2">
        <f>IF(T2="","",INT((T2+52)*1.1))</f>
        <v>111</v>
      </c>
      <c r="AE2">
        <f>IF(T2="","",T2+52)</f>
        <v>101</v>
      </c>
      <c r="AF2">
        <f>IF(T2="", "", INT((T2*2 + 31)/2) + 5)</f>
        <v>69</v>
      </c>
      <c r="AG2">
        <f>IF(T2="", "", INT((INT((T2*2 + 31)/2) + 5)*0.9) )</f>
        <v>62</v>
      </c>
      <c r="AH2">
        <f>IF(T2="", "", INT((T2 + 5) * 0.9))</f>
        <v>48</v>
      </c>
      <c r="AI2">
        <f t="shared" ref="AI2:AI65" si="1">IF(U2="","",INT((U2+52)*1.1))</f>
        <v>111</v>
      </c>
      <c r="AJ2">
        <f>IF(U2="","",U2+52)</f>
        <v>101</v>
      </c>
      <c r="AK2">
        <f>IF(U2="", "", INT((U2*2 + 31)/2) + 5)</f>
        <v>69</v>
      </c>
      <c r="AL2">
        <f>IF(U2="", "", INT((INT((U2*2 + 31)/2) + 5)*0.9) )</f>
        <v>62</v>
      </c>
      <c r="AM2">
        <f>IF(U2="", "", INT((U2 + 5) * 0.9))</f>
        <v>48</v>
      </c>
      <c r="AN2">
        <f t="shared" ref="AN2:AN65" si="2">IF(V2="","",INT((V2+52)*1.1))</f>
        <v>128</v>
      </c>
      <c r="AO2">
        <f>IF(V2="","",V2+52)</f>
        <v>117</v>
      </c>
      <c r="AP2">
        <f>IF(V2="", "", INT((V2*2 + 31)/2) + 5)</f>
        <v>85</v>
      </c>
      <c r="AQ2">
        <f>IF(V2="", "", INT((INT((V2*2 + 31)/2) + 5)*0.9) )</f>
        <v>76</v>
      </c>
      <c r="AR2">
        <f>IF(V2="", "", INT((V2 + 5) * 0.9))</f>
        <v>63</v>
      </c>
      <c r="AS2">
        <f>IF(W2="","",INT((W2+52)*1.1))</f>
        <v>128</v>
      </c>
      <c r="AT2">
        <f>IF(W2="","",W2+52)</f>
        <v>117</v>
      </c>
      <c r="AU2">
        <f>IF(W2="", "", INT((W2*2 + 31)/2) + 5)</f>
        <v>85</v>
      </c>
      <c r="AV2">
        <f>IF(W2="", "", INT((INT((W2*2 + 31)/2) + 5)*0.9) )</f>
        <v>76</v>
      </c>
      <c r="AW2">
        <f>IF(W2="", "", INT((W2 + 5) * 0.9))</f>
        <v>63</v>
      </c>
      <c r="AX2">
        <f t="shared" ref="AX2:AX65" si="3">IF(X2="","",INT((X2+52)*1.1))</f>
        <v>106</v>
      </c>
      <c r="AY2">
        <f t="shared" ref="AY2:AY65" si="4">IF(X2="","",X2+52)</f>
        <v>97</v>
      </c>
      <c r="AZ2">
        <f t="shared" ref="AZ2:AZ65" si="5">IF(X2="", "", INT((X2*2 + 31)/2) + 5)</f>
        <v>65</v>
      </c>
      <c r="BA2">
        <f t="shared" ref="BA2:BA65" si="6">IF(X2="", "", INT((INT((X2*2 + 31)/2) + 5)*0.9) )</f>
        <v>58</v>
      </c>
      <c r="BB2">
        <f t="shared" ref="BB2:BB65" si="7">IF(X2="", "", INT((X2 + 5) * 0.9))</f>
        <v>45</v>
      </c>
    </row>
    <row r="3" spans="1:54" x14ac:dyDescent="0.15">
      <c r="A3">
        <v>3</v>
      </c>
      <c r="B3" t="s">
        <v>30</v>
      </c>
      <c r="C3">
        <v>2</v>
      </c>
      <c r="D3">
        <v>0</v>
      </c>
      <c r="E3" t="s">
        <v>31</v>
      </c>
      <c r="G3" t="s">
        <v>31</v>
      </c>
      <c r="H3" t="s">
        <v>32</v>
      </c>
      <c r="J3" t="s">
        <v>25</v>
      </c>
      <c r="K3">
        <v>13</v>
      </c>
      <c r="L3">
        <v>1</v>
      </c>
      <c r="M3" t="s">
        <v>26</v>
      </c>
      <c r="N3" t="s">
        <v>27</v>
      </c>
      <c r="O3" t="s">
        <v>28</v>
      </c>
      <c r="P3" t="s">
        <v>29</v>
      </c>
      <c r="R3">
        <v>9</v>
      </c>
      <c r="S3">
        <v>60</v>
      </c>
      <c r="T3">
        <v>62</v>
      </c>
      <c r="U3">
        <v>63</v>
      </c>
      <c r="V3">
        <v>80</v>
      </c>
      <c r="W3">
        <v>80</v>
      </c>
      <c r="X3">
        <v>60</v>
      </c>
      <c r="Y3">
        <f t="shared" ref="Y3:Y65" si="8">IF(S3="", "", S3+107)</f>
        <v>167</v>
      </c>
      <c r="Z3">
        <f t="shared" si="0"/>
        <v>167</v>
      </c>
      <c r="AA3">
        <f t="shared" ref="AA3:AA65" si="9">IF(S3="", "", INT(INT(S3*2 + 31)/2) + 60)</f>
        <v>135</v>
      </c>
      <c r="AB3">
        <f t="shared" ref="AB3:AB65" si="10">IF(S3="", "", INT(INT(S3*2 + 31)/2) + 60)</f>
        <v>135</v>
      </c>
      <c r="AC3">
        <f t="shared" ref="AC3:AC65" si="11">IF(S3="", "", S3 + 60)</f>
        <v>120</v>
      </c>
      <c r="AD3">
        <f t="shared" ref="AD3:AD65" si="12">IF(T3="","",INT((T3+52)*1.1))</f>
        <v>125</v>
      </c>
      <c r="AE3">
        <f t="shared" ref="AE3:AE65" si="13">IF(T3="","",T3+52)</f>
        <v>114</v>
      </c>
      <c r="AF3">
        <f t="shared" ref="AF3:AF65" si="14">IF(T3="", "", INT((T3*2 + 31)/2) + 5)</f>
        <v>82</v>
      </c>
      <c r="AG3">
        <f t="shared" ref="AG3:AG65" si="15">IF(T3="", "", INT((INT((T3*2 + 31)/2) + 5)*0.9) )</f>
        <v>73</v>
      </c>
      <c r="AH3">
        <f t="shared" ref="AH3:AH65" si="16">IF(T3="", "", INT((T3 + 5) * 0.9))</f>
        <v>60</v>
      </c>
      <c r="AI3">
        <f t="shared" si="1"/>
        <v>126</v>
      </c>
      <c r="AJ3">
        <f t="shared" ref="AJ3:AJ65" si="17">IF(U3="","",U3+52)</f>
        <v>115</v>
      </c>
      <c r="AK3">
        <f t="shared" ref="AK3:AK65" si="18">IF(U3="", "", INT((U3*2 + 31)/2) + 5)</f>
        <v>83</v>
      </c>
      <c r="AL3">
        <f t="shared" ref="AL3:AL65" si="19">IF(U3="", "", INT((INT((U3*2 + 31)/2) + 5)*0.9) )</f>
        <v>74</v>
      </c>
      <c r="AM3">
        <f t="shared" ref="AM3:AM65" si="20">IF(U3="", "", INT((U3 + 5) * 0.9))</f>
        <v>61</v>
      </c>
      <c r="AN3">
        <f t="shared" si="2"/>
        <v>145</v>
      </c>
      <c r="AO3">
        <f t="shared" ref="AO3:AO65" si="21">IF(V3="","",V3+52)</f>
        <v>132</v>
      </c>
      <c r="AP3">
        <f t="shared" ref="AP3:AP65" si="22">IF(V3="", "", INT((V3*2 + 31)/2) + 5)</f>
        <v>100</v>
      </c>
      <c r="AQ3">
        <f t="shared" ref="AQ3:AQ65" si="23">IF(V3="", "", INT((INT((V3*2 + 31)/2) + 5)*0.9) )</f>
        <v>90</v>
      </c>
      <c r="AR3">
        <f t="shared" ref="AR3:AR65" si="24">IF(V3="", "", INT((V3 + 5) * 0.9))</f>
        <v>76</v>
      </c>
      <c r="AS3">
        <f t="shared" ref="AS3:AS65" si="25">IF(W3="","",INT((W3+52)*1.1))</f>
        <v>145</v>
      </c>
      <c r="AT3">
        <f t="shared" ref="AT3:AT65" si="26">IF(W3="","",W3+52)</f>
        <v>132</v>
      </c>
      <c r="AU3">
        <f t="shared" ref="AU3:AU65" si="27">IF(W3="", "", INT((W3*2 + 31)/2) + 5)</f>
        <v>100</v>
      </c>
      <c r="AV3">
        <f t="shared" ref="AV3:AV65" si="28">IF(W3="", "", INT((INT((W3*2 + 31)/2) + 5)*0.9) )</f>
        <v>90</v>
      </c>
      <c r="AW3">
        <f t="shared" ref="AW3:AW65" si="29">IF(W3="", "", INT((W3 + 5) * 0.9))</f>
        <v>76</v>
      </c>
      <c r="AX3">
        <f t="shared" si="3"/>
        <v>123</v>
      </c>
      <c r="AY3">
        <f t="shared" si="4"/>
        <v>112</v>
      </c>
      <c r="AZ3">
        <f t="shared" si="5"/>
        <v>80</v>
      </c>
      <c r="BA3">
        <f t="shared" si="6"/>
        <v>72</v>
      </c>
      <c r="BB3">
        <f t="shared" si="7"/>
        <v>58</v>
      </c>
    </row>
    <row r="4" spans="1:54" x14ac:dyDescent="0.15">
      <c r="A4">
        <v>4</v>
      </c>
      <c r="B4" t="s">
        <v>33</v>
      </c>
      <c r="C4">
        <v>3</v>
      </c>
      <c r="D4">
        <v>0</v>
      </c>
      <c r="E4" t="s">
        <v>34</v>
      </c>
      <c r="G4" t="s">
        <v>34</v>
      </c>
      <c r="H4" t="s">
        <v>35</v>
      </c>
      <c r="J4" t="s">
        <v>25</v>
      </c>
      <c r="K4">
        <v>100</v>
      </c>
      <c r="L4">
        <v>2</v>
      </c>
      <c r="M4" t="s">
        <v>26</v>
      </c>
      <c r="N4" t="s">
        <v>27</v>
      </c>
      <c r="O4" t="s">
        <v>28</v>
      </c>
      <c r="P4" t="s">
        <v>29</v>
      </c>
      <c r="R4">
        <v>9</v>
      </c>
      <c r="S4">
        <v>80</v>
      </c>
      <c r="T4">
        <v>82</v>
      </c>
      <c r="U4">
        <v>83</v>
      </c>
      <c r="V4">
        <v>100</v>
      </c>
      <c r="W4">
        <v>100</v>
      </c>
      <c r="X4">
        <v>80</v>
      </c>
      <c r="Y4">
        <f t="shared" si="8"/>
        <v>187</v>
      </c>
      <c r="Z4">
        <f t="shared" si="0"/>
        <v>187</v>
      </c>
      <c r="AA4">
        <f t="shared" si="9"/>
        <v>155</v>
      </c>
      <c r="AB4">
        <f t="shared" si="10"/>
        <v>155</v>
      </c>
      <c r="AC4">
        <f t="shared" si="11"/>
        <v>140</v>
      </c>
      <c r="AD4">
        <f t="shared" si="12"/>
        <v>147</v>
      </c>
      <c r="AE4">
        <f t="shared" si="13"/>
        <v>134</v>
      </c>
      <c r="AF4">
        <f t="shared" si="14"/>
        <v>102</v>
      </c>
      <c r="AG4">
        <f t="shared" si="15"/>
        <v>91</v>
      </c>
      <c r="AH4">
        <f t="shared" si="16"/>
        <v>78</v>
      </c>
      <c r="AI4">
        <f t="shared" si="1"/>
        <v>148</v>
      </c>
      <c r="AJ4">
        <f t="shared" si="17"/>
        <v>135</v>
      </c>
      <c r="AK4">
        <f t="shared" si="18"/>
        <v>103</v>
      </c>
      <c r="AL4">
        <f t="shared" si="19"/>
        <v>92</v>
      </c>
      <c r="AM4">
        <f t="shared" si="20"/>
        <v>79</v>
      </c>
      <c r="AN4">
        <f t="shared" si="2"/>
        <v>167</v>
      </c>
      <c r="AO4">
        <f t="shared" si="21"/>
        <v>152</v>
      </c>
      <c r="AP4">
        <f t="shared" si="22"/>
        <v>120</v>
      </c>
      <c r="AQ4">
        <f t="shared" si="23"/>
        <v>108</v>
      </c>
      <c r="AR4">
        <f t="shared" si="24"/>
        <v>94</v>
      </c>
      <c r="AS4">
        <f t="shared" si="25"/>
        <v>167</v>
      </c>
      <c r="AT4">
        <f t="shared" si="26"/>
        <v>152</v>
      </c>
      <c r="AU4">
        <f t="shared" si="27"/>
        <v>120</v>
      </c>
      <c r="AV4">
        <f t="shared" si="28"/>
        <v>108</v>
      </c>
      <c r="AW4">
        <f t="shared" si="29"/>
        <v>94</v>
      </c>
      <c r="AX4">
        <f t="shared" si="3"/>
        <v>145</v>
      </c>
      <c r="AY4">
        <f t="shared" si="4"/>
        <v>132</v>
      </c>
      <c r="AZ4">
        <f t="shared" si="5"/>
        <v>100</v>
      </c>
      <c r="BA4">
        <f t="shared" si="6"/>
        <v>90</v>
      </c>
      <c r="BB4">
        <f t="shared" si="7"/>
        <v>76</v>
      </c>
    </row>
    <row r="5" spans="1:54" x14ac:dyDescent="0.15">
      <c r="B5" t="s">
        <v>36</v>
      </c>
      <c r="C5">
        <v>3</v>
      </c>
      <c r="D5">
        <v>1</v>
      </c>
      <c r="E5" t="s">
        <v>34</v>
      </c>
      <c r="F5" t="s">
        <v>37</v>
      </c>
      <c r="G5" t="s">
        <v>37</v>
      </c>
      <c r="J5" t="s">
        <v>25</v>
      </c>
      <c r="K5">
        <v>155.5</v>
      </c>
      <c r="L5">
        <v>2.4</v>
      </c>
      <c r="M5" t="s">
        <v>26</v>
      </c>
      <c r="N5" t="s">
        <v>27</v>
      </c>
      <c r="O5" t="s">
        <v>38</v>
      </c>
      <c r="P5" t="s">
        <v>29</v>
      </c>
      <c r="R5">
        <v>7</v>
      </c>
      <c r="S5">
        <v>80</v>
      </c>
      <c r="T5">
        <v>82</v>
      </c>
      <c r="U5">
        <v>83</v>
      </c>
      <c r="V5">
        <v>100</v>
      </c>
      <c r="W5">
        <v>100</v>
      </c>
      <c r="X5">
        <v>80</v>
      </c>
      <c r="Y5">
        <f t="shared" si="8"/>
        <v>187</v>
      </c>
      <c r="Z5">
        <f t="shared" si="0"/>
        <v>187</v>
      </c>
      <c r="AA5">
        <f t="shared" si="9"/>
        <v>155</v>
      </c>
      <c r="AB5">
        <f t="shared" si="10"/>
        <v>155</v>
      </c>
      <c r="AC5">
        <f t="shared" si="11"/>
        <v>140</v>
      </c>
      <c r="AD5">
        <f t="shared" si="12"/>
        <v>147</v>
      </c>
      <c r="AE5">
        <f t="shared" si="13"/>
        <v>134</v>
      </c>
      <c r="AF5">
        <f t="shared" si="14"/>
        <v>102</v>
      </c>
      <c r="AG5">
        <f t="shared" si="15"/>
        <v>91</v>
      </c>
      <c r="AH5">
        <f t="shared" si="16"/>
        <v>78</v>
      </c>
      <c r="AI5">
        <f t="shared" si="1"/>
        <v>148</v>
      </c>
      <c r="AJ5">
        <f t="shared" si="17"/>
        <v>135</v>
      </c>
      <c r="AK5">
        <f t="shared" si="18"/>
        <v>103</v>
      </c>
      <c r="AL5">
        <f t="shared" si="19"/>
        <v>92</v>
      </c>
      <c r="AM5">
        <f t="shared" si="20"/>
        <v>79</v>
      </c>
      <c r="AN5">
        <f t="shared" si="2"/>
        <v>167</v>
      </c>
      <c r="AO5">
        <f t="shared" si="21"/>
        <v>152</v>
      </c>
      <c r="AP5">
        <f t="shared" si="22"/>
        <v>120</v>
      </c>
      <c r="AQ5">
        <f t="shared" si="23"/>
        <v>108</v>
      </c>
      <c r="AR5">
        <f t="shared" si="24"/>
        <v>94</v>
      </c>
      <c r="AS5">
        <f t="shared" si="25"/>
        <v>167</v>
      </c>
      <c r="AT5">
        <f t="shared" si="26"/>
        <v>152</v>
      </c>
      <c r="AU5">
        <f t="shared" si="27"/>
        <v>120</v>
      </c>
      <c r="AV5">
        <f t="shared" si="28"/>
        <v>108</v>
      </c>
      <c r="AW5">
        <f t="shared" si="29"/>
        <v>94</v>
      </c>
      <c r="AX5">
        <f t="shared" si="3"/>
        <v>145</v>
      </c>
      <c r="AY5">
        <f t="shared" si="4"/>
        <v>132</v>
      </c>
      <c r="AZ5">
        <f t="shared" si="5"/>
        <v>100</v>
      </c>
      <c r="BA5">
        <f t="shared" si="6"/>
        <v>90</v>
      </c>
      <c r="BB5">
        <f t="shared" si="7"/>
        <v>76</v>
      </c>
    </row>
    <row r="6" spans="1:54" x14ac:dyDescent="0.15">
      <c r="B6" t="s">
        <v>39</v>
      </c>
      <c r="C6">
        <v>3</v>
      </c>
      <c r="D6">
        <v>999</v>
      </c>
      <c r="E6" t="s">
        <v>34</v>
      </c>
      <c r="F6" t="s">
        <v>40</v>
      </c>
      <c r="G6" t="s">
        <v>41</v>
      </c>
      <c r="J6" t="s">
        <v>42</v>
      </c>
      <c r="K6">
        <v>9999.9</v>
      </c>
      <c r="L6">
        <v>24</v>
      </c>
      <c r="M6" t="s">
        <v>26</v>
      </c>
      <c r="N6" t="s">
        <v>27</v>
      </c>
      <c r="O6" t="s">
        <v>28</v>
      </c>
      <c r="P6" t="s">
        <v>29</v>
      </c>
      <c r="R6">
        <v>8</v>
      </c>
      <c r="S6">
        <v>80</v>
      </c>
      <c r="T6">
        <v>82</v>
      </c>
      <c r="U6">
        <v>83</v>
      </c>
      <c r="V6">
        <v>100</v>
      </c>
      <c r="W6">
        <v>100</v>
      </c>
      <c r="X6">
        <v>80</v>
      </c>
      <c r="Y6">
        <f t="shared" si="8"/>
        <v>187</v>
      </c>
      <c r="Z6">
        <f t="shared" si="0"/>
        <v>187</v>
      </c>
      <c r="AA6">
        <f t="shared" si="9"/>
        <v>155</v>
      </c>
      <c r="AB6">
        <f t="shared" si="10"/>
        <v>155</v>
      </c>
      <c r="AC6">
        <f t="shared" si="11"/>
        <v>140</v>
      </c>
      <c r="AD6">
        <f t="shared" si="12"/>
        <v>147</v>
      </c>
      <c r="AE6">
        <f t="shared" si="13"/>
        <v>134</v>
      </c>
      <c r="AF6">
        <f t="shared" si="14"/>
        <v>102</v>
      </c>
      <c r="AG6">
        <f t="shared" si="15"/>
        <v>91</v>
      </c>
      <c r="AH6">
        <f t="shared" si="16"/>
        <v>78</v>
      </c>
      <c r="AI6">
        <f t="shared" si="1"/>
        <v>148</v>
      </c>
      <c r="AJ6">
        <f t="shared" si="17"/>
        <v>135</v>
      </c>
      <c r="AK6">
        <f t="shared" si="18"/>
        <v>103</v>
      </c>
      <c r="AL6">
        <f t="shared" si="19"/>
        <v>92</v>
      </c>
      <c r="AM6">
        <f t="shared" si="20"/>
        <v>79</v>
      </c>
      <c r="AN6">
        <f t="shared" si="2"/>
        <v>167</v>
      </c>
      <c r="AO6">
        <f t="shared" si="21"/>
        <v>152</v>
      </c>
      <c r="AP6">
        <f t="shared" si="22"/>
        <v>120</v>
      </c>
      <c r="AQ6">
        <f t="shared" si="23"/>
        <v>108</v>
      </c>
      <c r="AR6">
        <f t="shared" si="24"/>
        <v>94</v>
      </c>
      <c r="AS6">
        <f t="shared" si="25"/>
        <v>167</v>
      </c>
      <c r="AT6">
        <f t="shared" si="26"/>
        <v>152</v>
      </c>
      <c r="AU6">
        <f t="shared" si="27"/>
        <v>120</v>
      </c>
      <c r="AV6">
        <f t="shared" si="28"/>
        <v>108</v>
      </c>
      <c r="AW6">
        <f t="shared" si="29"/>
        <v>94</v>
      </c>
      <c r="AX6">
        <f t="shared" si="3"/>
        <v>145</v>
      </c>
      <c r="AY6">
        <f t="shared" si="4"/>
        <v>132</v>
      </c>
      <c r="AZ6">
        <f t="shared" si="5"/>
        <v>100</v>
      </c>
      <c r="BA6">
        <f t="shared" si="6"/>
        <v>90</v>
      </c>
      <c r="BB6">
        <f t="shared" si="7"/>
        <v>76</v>
      </c>
    </row>
    <row r="7" spans="1:54" x14ac:dyDescent="0.15">
      <c r="A7">
        <v>5</v>
      </c>
      <c r="B7" t="s">
        <v>43</v>
      </c>
      <c r="C7">
        <v>4</v>
      </c>
      <c r="D7">
        <v>0</v>
      </c>
      <c r="E7" t="s">
        <v>44</v>
      </c>
      <c r="G7" t="s">
        <v>44</v>
      </c>
      <c r="H7" t="s">
        <v>45</v>
      </c>
      <c r="J7" t="s">
        <v>46</v>
      </c>
      <c r="K7">
        <v>8.5</v>
      </c>
      <c r="L7">
        <v>0.6</v>
      </c>
      <c r="M7" t="s">
        <v>47</v>
      </c>
      <c r="O7" t="s">
        <v>48</v>
      </c>
      <c r="P7" t="s">
        <v>49</v>
      </c>
      <c r="R7">
        <v>9</v>
      </c>
      <c r="S7">
        <v>39</v>
      </c>
      <c r="T7">
        <v>52</v>
      </c>
      <c r="U7">
        <v>43</v>
      </c>
      <c r="V7">
        <v>60</v>
      </c>
      <c r="W7">
        <v>50</v>
      </c>
      <c r="X7">
        <v>65</v>
      </c>
      <c r="Y7">
        <f t="shared" si="8"/>
        <v>146</v>
      </c>
      <c r="Z7">
        <f t="shared" si="0"/>
        <v>146</v>
      </c>
      <c r="AA7">
        <f t="shared" si="9"/>
        <v>114</v>
      </c>
      <c r="AB7">
        <f t="shared" si="10"/>
        <v>114</v>
      </c>
      <c r="AC7">
        <f t="shared" si="11"/>
        <v>99</v>
      </c>
      <c r="AD7">
        <f t="shared" si="12"/>
        <v>114</v>
      </c>
      <c r="AE7">
        <f t="shared" si="13"/>
        <v>104</v>
      </c>
      <c r="AF7">
        <f t="shared" si="14"/>
        <v>72</v>
      </c>
      <c r="AG7">
        <f t="shared" si="15"/>
        <v>64</v>
      </c>
      <c r="AH7">
        <f t="shared" si="16"/>
        <v>51</v>
      </c>
      <c r="AI7">
        <f t="shared" si="1"/>
        <v>104</v>
      </c>
      <c r="AJ7">
        <f t="shared" si="17"/>
        <v>95</v>
      </c>
      <c r="AK7">
        <f t="shared" si="18"/>
        <v>63</v>
      </c>
      <c r="AL7">
        <f t="shared" si="19"/>
        <v>56</v>
      </c>
      <c r="AM7">
        <f t="shared" si="20"/>
        <v>43</v>
      </c>
      <c r="AN7">
        <f t="shared" si="2"/>
        <v>123</v>
      </c>
      <c r="AO7">
        <f t="shared" si="21"/>
        <v>112</v>
      </c>
      <c r="AP7">
        <f t="shared" si="22"/>
        <v>80</v>
      </c>
      <c r="AQ7">
        <f t="shared" si="23"/>
        <v>72</v>
      </c>
      <c r="AR7">
        <f t="shared" si="24"/>
        <v>58</v>
      </c>
      <c r="AS7">
        <f t="shared" si="25"/>
        <v>112</v>
      </c>
      <c r="AT7">
        <f t="shared" si="26"/>
        <v>102</v>
      </c>
      <c r="AU7">
        <f t="shared" si="27"/>
        <v>70</v>
      </c>
      <c r="AV7">
        <f t="shared" si="28"/>
        <v>63</v>
      </c>
      <c r="AW7">
        <f t="shared" si="29"/>
        <v>49</v>
      </c>
      <c r="AX7">
        <f t="shared" si="3"/>
        <v>128</v>
      </c>
      <c r="AY7">
        <f t="shared" si="4"/>
        <v>117</v>
      </c>
      <c r="AZ7">
        <f t="shared" si="5"/>
        <v>85</v>
      </c>
      <c r="BA7">
        <f t="shared" si="6"/>
        <v>76</v>
      </c>
      <c r="BB7">
        <f t="shared" si="7"/>
        <v>63</v>
      </c>
    </row>
    <row r="8" spans="1:54" x14ac:dyDescent="0.15">
      <c r="A8">
        <v>6</v>
      </c>
      <c r="B8" t="s">
        <v>50</v>
      </c>
      <c r="C8">
        <v>5</v>
      </c>
      <c r="D8">
        <v>0</v>
      </c>
      <c r="E8" t="s">
        <v>51</v>
      </c>
      <c r="G8" t="s">
        <v>51</v>
      </c>
      <c r="H8" t="s">
        <v>52</v>
      </c>
      <c r="J8" t="s">
        <v>53</v>
      </c>
      <c r="K8">
        <v>19</v>
      </c>
      <c r="L8">
        <v>1.1000000000000001</v>
      </c>
      <c r="M8" t="s">
        <v>47</v>
      </c>
      <c r="O8" t="s">
        <v>48</v>
      </c>
      <c r="P8" t="s">
        <v>49</v>
      </c>
      <c r="R8">
        <v>9</v>
      </c>
      <c r="S8">
        <v>58</v>
      </c>
      <c r="T8">
        <v>64</v>
      </c>
      <c r="U8">
        <v>58</v>
      </c>
      <c r="V8">
        <v>80</v>
      </c>
      <c r="W8">
        <v>65</v>
      </c>
      <c r="X8">
        <v>80</v>
      </c>
      <c r="Y8">
        <f t="shared" si="8"/>
        <v>165</v>
      </c>
      <c r="Z8">
        <f t="shared" si="0"/>
        <v>165</v>
      </c>
      <c r="AA8">
        <f t="shared" si="9"/>
        <v>133</v>
      </c>
      <c r="AB8">
        <f t="shared" si="10"/>
        <v>133</v>
      </c>
      <c r="AC8">
        <f t="shared" si="11"/>
        <v>118</v>
      </c>
      <c r="AD8">
        <f t="shared" si="12"/>
        <v>127</v>
      </c>
      <c r="AE8">
        <f t="shared" si="13"/>
        <v>116</v>
      </c>
      <c r="AF8">
        <f t="shared" si="14"/>
        <v>84</v>
      </c>
      <c r="AG8">
        <f t="shared" si="15"/>
        <v>75</v>
      </c>
      <c r="AH8">
        <f t="shared" si="16"/>
        <v>62</v>
      </c>
      <c r="AI8">
        <f t="shared" si="1"/>
        <v>121</v>
      </c>
      <c r="AJ8">
        <f t="shared" si="17"/>
        <v>110</v>
      </c>
      <c r="AK8">
        <f t="shared" si="18"/>
        <v>78</v>
      </c>
      <c r="AL8">
        <f t="shared" si="19"/>
        <v>70</v>
      </c>
      <c r="AM8">
        <f t="shared" si="20"/>
        <v>56</v>
      </c>
      <c r="AN8">
        <f t="shared" si="2"/>
        <v>145</v>
      </c>
      <c r="AO8">
        <f t="shared" si="21"/>
        <v>132</v>
      </c>
      <c r="AP8">
        <f t="shared" si="22"/>
        <v>100</v>
      </c>
      <c r="AQ8">
        <f t="shared" si="23"/>
        <v>90</v>
      </c>
      <c r="AR8">
        <f t="shared" si="24"/>
        <v>76</v>
      </c>
      <c r="AS8">
        <f t="shared" si="25"/>
        <v>128</v>
      </c>
      <c r="AT8">
        <f t="shared" si="26"/>
        <v>117</v>
      </c>
      <c r="AU8">
        <f t="shared" si="27"/>
        <v>85</v>
      </c>
      <c r="AV8">
        <f t="shared" si="28"/>
        <v>76</v>
      </c>
      <c r="AW8">
        <f t="shared" si="29"/>
        <v>63</v>
      </c>
      <c r="AX8">
        <f t="shared" si="3"/>
        <v>145</v>
      </c>
      <c r="AY8">
        <f t="shared" si="4"/>
        <v>132</v>
      </c>
      <c r="AZ8">
        <f t="shared" si="5"/>
        <v>100</v>
      </c>
      <c r="BA8">
        <f t="shared" si="6"/>
        <v>90</v>
      </c>
      <c r="BB8">
        <f t="shared" si="7"/>
        <v>76</v>
      </c>
    </row>
    <row r="9" spans="1:54" x14ac:dyDescent="0.15">
      <c r="A9">
        <v>7</v>
      </c>
      <c r="B9" t="s">
        <v>54</v>
      </c>
      <c r="C9">
        <v>6</v>
      </c>
      <c r="D9">
        <v>0</v>
      </c>
      <c r="E9" t="s">
        <v>55</v>
      </c>
      <c r="G9" t="s">
        <v>55</v>
      </c>
      <c r="H9" t="s">
        <v>56</v>
      </c>
      <c r="J9" t="s">
        <v>53</v>
      </c>
      <c r="K9">
        <v>90.5</v>
      </c>
      <c r="L9">
        <v>1.7</v>
      </c>
      <c r="M9" t="s">
        <v>47</v>
      </c>
      <c r="N9" t="s">
        <v>57</v>
      </c>
      <c r="O9" t="s">
        <v>48</v>
      </c>
      <c r="P9" t="s">
        <v>49</v>
      </c>
      <c r="R9">
        <v>9</v>
      </c>
      <c r="S9">
        <v>78</v>
      </c>
      <c r="T9">
        <v>84</v>
      </c>
      <c r="U9">
        <v>78</v>
      </c>
      <c r="V9">
        <v>109</v>
      </c>
      <c r="W9">
        <v>85</v>
      </c>
      <c r="X9">
        <v>100</v>
      </c>
      <c r="Y9">
        <f t="shared" si="8"/>
        <v>185</v>
      </c>
      <c r="Z9">
        <f t="shared" si="0"/>
        <v>185</v>
      </c>
      <c r="AA9">
        <f t="shared" si="9"/>
        <v>153</v>
      </c>
      <c r="AB9">
        <f t="shared" si="10"/>
        <v>153</v>
      </c>
      <c r="AC9">
        <f t="shared" si="11"/>
        <v>138</v>
      </c>
      <c r="AD9">
        <f t="shared" si="12"/>
        <v>149</v>
      </c>
      <c r="AE9">
        <f t="shared" si="13"/>
        <v>136</v>
      </c>
      <c r="AF9">
        <f t="shared" si="14"/>
        <v>104</v>
      </c>
      <c r="AG9">
        <f t="shared" si="15"/>
        <v>93</v>
      </c>
      <c r="AH9">
        <f t="shared" si="16"/>
        <v>80</v>
      </c>
      <c r="AI9">
        <f t="shared" si="1"/>
        <v>143</v>
      </c>
      <c r="AJ9">
        <f t="shared" si="17"/>
        <v>130</v>
      </c>
      <c r="AK9">
        <f t="shared" si="18"/>
        <v>98</v>
      </c>
      <c r="AL9">
        <f t="shared" si="19"/>
        <v>88</v>
      </c>
      <c r="AM9">
        <f t="shared" si="20"/>
        <v>74</v>
      </c>
      <c r="AN9">
        <f t="shared" si="2"/>
        <v>177</v>
      </c>
      <c r="AO9">
        <f t="shared" si="21"/>
        <v>161</v>
      </c>
      <c r="AP9">
        <f t="shared" si="22"/>
        <v>129</v>
      </c>
      <c r="AQ9">
        <f t="shared" si="23"/>
        <v>116</v>
      </c>
      <c r="AR9">
        <f t="shared" si="24"/>
        <v>102</v>
      </c>
      <c r="AS9">
        <f t="shared" si="25"/>
        <v>150</v>
      </c>
      <c r="AT9">
        <f t="shared" si="26"/>
        <v>137</v>
      </c>
      <c r="AU9">
        <f t="shared" si="27"/>
        <v>105</v>
      </c>
      <c r="AV9">
        <f t="shared" si="28"/>
        <v>94</v>
      </c>
      <c r="AW9">
        <f t="shared" si="29"/>
        <v>81</v>
      </c>
      <c r="AX9">
        <f t="shared" si="3"/>
        <v>167</v>
      </c>
      <c r="AY9">
        <f t="shared" si="4"/>
        <v>152</v>
      </c>
      <c r="AZ9">
        <f t="shared" si="5"/>
        <v>120</v>
      </c>
      <c r="BA9">
        <f t="shared" si="6"/>
        <v>108</v>
      </c>
      <c r="BB9">
        <f t="shared" si="7"/>
        <v>94</v>
      </c>
    </row>
    <row r="10" spans="1:54" x14ac:dyDescent="0.15">
      <c r="B10" t="s">
        <v>58</v>
      </c>
      <c r="C10">
        <v>6</v>
      </c>
      <c r="D10">
        <v>1</v>
      </c>
      <c r="E10" t="s">
        <v>55</v>
      </c>
      <c r="F10" t="s">
        <v>59</v>
      </c>
      <c r="G10" t="s">
        <v>59</v>
      </c>
      <c r="J10" t="s">
        <v>53</v>
      </c>
      <c r="K10">
        <v>110.5</v>
      </c>
      <c r="L10">
        <v>1.7</v>
      </c>
      <c r="M10" t="s">
        <v>47</v>
      </c>
      <c r="N10" t="s">
        <v>60</v>
      </c>
      <c r="O10" t="s">
        <v>61</v>
      </c>
      <c r="P10" t="s">
        <v>49</v>
      </c>
      <c r="R10">
        <v>7</v>
      </c>
      <c r="S10">
        <v>78</v>
      </c>
      <c r="T10">
        <v>84</v>
      </c>
      <c r="U10">
        <v>78</v>
      </c>
      <c r="V10">
        <v>109</v>
      </c>
      <c r="W10">
        <v>85</v>
      </c>
      <c r="X10">
        <v>100</v>
      </c>
      <c r="Y10">
        <f t="shared" si="8"/>
        <v>185</v>
      </c>
      <c r="Z10">
        <f t="shared" si="0"/>
        <v>185</v>
      </c>
      <c r="AA10">
        <f t="shared" si="9"/>
        <v>153</v>
      </c>
      <c r="AB10">
        <f t="shared" si="10"/>
        <v>153</v>
      </c>
      <c r="AC10">
        <f t="shared" si="11"/>
        <v>138</v>
      </c>
      <c r="AD10">
        <f t="shared" si="12"/>
        <v>149</v>
      </c>
      <c r="AE10">
        <f t="shared" si="13"/>
        <v>136</v>
      </c>
      <c r="AF10">
        <f t="shared" si="14"/>
        <v>104</v>
      </c>
      <c r="AG10">
        <f t="shared" si="15"/>
        <v>93</v>
      </c>
      <c r="AH10">
        <f t="shared" si="16"/>
        <v>80</v>
      </c>
      <c r="AI10">
        <f t="shared" si="1"/>
        <v>143</v>
      </c>
      <c r="AJ10">
        <f t="shared" si="17"/>
        <v>130</v>
      </c>
      <c r="AK10">
        <f t="shared" si="18"/>
        <v>98</v>
      </c>
      <c r="AL10">
        <f t="shared" si="19"/>
        <v>88</v>
      </c>
      <c r="AM10">
        <f t="shared" si="20"/>
        <v>74</v>
      </c>
      <c r="AN10">
        <f t="shared" si="2"/>
        <v>177</v>
      </c>
      <c r="AO10">
        <f t="shared" si="21"/>
        <v>161</v>
      </c>
      <c r="AP10">
        <f t="shared" si="22"/>
        <v>129</v>
      </c>
      <c r="AQ10">
        <f t="shared" si="23"/>
        <v>116</v>
      </c>
      <c r="AR10">
        <f t="shared" si="24"/>
        <v>102</v>
      </c>
      <c r="AS10">
        <f t="shared" si="25"/>
        <v>150</v>
      </c>
      <c r="AT10">
        <f t="shared" si="26"/>
        <v>137</v>
      </c>
      <c r="AU10">
        <f t="shared" si="27"/>
        <v>105</v>
      </c>
      <c r="AV10">
        <f t="shared" si="28"/>
        <v>94</v>
      </c>
      <c r="AW10">
        <f t="shared" si="29"/>
        <v>81</v>
      </c>
      <c r="AX10">
        <f t="shared" si="3"/>
        <v>167</v>
      </c>
      <c r="AY10">
        <f t="shared" si="4"/>
        <v>152</v>
      </c>
      <c r="AZ10">
        <f t="shared" si="5"/>
        <v>120</v>
      </c>
      <c r="BA10">
        <f t="shared" si="6"/>
        <v>108</v>
      </c>
      <c r="BB10">
        <f t="shared" si="7"/>
        <v>94</v>
      </c>
    </row>
    <row r="11" spans="1:54" x14ac:dyDescent="0.15">
      <c r="B11" t="s">
        <v>62</v>
      </c>
      <c r="C11">
        <v>6</v>
      </c>
      <c r="D11">
        <v>2</v>
      </c>
      <c r="E11" t="s">
        <v>55</v>
      </c>
      <c r="F11" t="s">
        <v>63</v>
      </c>
      <c r="G11" t="s">
        <v>63</v>
      </c>
      <c r="J11" t="s">
        <v>53</v>
      </c>
      <c r="K11">
        <v>100.5</v>
      </c>
      <c r="L11">
        <v>1.7</v>
      </c>
      <c r="M11" t="s">
        <v>47</v>
      </c>
      <c r="N11" t="s">
        <v>57</v>
      </c>
      <c r="O11" t="s">
        <v>64</v>
      </c>
      <c r="P11" t="s">
        <v>49</v>
      </c>
      <c r="R11">
        <v>7</v>
      </c>
      <c r="S11">
        <v>78</v>
      </c>
      <c r="T11">
        <v>84</v>
      </c>
      <c r="U11">
        <v>78</v>
      </c>
      <c r="V11">
        <v>109</v>
      </c>
      <c r="W11">
        <v>85</v>
      </c>
      <c r="X11">
        <v>100</v>
      </c>
      <c r="Y11">
        <f t="shared" si="8"/>
        <v>185</v>
      </c>
      <c r="Z11">
        <f t="shared" si="0"/>
        <v>185</v>
      </c>
      <c r="AA11">
        <f t="shared" si="9"/>
        <v>153</v>
      </c>
      <c r="AB11">
        <f t="shared" si="10"/>
        <v>153</v>
      </c>
      <c r="AC11">
        <f t="shared" si="11"/>
        <v>138</v>
      </c>
      <c r="AD11">
        <f t="shared" si="12"/>
        <v>149</v>
      </c>
      <c r="AE11">
        <f t="shared" si="13"/>
        <v>136</v>
      </c>
      <c r="AF11">
        <f t="shared" si="14"/>
        <v>104</v>
      </c>
      <c r="AG11">
        <f t="shared" si="15"/>
        <v>93</v>
      </c>
      <c r="AH11">
        <f t="shared" si="16"/>
        <v>80</v>
      </c>
      <c r="AI11">
        <f t="shared" si="1"/>
        <v>143</v>
      </c>
      <c r="AJ11">
        <f t="shared" si="17"/>
        <v>130</v>
      </c>
      <c r="AK11">
        <f t="shared" si="18"/>
        <v>98</v>
      </c>
      <c r="AL11">
        <f t="shared" si="19"/>
        <v>88</v>
      </c>
      <c r="AM11">
        <f t="shared" si="20"/>
        <v>74</v>
      </c>
      <c r="AN11">
        <f t="shared" si="2"/>
        <v>177</v>
      </c>
      <c r="AO11">
        <f t="shared" si="21"/>
        <v>161</v>
      </c>
      <c r="AP11">
        <f t="shared" si="22"/>
        <v>129</v>
      </c>
      <c r="AQ11">
        <f t="shared" si="23"/>
        <v>116</v>
      </c>
      <c r="AR11">
        <f t="shared" si="24"/>
        <v>102</v>
      </c>
      <c r="AS11">
        <f t="shared" si="25"/>
        <v>150</v>
      </c>
      <c r="AT11">
        <f t="shared" si="26"/>
        <v>137</v>
      </c>
      <c r="AU11">
        <f t="shared" si="27"/>
        <v>105</v>
      </c>
      <c r="AV11">
        <f t="shared" si="28"/>
        <v>94</v>
      </c>
      <c r="AW11">
        <f t="shared" si="29"/>
        <v>81</v>
      </c>
      <c r="AX11">
        <f t="shared" si="3"/>
        <v>167</v>
      </c>
      <c r="AY11">
        <f t="shared" si="4"/>
        <v>152</v>
      </c>
      <c r="AZ11">
        <f t="shared" si="5"/>
        <v>120</v>
      </c>
      <c r="BA11">
        <f t="shared" si="6"/>
        <v>108</v>
      </c>
      <c r="BB11">
        <f t="shared" si="7"/>
        <v>94</v>
      </c>
    </row>
    <row r="12" spans="1:54" x14ac:dyDescent="0.15">
      <c r="B12" t="s">
        <v>65</v>
      </c>
      <c r="C12">
        <v>6</v>
      </c>
      <c r="D12">
        <v>999</v>
      </c>
      <c r="E12" t="s">
        <v>55</v>
      </c>
      <c r="F12" t="s">
        <v>40</v>
      </c>
      <c r="G12" t="s">
        <v>66</v>
      </c>
      <c r="J12" t="s">
        <v>42</v>
      </c>
      <c r="K12">
        <v>9999.9</v>
      </c>
      <c r="L12">
        <v>28</v>
      </c>
      <c r="M12" t="s">
        <v>47</v>
      </c>
      <c r="N12" t="s">
        <v>57</v>
      </c>
      <c r="O12" t="s">
        <v>48</v>
      </c>
      <c r="P12" t="s">
        <v>49</v>
      </c>
      <c r="R12">
        <v>8</v>
      </c>
      <c r="S12">
        <v>78</v>
      </c>
      <c r="T12">
        <v>84</v>
      </c>
      <c r="U12">
        <v>78</v>
      </c>
      <c r="V12">
        <v>109</v>
      </c>
      <c r="W12">
        <v>85</v>
      </c>
      <c r="X12">
        <v>100</v>
      </c>
      <c r="Y12">
        <f t="shared" si="8"/>
        <v>185</v>
      </c>
      <c r="Z12">
        <f t="shared" si="0"/>
        <v>185</v>
      </c>
      <c r="AA12">
        <f t="shared" si="9"/>
        <v>153</v>
      </c>
      <c r="AB12">
        <f t="shared" si="10"/>
        <v>153</v>
      </c>
      <c r="AC12">
        <f t="shared" si="11"/>
        <v>138</v>
      </c>
      <c r="AD12">
        <f t="shared" si="12"/>
        <v>149</v>
      </c>
      <c r="AE12">
        <f t="shared" si="13"/>
        <v>136</v>
      </c>
      <c r="AF12">
        <f t="shared" si="14"/>
        <v>104</v>
      </c>
      <c r="AG12">
        <f t="shared" si="15"/>
        <v>93</v>
      </c>
      <c r="AH12">
        <f t="shared" si="16"/>
        <v>80</v>
      </c>
      <c r="AI12">
        <f t="shared" si="1"/>
        <v>143</v>
      </c>
      <c r="AJ12">
        <f t="shared" si="17"/>
        <v>130</v>
      </c>
      <c r="AK12">
        <f t="shared" si="18"/>
        <v>98</v>
      </c>
      <c r="AL12">
        <f t="shared" si="19"/>
        <v>88</v>
      </c>
      <c r="AM12">
        <f t="shared" si="20"/>
        <v>74</v>
      </c>
      <c r="AN12">
        <f t="shared" si="2"/>
        <v>177</v>
      </c>
      <c r="AO12">
        <f t="shared" si="21"/>
        <v>161</v>
      </c>
      <c r="AP12">
        <f t="shared" si="22"/>
        <v>129</v>
      </c>
      <c r="AQ12">
        <f t="shared" si="23"/>
        <v>116</v>
      </c>
      <c r="AR12">
        <f t="shared" si="24"/>
        <v>102</v>
      </c>
      <c r="AS12">
        <f t="shared" si="25"/>
        <v>150</v>
      </c>
      <c r="AT12">
        <f t="shared" si="26"/>
        <v>137</v>
      </c>
      <c r="AU12">
        <f t="shared" si="27"/>
        <v>105</v>
      </c>
      <c r="AV12">
        <f t="shared" si="28"/>
        <v>94</v>
      </c>
      <c r="AW12">
        <f t="shared" si="29"/>
        <v>81</v>
      </c>
      <c r="AX12">
        <f t="shared" si="3"/>
        <v>167</v>
      </c>
      <c r="AY12">
        <f t="shared" si="4"/>
        <v>152</v>
      </c>
      <c r="AZ12">
        <f t="shared" si="5"/>
        <v>120</v>
      </c>
      <c r="BA12">
        <f t="shared" si="6"/>
        <v>108</v>
      </c>
      <c r="BB12">
        <f t="shared" si="7"/>
        <v>94</v>
      </c>
    </row>
    <row r="13" spans="1:54" x14ac:dyDescent="0.15">
      <c r="A13">
        <v>8</v>
      </c>
      <c r="B13" t="s">
        <v>67</v>
      </c>
      <c r="C13">
        <v>7</v>
      </c>
      <c r="D13">
        <v>0</v>
      </c>
      <c r="E13" t="s">
        <v>68</v>
      </c>
      <c r="G13" t="s">
        <v>68</v>
      </c>
      <c r="H13" t="s">
        <v>69</v>
      </c>
      <c r="J13" t="s">
        <v>70</v>
      </c>
      <c r="K13">
        <v>9</v>
      </c>
      <c r="L13">
        <v>0.5</v>
      </c>
      <c r="M13" t="s">
        <v>71</v>
      </c>
      <c r="O13" t="s">
        <v>72</v>
      </c>
      <c r="P13" t="s">
        <v>73</v>
      </c>
      <c r="R13">
        <v>9</v>
      </c>
      <c r="S13">
        <v>44</v>
      </c>
      <c r="T13">
        <v>48</v>
      </c>
      <c r="U13">
        <v>65</v>
      </c>
      <c r="V13">
        <v>50</v>
      </c>
      <c r="W13">
        <v>64</v>
      </c>
      <c r="X13">
        <v>43</v>
      </c>
      <c r="Y13">
        <f t="shared" si="8"/>
        <v>151</v>
      </c>
      <c r="Z13">
        <f t="shared" si="0"/>
        <v>151</v>
      </c>
      <c r="AA13">
        <f t="shared" si="9"/>
        <v>119</v>
      </c>
      <c r="AB13">
        <f t="shared" si="10"/>
        <v>119</v>
      </c>
      <c r="AC13">
        <f t="shared" si="11"/>
        <v>104</v>
      </c>
      <c r="AD13">
        <f t="shared" si="12"/>
        <v>110</v>
      </c>
      <c r="AE13">
        <f t="shared" si="13"/>
        <v>100</v>
      </c>
      <c r="AF13">
        <f t="shared" si="14"/>
        <v>68</v>
      </c>
      <c r="AG13">
        <f t="shared" si="15"/>
        <v>61</v>
      </c>
      <c r="AH13">
        <f t="shared" si="16"/>
        <v>47</v>
      </c>
      <c r="AI13">
        <f t="shared" si="1"/>
        <v>128</v>
      </c>
      <c r="AJ13">
        <f t="shared" si="17"/>
        <v>117</v>
      </c>
      <c r="AK13">
        <f t="shared" si="18"/>
        <v>85</v>
      </c>
      <c r="AL13">
        <f t="shared" si="19"/>
        <v>76</v>
      </c>
      <c r="AM13">
        <f t="shared" si="20"/>
        <v>63</v>
      </c>
      <c r="AN13">
        <f t="shared" si="2"/>
        <v>112</v>
      </c>
      <c r="AO13">
        <f t="shared" si="21"/>
        <v>102</v>
      </c>
      <c r="AP13">
        <f t="shared" si="22"/>
        <v>70</v>
      </c>
      <c r="AQ13">
        <f t="shared" si="23"/>
        <v>63</v>
      </c>
      <c r="AR13">
        <f t="shared" si="24"/>
        <v>49</v>
      </c>
      <c r="AS13">
        <f t="shared" si="25"/>
        <v>127</v>
      </c>
      <c r="AT13">
        <f t="shared" si="26"/>
        <v>116</v>
      </c>
      <c r="AU13">
        <f t="shared" si="27"/>
        <v>84</v>
      </c>
      <c r="AV13">
        <f t="shared" si="28"/>
        <v>75</v>
      </c>
      <c r="AW13">
        <f t="shared" si="29"/>
        <v>62</v>
      </c>
      <c r="AX13">
        <f t="shared" si="3"/>
        <v>104</v>
      </c>
      <c r="AY13">
        <f t="shared" si="4"/>
        <v>95</v>
      </c>
      <c r="AZ13">
        <f t="shared" si="5"/>
        <v>63</v>
      </c>
      <c r="BA13">
        <f t="shared" si="6"/>
        <v>56</v>
      </c>
      <c r="BB13">
        <f t="shared" si="7"/>
        <v>43</v>
      </c>
    </row>
    <row r="14" spans="1:54" x14ac:dyDescent="0.15">
      <c r="A14">
        <v>9</v>
      </c>
      <c r="B14" t="s">
        <v>74</v>
      </c>
      <c r="C14">
        <v>8</v>
      </c>
      <c r="D14">
        <v>0</v>
      </c>
      <c r="E14" t="s">
        <v>75</v>
      </c>
      <c r="G14" t="s">
        <v>75</v>
      </c>
      <c r="H14" t="s">
        <v>76</v>
      </c>
      <c r="J14" t="s">
        <v>77</v>
      </c>
      <c r="K14">
        <v>22.5</v>
      </c>
      <c r="L14">
        <v>1</v>
      </c>
      <c r="M14" t="s">
        <v>71</v>
      </c>
      <c r="O14" t="s">
        <v>72</v>
      </c>
      <c r="P14" t="s">
        <v>73</v>
      </c>
      <c r="R14">
        <v>9</v>
      </c>
      <c r="S14">
        <v>59</v>
      </c>
      <c r="T14">
        <v>63</v>
      </c>
      <c r="U14">
        <v>80</v>
      </c>
      <c r="V14">
        <v>65</v>
      </c>
      <c r="W14">
        <v>80</v>
      </c>
      <c r="X14">
        <v>58</v>
      </c>
      <c r="Y14">
        <f t="shared" si="8"/>
        <v>166</v>
      </c>
      <c r="Z14">
        <f t="shared" si="0"/>
        <v>166</v>
      </c>
      <c r="AA14">
        <f t="shared" si="9"/>
        <v>134</v>
      </c>
      <c r="AB14">
        <f t="shared" si="10"/>
        <v>134</v>
      </c>
      <c r="AC14">
        <f t="shared" si="11"/>
        <v>119</v>
      </c>
      <c r="AD14">
        <f t="shared" si="12"/>
        <v>126</v>
      </c>
      <c r="AE14">
        <f t="shared" si="13"/>
        <v>115</v>
      </c>
      <c r="AF14">
        <f t="shared" si="14"/>
        <v>83</v>
      </c>
      <c r="AG14">
        <f t="shared" si="15"/>
        <v>74</v>
      </c>
      <c r="AH14">
        <f t="shared" si="16"/>
        <v>61</v>
      </c>
      <c r="AI14">
        <f t="shared" si="1"/>
        <v>145</v>
      </c>
      <c r="AJ14">
        <f t="shared" si="17"/>
        <v>132</v>
      </c>
      <c r="AK14">
        <f t="shared" si="18"/>
        <v>100</v>
      </c>
      <c r="AL14">
        <f t="shared" si="19"/>
        <v>90</v>
      </c>
      <c r="AM14">
        <f t="shared" si="20"/>
        <v>76</v>
      </c>
      <c r="AN14">
        <f t="shared" si="2"/>
        <v>128</v>
      </c>
      <c r="AO14">
        <f t="shared" si="21"/>
        <v>117</v>
      </c>
      <c r="AP14">
        <f t="shared" si="22"/>
        <v>85</v>
      </c>
      <c r="AQ14">
        <f t="shared" si="23"/>
        <v>76</v>
      </c>
      <c r="AR14">
        <f t="shared" si="24"/>
        <v>63</v>
      </c>
      <c r="AS14">
        <f t="shared" si="25"/>
        <v>145</v>
      </c>
      <c r="AT14">
        <f t="shared" si="26"/>
        <v>132</v>
      </c>
      <c r="AU14">
        <f t="shared" si="27"/>
        <v>100</v>
      </c>
      <c r="AV14">
        <f t="shared" si="28"/>
        <v>90</v>
      </c>
      <c r="AW14">
        <f t="shared" si="29"/>
        <v>76</v>
      </c>
      <c r="AX14">
        <f t="shared" si="3"/>
        <v>121</v>
      </c>
      <c r="AY14">
        <f t="shared" si="4"/>
        <v>110</v>
      </c>
      <c r="AZ14">
        <f t="shared" si="5"/>
        <v>78</v>
      </c>
      <c r="BA14">
        <f t="shared" si="6"/>
        <v>70</v>
      </c>
      <c r="BB14">
        <f t="shared" si="7"/>
        <v>56</v>
      </c>
    </row>
    <row r="15" spans="1:54" x14ac:dyDescent="0.15">
      <c r="A15">
        <v>10</v>
      </c>
      <c r="B15" t="s">
        <v>78</v>
      </c>
      <c r="C15">
        <v>9</v>
      </c>
      <c r="D15">
        <v>0</v>
      </c>
      <c r="E15" t="s">
        <v>79</v>
      </c>
      <c r="G15" t="s">
        <v>79</v>
      </c>
      <c r="H15" t="s">
        <v>80</v>
      </c>
      <c r="J15" t="s">
        <v>81</v>
      </c>
      <c r="K15">
        <v>85.5</v>
      </c>
      <c r="L15">
        <v>1.6</v>
      </c>
      <c r="M15" t="s">
        <v>71</v>
      </c>
      <c r="O15" t="s">
        <v>72</v>
      </c>
      <c r="P15" t="s">
        <v>73</v>
      </c>
      <c r="R15">
        <v>9</v>
      </c>
      <c r="S15">
        <v>79</v>
      </c>
      <c r="T15">
        <v>83</v>
      </c>
      <c r="U15">
        <v>100</v>
      </c>
      <c r="V15">
        <v>85</v>
      </c>
      <c r="W15">
        <v>105</v>
      </c>
      <c r="X15">
        <v>78</v>
      </c>
      <c r="Y15">
        <f t="shared" si="8"/>
        <v>186</v>
      </c>
      <c r="Z15">
        <f t="shared" si="0"/>
        <v>186</v>
      </c>
      <c r="AA15">
        <f t="shared" si="9"/>
        <v>154</v>
      </c>
      <c r="AB15">
        <f t="shared" si="10"/>
        <v>154</v>
      </c>
      <c r="AC15">
        <f t="shared" si="11"/>
        <v>139</v>
      </c>
      <c r="AD15">
        <f t="shared" si="12"/>
        <v>148</v>
      </c>
      <c r="AE15">
        <f t="shared" si="13"/>
        <v>135</v>
      </c>
      <c r="AF15">
        <f t="shared" si="14"/>
        <v>103</v>
      </c>
      <c r="AG15">
        <f t="shared" si="15"/>
        <v>92</v>
      </c>
      <c r="AH15">
        <f t="shared" si="16"/>
        <v>79</v>
      </c>
      <c r="AI15">
        <f t="shared" si="1"/>
        <v>167</v>
      </c>
      <c r="AJ15">
        <f t="shared" si="17"/>
        <v>152</v>
      </c>
      <c r="AK15">
        <f t="shared" si="18"/>
        <v>120</v>
      </c>
      <c r="AL15">
        <f t="shared" si="19"/>
        <v>108</v>
      </c>
      <c r="AM15">
        <f t="shared" si="20"/>
        <v>94</v>
      </c>
      <c r="AN15">
        <f t="shared" si="2"/>
        <v>150</v>
      </c>
      <c r="AO15">
        <f t="shared" si="21"/>
        <v>137</v>
      </c>
      <c r="AP15">
        <f t="shared" si="22"/>
        <v>105</v>
      </c>
      <c r="AQ15">
        <f t="shared" si="23"/>
        <v>94</v>
      </c>
      <c r="AR15">
        <f t="shared" si="24"/>
        <v>81</v>
      </c>
      <c r="AS15">
        <f t="shared" si="25"/>
        <v>172</v>
      </c>
      <c r="AT15">
        <f t="shared" si="26"/>
        <v>157</v>
      </c>
      <c r="AU15">
        <f t="shared" si="27"/>
        <v>125</v>
      </c>
      <c r="AV15">
        <f t="shared" si="28"/>
        <v>112</v>
      </c>
      <c r="AW15">
        <f t="shared" si="29"/>
        <v>99</v>
      </c>
      <c r="AX15">
        <f t="shared" si="3"/>
        <v>143</v>
      </c>
      <c r="AY15">
        <f t="shared" si="4"/>
        <v>130</v>
      </c>
      <c r="AZ15">
        <f t="shared" si="5"/>
        <v>98</v>
      </c>
      <c r="BA15">
        <f t="shared" si="6"/>
        <v>88</v>
      </c>
      <c r="BB15">
        <f t="shared" si="7"/>
        <v>74</v>
      </c>
    </row>
    <row r="16" spans="1:54" x14ac:dyDescent="0.15">
      <c r="B16" t="s">
        <v>82</v>
      </c>
      <c r="C16">
        <v>9</v>
      </c>
      <c r="D16">
        <v>1</v>
      </c>
      <c r="E16" t="s">
        <v>79</v>
      </c>
      <c r="F16" t="s">
        <v>83</v>
      </c>
      <c r="G16" t="s">
        <v>83</v>
      </c>
      <c r="J16" t="s">
        <v>81</v>
      </c>
      <c r="K16">
        <v>101.1</v>
      </c>
      <c r="L16">
        <v>1.6</v>
      </c>
      <c r="M16" t="s">
        <v>71</v>
      </c>
      <c r="O16" t="s">
        <v>84</v>
      </c>
      <c r="P16" t="s">
        <v>73</v>
      </c>
      <c r="R16">
        <v>7</v>
      </c>
      <c r="S16">
        <v>79</v>
      </c>
      <c r="T16">
        <v>83</v>
      </c>
      <c r="U16">
        <v>100</v>
      </c>
      <c r="V16">
        <v>85</v>
      </c>
      <c r="W16">
        <v>105</v>
      </c>
      <c r="X16">
        <v>78</v>
      </c>
      <c r="Y16">
        <f t="shared" si="8"/>
        <v>186</v>
      </c>
      <c r="Z16">
        <f t="shared" si="0"/>
        <v>186</v>
      </c>
      <c r="AA16">
        <f t="shared" si="9"/>
        <v>154</v>
      </c>
      <c r="AB16">
        <f t="shared" si="10"/>
        <v>154</v>
      </c>
      <c r="AC16">
        <f t="shared" si="11"/>
        <v>139</v>
      </c>
      <c r="AD16">
        <f t="shared" si="12"/>
        <v>148</v>
      </c>
      <c r="AE16">
        <f t="shared" si="13"/>
        <v>135</v>
      </c>
      <c r="AF16">
        <f t="shared" si="14"/>
        <v>103</v>
      </c>
      <c r="AG16">
        <f t="shared" si="15"/>
        <v>92</v>
      </c>
      <c r="AH16">
        <f t="shared" si="16"/>
        <v>79</v>
      </c>
      <c r="AI16">
        <f t="shared" si="1"/>
        <v>167</v>
      </c>
      <c r="AJ16">
        <f t="shared" si="17"/>
        <v>152</v>
      </c>
      <c r="AK16">
        <f t="shared" si="18"/>
        <v>120</v>
      </c>
      <c r="AL16">
        <f t="shared" si="19"/>
        <v>108</v>
      </c>
      <c r="AM16">
        <f t="shared" si="20"/>
        <v>94</v>
      </c>
      <c r="AN16">
        <f t="shared" si="2"/>
        <v>150</v>
      </c>
      <c r="AO16">
        <f t="shared" si="21"/>
        <v>137</v>
      </c>
      <c r="AP16">
        <f t="shared" si="22"/>
        <v>105</v>
      </c>
      <c r="AQ16">
        <f t="shared" si="23"/>
        <v>94</v>
      </c>
      <c r="AR16">
        <f t="shared" si="24"/>
        <v>81</v>
      </c>
      <c r="AS16">
        <f t="shared" si="25"/>
        <v>172</v>
      </c>
      <c r="AT16">
        <f t="shared" si="26"/>
        <v>157</v>
      </c>
      <c r="AU16">
        <f t="shared" si="27"/>
        <v>125</v>
      </c>
      <c r="AV16">
        <f t="shared" si="28"/>
        <v>112</v>
      </c>
      <c r="AW16">
        <f t="shared" si="29"/>
        <v>99</v>
      </c>
      <c r="AX16">
        <f t="shared" si="3"/>
        <v>143</v>
      </c>
      <c r="AY16">
        <f t="shared" si="4"/>
        <v>130</v>
      </c>
      <c r="AZ16">
        <f t="shared" si="5"/>
        <v>98</v>
      </c>
      <c r="BA16">
        <f t="shared" si="6"/>
        <v>88</v>
      </c>
      <c r="BB16">
        <f t="shared" si="7"/>
        <v>74</v>
      </c>
    </row>
    <row r="17" spans="2:54" x14ac:dyDescent="0.15">
      <c r="B17" t="s">
        <v>85</v>
      </c>
      <c r="C17">
        <v>9</v>
      </c>
      <c r="D17">
        <v>999</v>
      </c>
      <c r="E17" t="s">
        <v>79</v>
      </c>
      <c r="F17" t="s">
        <v>40</v>
      </c>
      <c r="G17" t="s">
        <v>86</v>
      </c>
      <c r="J17" t="s">
        <v>42</v>
      </c>
      <c r="K17">
        <v>9999.9</v>
      </c>
      <c r="L17">
        <v>25</v>
      </c>
      <c r="M17" t="s">
        <v>71</v>
      </c>
      <c r="O17" t="s">
        <v>72</v>
      </c>
      <c r="P17" t="s">
        <v>73</v>
      </c>
      <c r="R17">
        <v>8</v>
      </c>
      <c r="S17">
        <v>79</v>
      </c>
      <c r="T17">
        <v>83</v>
      </c>
      <c r="U17">
        <v>100</v>
      </c>
      <c r="V17">
        <v>85</v>
      </c>
      <c r="W17">
        <v>105</v>
      </c>
      <c r="X17">
        <v>78</v>
      </c>
      <c r="Y17">
        <f t="shared" si="8"/>
        <v>186</v>
      </c>
      <c r="Z17">
        <f t="shared" si="0"/>
        <v>186</v>
      </c>
      <c r="AA17">
        <f t="shared" si="9"/>
        <v>154</v>
      </c>
      <c r="AB17">
        <f t="shared" si="10"/>
        <v>154</v>
      </c>
      <c r="AC17">
        <f t="shared" si="11"/>
        <v>139</v>
      </c>
      <c r="AD17">
        <f t="shared" si="12"/>
        <v>148</v>
      </c>
      <c r="AE17">
        <f t="shared" si="13"/>
        <v>135</v>
      </c>
      <c r="AF17">
        <f t="shared" si="14"/>
        <v>103</v>
      </c>
      <c r="AG17">
        <f t="shared" si="15"/>
        <v>92</v>
      </c>
      <c r="AH17">
        <f t="shared" si="16"/>
        <v>79</v>
      </c>
      <c r="AI17">
        <f t="shared" si="1"/>
        <v>167</v>
      </c>
      <c r="AJ17">
        <f t="shared" si="17"/>
        <v>152</v>
      </c>
      <c r="AK17">
        <f t="shared" si="18"/>
        <v>120</v>
      </c>
      <c r="AL17">
        <f t="shared" si="19"/>
        <v>108</v>
      </c>
      <c r="AM17">
        <f t="shared" si="20"/>
        <v>94</v>
      </c>
      <c r="AN17">
        <f t="shared" si="2"/>
        <v>150</v>
      </c>
      <c r="AO17">
        <f t="shared" si="21"/>
        <v>137</v>
      </c>
      <c r="AP17">
        <f t="shared" si="22"/>
        <v>105</v>
      </c>
      <c r="AQ17">
        <f t="shared" si="23"/>
        <v>94</v>
      </c>
      <c r="AR17">
        <f t="shared" si="24"/>
        <v>81</v>
      </c>
      <c r="AS17">
        <f t="shared" si="25"/>
        <v>172</v>
      </c>
      <c r="AT17">
        <f t="shared" si="26"/>
        <v>157</v>
      </c>
      <c r="AU17">
        <f t="shared" si="27"/>
        <v>125</v>
      </c>
      <c r="AV17">
        <f t="shared" si="28"/>
        <v>112</v>
      </c>
      <c r="AW17">
        <f t="shared" si="29"/>
        <v>99</v>
      </c>
      <c r="AX17">
        <f t="shared" si="3"/>
        <v>143</v>
      </c>
      <c r="AY17">
        <f t="shared" si="4"/>
        <v>130</v>
      </c>
      <c r="AZ17">
        <f t="shared" si="5"/>
        <v>98</v>
      </c>
      <c r="BA17">
        <f t="shared" si="6"/>
        <v>88</v>
      </c>
      <c r="BB17">
        <f t="shared" si="7"/>
        <v>74</v>
      </c>
    </row>
    <row r="18" spans="2:54" x14ac:dyDescent="0.15">
      <c r="B18" t="s">
        <v>87</v>
      </c>
      <c r="C18">
        <v>10</v>
      </c>
      <c r="D18">
        <v>0</v>
      </c>
      <c r="E18" t="s">
        <v>88</v>
      </c>
      <c r="G18" t="s">
        <v>88</v>
      </c>
      <c r="J18" t="s">
        <v>89</v>
      </c>
      <c r="K18">
        <v>2.9</v>
      </c>
      <c r="L18">
        <v>0.3</v>
      </c>
      <c r="M18" t="s">
        <v>90</v>
      </c>
      <c r="O18" t="s">
        <v>91</v>
      </c>
      <c r="P18" t="s">
        <v>92</v>
      </c>
      <c r="R18">
        <v>8</v>
      </c>
      <c r="S18">
        <v>45</v>
      </c>
      <c r="T18">
        <v>30</v>
      </c>
      <c r="U18">
        <v>35</v>
      </c>
      <c r="V18">
        <v>20</v>
      </c>
      <c r="W18">
        <v>20</v>
      </c>
      <c r="X18">
        <v>45</v>
      </c>
      <c r="Y18">
        <f t="shared" si="8"/>
        <v>152</v>
      </c>
      <c r="Z18">
        <f t="shared" si="0"/>
        <v>152</v>
      </c>
      <c r="AA18">
        <f t="shared" si="9"/>
        <v>120</v>
      </c>
      <c r="AB18">
        <f t="shared" si="10"/>
        <v>120</v>
      </c>
      <c r="AC18">
        <f t="shared" si="11"/>
        <v>105</v>
      </c>
      <c r="AD18">
        <f t="shared" si="12"/>
        <v>90</v>
      </c>
      <c r="AE18">
        <f t="shared" si="13"/>
        <v>82</v>
      </c>
      <c r="AF18">
        <f t="shared" si="14"/>
        <v>50</v>
      </c>
      <c r="AG18">
        <f t="shared" si="15"/>
        <v>45</v>
      </c>
      <c r="AH18">
        <f t="shared" si="16"/>
        <v>31</v>
      </c>
      <c r="AI18">
        <f t="shared" si="1"/>
        <v>95</v>
      </c>
      <c r="AJ18">
        <f t="shared" si="17"/>
        <v>87</v>
      </c>
      <c r="AK18">
        <f t="shared" si="18"/>
        <v>55</v>
      </c>
      <c r="AL18">
        <f t="shared" si="19"/>
        <v>49</v>
      </c>
      <c r="AM18">
        <f t="shared" si="20"/>
        <v>36</v>
      </c>
      <c r="AN18">
        <f t="shared" si="2"/>
        <v>79</v>
      </c>
      <c r="AO18">
        <f t="shared" si="21"/>
        <v>72</v>
      </c>
      <c r="AP18">
        <f t="shared" si="22"/>
        <v>40</v>
      </c>
      <c r="AQ18">
        <f t="shared" si="23"/>
        <v>36</v>
      </c>
      <c r="AR18">
        <f t="shared" si="24"/>
        <v>22</v>
      </c>
      <c r="AS18">
        <f t="shared" si="25"/>
        <v>79</v>
      </c>
      <c r="AT18">
        <f t="shared" si="26"/>
        <v>72</v>
      </c>
      <c r="AU18">
        <f t="shared" si="27"/>
        <v>40</v>
      </c>
      <c r="AV18">
        <f t="shared" si="28"/>
        <v>36</v>
      </c>
      <c r="AW18">
        <f t="shared" si="29"/>
        <v>22</v>
      </c>
      <c r="AX18">
        <f t="shared" si="3"/>
        <v>106</v>
      </c>
      <c r="AY18">
        <f t="shared" si="4"/>
        <v>97</v>
      </c>
      <c r="AZ18">
        <f t="shared" si="5"/>
        <v>65</v>
      </c>
      <c r="BA18">
        <f t="shared" si="6"/>
        <v>58</v>
      </c>
      <c r="BB18">
        <f t="shared" si="7"/>
        <v>45</v>
      </c>
    </row>
    <row r="19" spans="2:54" x14ac:dyDescent="0.15">
      <c r="B19" t="s">
        <v>93</v>
      </c>
      <c r="C19">
        <v>11</v>
      </c>
      <c r="D19">
        <v>0</v>
      </c>
      <c r="E19" t="s">
        <v>94</v>
      </c>
      <c r="G19" t="s">
        <v>94</v>
      </c>
      <c r="J19" t="s">
        <v>95</v>
      </c>
      <c r="K19">
        <v>9.9</v>
      </c>
      <c r="L19">
        <v>0.7</v>
      </c>
      <c r="M19" t="s">
        <v>90</v>
      </c>
      <c r="O19" t="s">
        <v>96</v>
      </c>
      <c r="R19">
        <v>8</v>
      </c>
      <c r="S19">
        <v>50</v>
      </c>
      <c r="T19">
        <v>20</v>
      </c>
      <c r="U19">
        <v>55</v>
      </c>
      <c r="V19">
        <v>25</v>
      </c>
      <c r="W19">
        <v>25</v>
      </c>
      <c r="X19">
        <v>30</v>
      </c>
      <c r="Y19">
        <f t="shared" si="8"/>
        <v>157</v>
      </c>
      <c r="Z19">
        <f t="shared" si="0"/>
        <v>157</v>
      </c>
      <c r="AA19">
        <f t="shared" si="9"/>
        <v>125</v>
      </c>
      <c r="AB19">
        <f t="shared" si="10"/>
        <v>125</v>
      </c>
      <c r="AC19">
        <f t="shared" si="11"/>
        <v>110</v>
      </c>
      <c r="AD19">
        <f t="shared" si="12"/>
        <v>79</v>
      </c>
      <c r="AE19">
        <f t="shared" si="13"/>
        <v>72</v>
      </c>
      <c r="AF19">
        <f t="shared" si="14"/>
        <v>40</v>
      </c>
      <c r="AG19">
        <f t="shared" si="15"/>
        <v>36</v>
      </c>
      <c r="AH19">
        <f t="shared" si="16"/>
        <v>22</v>
      </c>
      <c r="AI19">
        <f t="shared" si="1"/>
        <v>117</v>
      </c>
      <c r="AJ19">
        <f t="shared" si="17"/>
        <v>107</v>
      </c>
      <c r="AK19">
        <f t="shared" si="18"/>
        <v>75</v>
      </c>
      <c r="AL19">
        <f t="shared" si="19"/>
        <v>67</v>
      </c>
      <c r="AM19">
        <f t="shared" si="20"/>
        <v>54</v>
      </c>
      <c r="AN19">
        <f t="shared" si="2"/>
        <v>84</v>
      </c>
      <c r="AO19">
        <f t="shared" si="21"/>
        <v>77</v>
      </c>
      <c r="AP19">
        <f t="shared" si="22"/>
        <v>45</v>
      </c>
      <c r="AQ19">
        <f t="shared" si="23"/>
        <v>40</v>
      </c>
      <c r="AR19">
        <f t="shared" si="24"/>
        <v>27</v>
      </c>
      <c r="AS19">
        <f t="shared" si="25"/>
        <v>84</v>
      </c>
      <c r="AT19">
        <f t="shared" si="26"/>
        <v>77</v>
      </c>
      <c r="AU19">
        <f t="shared" si="27"/>
        <v>45</v>
      </c>
      <c r="AV19">
        <f t="shared" si="28"/>
        <v>40</v>
      </c>
      <c r="AW19">
        <f t="shared" si="29"/>
        <v>27</v>
      </c>
      <c r="AX19">
        <f t="shared" si="3"/>
        <v>90</v>
      </c>
      <c r="AY19">
        <f t="shared" si="4"/>
        <v>82</v>
      </c>
      <c r="AZ19">
        <f t="shared" si="5"/>
        <v>50</v>
      </c>
      <c r="BA19">
        <f t="shared" si="6"/>
        <v>45</v>
      </c>
      <c r="BB19">
        <f t="shared" si="7"/>
        <v>31</v>
      </c>
    </row>
    <row r="20" spans="2:54" x14ac:dyDescent="0.15">
      <c r="B20" t="s">
        <v>97</v>
      </c>
      <c r="C20">
        <v>12</v>
      </c>
      <c r="D20">
        <v>0</v>
      </c>
      <c r="E20" t="s">
        <v>98</v>
      </c>
      <c r="G20" t="s">
        <v>98</v>
      </c>
      <c r="J20" t="s">
        <v>99</v>
      </c>
      <c r="K20">
        <v>32</v>
      </c>
      <c r="L20">
        <v>1.1000000000000001</v>
      </c>
      <c r="M20" t="s">
        <v>90</v>
      </c>
      <c r="N20" t="s">
        <v>57</v>
      </c>
      <c r="O20" t="s">
        <v>100</v>
      </c>
      <c r="P20" t="s">
        <v>101</v>
      </c>
      <c r="R20">
        <v>8</v>
      </c>
      <c r="S20">
        <v>60</v>
      </c>
      <c r="T20">
        <v>45</v>
      </c>
      <c r="U20">
        <v>50</v>
      </c>
      <c r="V20">
        <v>90</v>
      </c>
      <c r="W20">
        <v>80</v>
      </c>
      <c r="X20">
        <v>70</v>
      </c>
      <c r="Y20">
        <f t="shared" si="8"/>
        <v>167</v>
      </c>
      <c r="Z20">
        <f t="shared" si="0"/>
        <v>167</v>
      </c>
      <c r="AA20">
        <f t="shared" si="9"/>
        <v>135</v>
      </c>
      <c r="AB20">
        <f t="shared" si="10"/>
        <v>135</v>
      </c>
      <c r="AC20">
        <f t="shared" si="11"/>
        <v>120</v>
      </c>
      <c r="AD20">
        <f t="shared" si="12"/>
        <v>106</v>
      </c>
      <c r="AE20">
        <f t="shared" si="13"/>
        <v>97</v>
      </c>
      <c r="AF20">
        <f t="shared" si="14"/>
        <v>65</v>
      </c>
      <c r="AG20">
        <f t="shared" si="15"/>
        <v>58</v>
      </c>
      <c r="AH20">
        <f t="shared" si="16"/>
        <v>45</v>
      </c>
      <c r="AI20">
        <f t="shared" si="1"/>
        <v>112</v>
      </c>
      <c r="AJ20">
        <f t="shared" si="17"/>
        <v>102</v>
      </c>
      <c r="AK20">
        <f t="shared" si="18"/>
        <v>70</v>
      </c>
      <c r="AL20">
        <f t="shared" si="19"/>
        <v>63</v>
      </c>
      <c r="AM20">
        <f t="shared" si="20"/>
        <v>49</v>
      </c>
      <c r="AN20">
        <f t="shared" si="2"/>
        <v>156</v>
      </c>
      <c r="AO20">
        <f t="shared" si="21"/>
        <v>142</v>
      </c>
      <c r="AP20">
        <f t="shared" si="22"/>
        <v>110</v>
      </c>
      <c r="AQ20">
        <f t="shared" si="23"/>
        <v>99</v>
      </c>
      <c r="AR20">
        <f t="shared" si="24"/>
        <v>85</v>
      </c>
      <c r="AS20">
        <f t="shared" si="25"/>
        <v>145</v>
      </c>
      <c r="AT20">
        <f t="shared" si="26"/>
        <v>132</v>
      </c>
      <c r="AU20">
        <f t="shared" si="27"/>
        <v>100</v>
      </c>
      <c r="AV20">
        <f t="shared" si="28"/>
        <v>90</v>
      </c>
      <c r="AW20">
        <f t="shared" si="29"/>
        <v>76</v>
      </c>
      <c r="AX20">
        <f t="shared" si="3"/>
        <v>134</v>
      </c>
      <c r="AY20">
        <f t="shared" si="4"/>
        <v>122</v>
      </c>
      <c r="AZ20">
        <f t="shared" si="5"/>
        <v>90</v>
      </c>
      <c r="BA20">
        <f t="shared" si="6"/>
        <v>81</v>
      </c>
      <c r="BB20">
        <f t="shared" si="7"/>
        <v>67</v>
      </c>
    </row>
    <row r="21" spans="2:54" x14ac:dyDescent="0.15">
      <c r="B21" t="s">
        <v>102</v>
      </c>
      <c r="C21">
        <v>12</v>
      </c>
      <c r="D21">
        <v>999</v>
      </c>
      <c r="E21" t="s">
        <v>98</v>
      </c>
      <c r="F21" t="s">
        <v>40</v>
      </c>
      <c r="G21" t="s">
        <v>103</v>
      </c>
      <c r="J21" t="s">
        <v>42</v>
      </c>
      <c r="K21">
        <v>9999.9</v>
      </c>
      <c r="L21">
        <v>17</v>
      </c>
      <c r="M21" t="s">
        <v>90</v>
      </c>
      <c r="N21" t="s">
        <v>57</v>
      </c>
      <c r="O21" t="s">
        <v>100</v>
      </c>
      <c r="P21" t="s">
        <v>101</v>
      </c>
      <c r="R21">
        <v>8</v>
      </c>
      <c r="S21">
        <v>60</v>
      </c>
      <c r="T21">
        <v>45</v>
      </c>
      <c r="U21">
        <v>50</v>
      </c>
      <c r="V21">
        <v>90</v>
      </c>
      <c r="W21">
        <v>80</v>
      </c>
      <c r="X21">
        <v>70</v>
      </c>
      <c r="Y21">
        <f t="shared" si="8"/>
        <v>167</v>
      </c>
      <c r="Z21">
        <f t="shared" si="0"/>
        <v>167</v>
      </c>
      <c r="AA21">
        <f t="shared" si="9"/>
        <v>135</v>
      </c>
      <c r="AB21">
        <f t="shared" si="10"/>
        <v>135</v>
      </c>
      <c r="AC21">
        <f t="shared" si="11"/>
        <v>120</v>
      </c>
      <c r="AD21">
        <f t="shared" si="12"/>
        <v>106</v>
      </c>
      <c r="AE21">
        <f t="shared" si="13"/>
        <v>97</v>
      </c>
      <c r="AF21">
        <f t="shared" si="14"/>
        <v>65</v>
      </c>
      <c r="AG21">
        <f t="shared" si="15"/>
        <v>58</v>
      </c>
      <c r="AH21">
        <f t="shared" si="16"/>
        <v>45</v>
      </c>
      <c r="AI21">
        <f t="shared" si="1"/>
        <v>112</v>
      </c>
      <c r="AJ21">
        <f t="shared" si="17"/>
        <v>102</v>
      </c>
      <c r="AK21">
        <f t="shared" si="18"/>
        <v>70</v>
      </c>
      <c r="AL21">
        <f t="shared" si="19"/>
        <v>63</v>
      </c>
      <c r="AM21">
        <f t="shared" si="20"/>
        <v>49</v>
      </c>
      <c r="AN21">
        <f t="shared" si="2"/>
        <v>156</v>
      </c>
      <c r="AO21">
        <f t="shared" si="21"/>
        <v>142</v>
      </c>
      <c r="AP21">
        <f t="shared" si="22"/>
        <v>110</v>
      </c>
      <c r="AQ21">
        <f t="shared" si="23"/>
        <v>99</v>
      </c>
      <c r="AR21">
        <f t="shared" si="24"/>
        <v>85</v>
      </c>
      <c r="AS21">
        <f t="shared" si="25"/>
        <v>145</v>
      </c>
      <c r="AT21">
        <f t="shared" si="26"/>
        <v>132</v>
      </c>
      <c r="AU21">
        <f t="shared" si="27"/>
        <v>100</v>
      </c>
      <c r="AV21">
        <f t="shared" si="28"/>
        <v>90</v>
      </c>
      <c r="AW21">
        <f t="shared" si="29"/>
        <v>76</v>
      </c>
      <c r="AX21">
        <f t="shared" si="3"/>
        <v>134</v>
      </c>
      <c r="AY21">
        <f t="shared" si="4"/>
        <v>122</v>
      </c>
      <c r="AZ21">
        <f t="shared" si="5"/>
        <v>90</v>
      </c>
      <c r="BA21">
        <f t="shared" si="6"/>
        <v>81</v>
      </c>
      <c r="BB21">
        <f t="shared" si="7"/>
        <v>67</v>
      </c>
    </row>
    <row r="22" spans="2:54" x14ac:dyDescent="0.15">
      <c r="B22" t="s">
        <v>104</v>
      </c>
      <c r="C22">
        <v>13</v>
      </c>
      <c r="D22">
        <v>0</v>
      </c>
      <c r="E22" t="s">
        <v>105</v>
      </c>
      <c r="G22" t="s">
        <v>105</v>
      </c>
      <c r="J22" t="s">
        <v>106</v>
      </c>
      <c r="K22">
        <v>3.2</v>
      </c>
      <c r="L22">
        <v>0.3</v>
      </c>
      <c r="M22" t="s">
        <v>90</v>
      </c>
      <c r="N22" t="s">
        <v>27</v>
      </c>
      <c r="O22" t="s">
        <v>91</v>
      </c>
      <c r="P22" t="s">
        <v>92</v>
      </c>
      <c r="R22">
        <v>8</v>
      </c>
      <c r="S22">
        <v>40</v>
      </c>
      <c r="T22">
        <v>35</v>
      </c>
      <c r="U22">
        <v>30</v>
      </c>
      <c r="V22">
        <v>20</v>
      </c>
      <c r="W22">
        <v>20</v>
      </c>
      <c r="X22">
        <v>50</v>
      </c>
      <c r="Y22">
        <f t="shared" si="8"/>
        <v>147</v>
      </c>
      <c r="Z22">
        <f t="shared" si="0"/>
        <v>147</v>
      </c>
      <c r="AA22">
        <f t="shared" si="9"/>
        <v>115</v>
      </c>
      <c r="AB22">
        <f t="shared" si="10"/>
        <v>115</v>
      </c>
      <c r="AC22">
        <f t="shared" si="11"/>
        <v>100</v>
      </c>
      <c r="AD22">
        <f t="shared" si="12"/>
        <v>95</v>
      </c>
      <c r="AE22">
        <f t="shared" si="13"/>
        <v>87</v>
      </c>
      <c r="AF22">
        <f t="shared" si="14"/>
        <v>55</v>
      </c>
      <c r="AG22">
        <f t="shared" si="15"/>
        <v>49</v>
      </c>
      <c r="AH22">
        <f t="shared" si="16"/>
        <v>36</v>
      </c>
      <c r="AI22">
        <f t="shared" si="1"/>
        <v>90</v>
      </c>
      <c r="AJ22">
        <f t="shared" si="17"/>
        <v>82</v>
      </c>
      <c r="AK22">
        <f t="shared" si="18"/>
        <v>50</v>
      </c>
      <c r="AL22">
        <f t="shared" si="19"/>
        <v>45</v>
      </c>
      <c r="AM22">
        <f t="shared" si="20"/>
        <v>31</v>
      </c>
      <c r="AN22">
        <f t="shared" si="2"/>
        <v>79</v>
      </c>
      <c r="AO22">
        <f t="shared" si="21"/>
        <v>72</v>
      </c>
      <c r="AP22">
        <f t="shared" si="22"/>
        <v>40</v>
      </c>
      <c r="AQ22">
        <f t="shared" si="23"/>
        <v>36</v>
      </c>
      <c r="AR22">
        <f t="shared" si="24"/>
        <v>22</v>
      </c>
      <c r="AS22">
        <f t="shared" si="25"/>
        <v>79</v>
      </c>
      <c r="AT22">
        <f t="shared" si="26"/>
        <v>72</v>
      </c>
      <c r="AU22">
        <f t="shared" si="27"/>
        <v>40</v>
      </c>
      <c r="AV22">
        <f t="shared" si="28"/>
        <v>36</v>
      </c>
      <c r="AW22">
        <f t="shared" si="29"/>
        <v>22</v>
      </c>
      <c r="AX22">
        <f t="shared" si="3"/>
        <v>112</v>
      </c>
      <c r="AY22">
        <f t="shared" si="4"/>
        <v>102</v>
      </c>
      <c r="AZ22">
        <f t="shared" si="5"/>
        <v>70</v>
      </c>
      <c r="BA22">
        <f t="shared" si="6"/>
        <v>63</v>
      </c>
      <c r="BB22">
        <f t="shared" si="7"/>
        <v>49</v>
      </c>
    </row>
    <row r="23" spans="2:54" x14ac:dyDescent="0.15">
      <c r="B23" t="s">
        <v>107</v>
      </c>
      <c r="C23">
        <v>14</v>
      </c>
      <c r="D23">
        <v>0</v>
      </c>
      <c r="E23" t="s">
        <v>108</v>
      </c>
      <c r="G23" t="s">
        <v>108</v>
      </c>
      <c r="J23" t="s">
        <v>95</v>
      </c>
      <c r="K23">
        <v>10</v>
      </c>
      <c r="L23">
        <v>0.6</v>
      </c>
      <c r="M23" t="s">
        <v>90</v>
      </c>
      <c r="N23" t="s">
        <v>27</v>
      </c>
      <c r="O23" t="s">
        <v>96</v>
      </c>
      <c r="R23">
        <v>8</v>
      </c>
      <c r="S23">
        <v>45</v>
      </c>
      <c r="T23">
        <v>25</v>
      </c>
      <c r="U23">
        <v>50</v>
      </c>
      <c r="V23">
        <v>25</v>
      </c>
      <c r="W23">
        <v>25</v>
      </c>
      <c r="X23">
        <v>35</v>
      </c>
      <c r="Y23">
        <f t="shared" si="8"/>
        <v>152</v>
      </c>
      <c r="Z23">
        <f t="shared" si="0"/>
        <v>152</v>
      </c>
      <c r="AA23">
        <f t="shared" si="9"/>
        <v>120</v>
      </c>
      <c r="AB23">
        <f t="shared" si="10"/>
        <v>120</v>
      </c>
      <c r="AC23">
        <f t="shared" si="11"/>
        <v>105</v>
      </c>
      <c r="AD23">
        <f t="shared" si="12"/>
        <v>84</v>
      </c>
      <c r="AE23">
        <f t="shared" si="13"/>
        <v>77</v>
      </c>
      <c r="AF23">
        <f t="shared" si="14"/>
        <v>45</v>
      </c>
      <c r="AG23">
        <f t="shared" si="15"/>
        <v>40</v>
      </c>
      <c r="AH23">
        <f t="shared" si="16"/>
        <v>27</v>
      </c>
      <c r="AI23">
        <f t="shared" si="1"/>
        <v>112</v>
      </c>
      <c r="AJ23">
        <f t="shared" si="17"/>
        <v>102</v>
      </c>
      <c r="AK23">
        <f t="shared" si="18"/>
        <v>70</v>
      </c>
      <c r="AL23">
        <f t="shared" si="19"/>
        <v>63</v>
      </c>
      <c r="AM23">
        <f t="shared" si="20"/>
        <v>49</v>
      </c>
      <c r="AN23">
        <f t="shared" si="2"/>
        <v>84</v>
      </c>
      <c r="AO23">
        <f t="shared" si="21"/>
        <v>77</v>
      </c>
      <c r="AP23">
        <f t="shared" si="22"/>
        <v>45</v>
      </c>
      <c r="AQ23">
        <f t="shared" si="23"/>
        <v>40</v>
      </c>
      <c r="AR23">
        <f t="shared" si="24"/>
        <v>27</v>
      </c>
      <c r="AS23">
        <f t="shared" si="25"/>
        <v>84</v>
      </c>
      <c r="AT23">
        <f t="shared" si="26"/>
        <v>77</v>
      </c>
      <c r="AU23">
        <f t="shared" si="27"/>
        <v>45</v>
      </c>
      <c r="AV23">
        <f t="shared" si="28"/>
        <v>40</v>
      </c>
      <c r="AW23">
        <f t="shared" si="29"/>
        <v>27</v>
      </c>
      <c r="AX23">
        <f t="shared" si="3"/>
        <v>95</v>
      </c>
      <c r="AY23">
        <f t="shared" si="4"/>
        <v>87</v>
      </c>
      <c r="AZ23">
        <f t="shared" si="5"/>
        <v>55</v>
      </c>
      <c r="BA23">
        <f t="shared" si="6"/>
        <v>49</v>
      </c>
      <c r="BB23">
        <f t="shared" si="7"/>
        <v>36</v>
      </c>
    </row>
    <row r="24" spans="2:54" x14ac:dyDescent="0.15">
      <c r="B24" t="s">
        <v>109</v>
      </c>
      <c r="C24">
        <v>15</v>
      </c>
      <c r="D24">
        <v>0</v>
      </c>
      <c r="E24" t="s">
        <v>110</v>
      </c>
      <c r="G24" t="s">
        <v>110</v>
      </c>
      <c r="J24" t="s">
        <v>111</v>
      </c>
      <c r="K24">
        <v>29.5</v>
      </c>
      <c r="L24">
        <v>1</v>
      </c>
      <c r="M24" t="s">
        <v>90</v>
      </c>
      <c r="N24" t="s">
        <v>27</v>
      </c>
      <c r="O24" t="s">
        <v>112</v>
      </c>
      <c r="P24" t="s">
        <v>113</v>
      </c>
      <c r="R24">
        <v>8</v>
      </c>
      <c r="S24">
        <v>65</v>
      </c>
      <c r="T24">
        <v>90</v>
      </c>
      <c r="U24">
        <v>40</v>
      </c>
      <c r="V24">
        <v>45</v>
      </c>
      <c r="W24">
        <v>80</v>
      </c>
      <c r="X24">
        <v>75</v>
      </c>
      <c r="Y24">
        <f t="shared" si="8"/>
        <v>172</v>
      </c>
      <c r="Z24">
        <f t="shared" si="0"/>
        <v>172</v>
      </c>
      <c r="AA24">
        <f t="shared" si="9"/>
        <v>140</v>
      </c>
      <c r="AB24">
        <f t="shared" si="10"/>
        <v>140</v>
      </c>
      <c r="AC24">
        <f t="shared" si="11"/>
        <v>125</v>
      </c>
      <c r="AD24">
        <f t="shared" si="12"/>
        <v>156</v>
      </c>
      <c r="AE24">
        <f t="shared" si="13"/>
        <v>142</v>
      </c>
      <c r="AF24">
        <f t="shared" si="14"/>
        <v>110</v>
      </c>
      <c r="AG24">
        <f t="shared" si="15"/>
        <v>99</v>
      </c>
      <c r="AH24">
        <f t="shared" si="16"/>
        <v>85</v>
      </c>
      <c r="AI24">
        <f t="shared" si="1"/>
        <v>101</v>
      </c>
      <c r="AJ24">
        <f t="shared" si="17"/>
        <v>92</v>
      </c>
      <c r="AK24">
        <f t="shared" si="18"/>
        <v>60</v>
      </c>
      <c r="AL24">
        <f t="shared" si="19"/>
        <v>54</v>
      </c>
      <c r="AM24">
        <f t="shared" si="20"/>
        <v>40</v>
      </c>
      <c r="AN24">
        <f t="shared" si="2"/>
        <v>106</v>
      </c>
      <c r="AO24">
        <f t="shared" si="21"/>
        <v>97</v>
      </c>
      <c r="AP24">
        <f t="shared" si="22"/>
        <v>65</v>
      </c>
      <c r="AQ24">
        <f t="shared" si="23"/>
        <v>58</v>
      </c>
      <c r="AR24">
        <f t="shared" si="24"/>
        <v>45</v>
      </c>
      <c r="AS24">
        <f t="shared" si="25"/>
        <v>145</v>
      </c>
      <c r="AT24">
        <f t="shared" si="26"/>
        <v>132</v>
      </c>
      <c r="AU24">
        <f t="shared" si="27"/>
        <v>100</v>
      </c>
      <c r="AV24">
        <f t="shared" si="28"/>
        <v>90</v>
      </c>
      <c r="AW24">
        <f t="shared" si="29"/>
        <v>76</v>
      </c>
      <c r="AX24">
        <f t="shared" si="3"/>
        <v>139</v>
      </c>
      <c r="AY24">
        <f t="shared" si="4"/>
        <v>127</v>
      </c>
      <c r="AZ24">
        <f t="shared" si="5"/>
        <v>95</v>
      </c>
      <c r="BA24">
        <f t="shared" si="6"/>
        <v>85</v>
      </c>
      <c r="BB24">
        <f t="shared" si="7"/>
        <v>72</v>
      </c>
    </row>
    <row r="25" spans="2:54" x14ac:dyDescent="0.15">
      <c r="B25" t="s">
        <v>114</v>
      </c>
      <c r="C25">
        <v>15</v>
      </c>
      <c r="D25">
        <v>1</v>
      </c>
      <c r="E25" t="s">
        <v>110</v>
      </c>
      <c r="F25" t="s">
        <v>115</v>
      </c>
      <c r="G25" t="s">
        <v>115</v>
      </c>
      <c r="J25" t="s">
        <v>111</v>
      </c>
      <c r="K25">
        <v>40.5</v>
      </c>
      <c r="L25">
        <v>1.4</v>
      </c>
      <c r="M25" t="s">
        <v>90</v>
      </c>
      <c r="N25" t="s">
        <v>27</v>
      </c>
      <c r="O25" t="s">
        <v>116</v>
      </c>
      <c r="P25" t="s">
        <v>113</v>
      </c>
      <c r="R25">
        <v>7</v>
      </c>
      <c r="S25">
        <v>65</v>
      </c>
      <c r="T25">
        <v>90</v>
      </c>
      <c r="U25">
        <v>40</v>
      </c>
      <c r="V25">
        <v>45</v>
      </c>
      <c r="W25">
        <v>80</v>
      </c>
      <c r="X25">
        <v>75</v>
      </c>
      <c r="Y25">
        <f t="shared" si="8"/>
        <v>172</v>
      </c>
      <c r="Z25">
        <f t="shared" si="0"/>
        <v>172</v>
      </c>
      <c r="AA25">
        <f t="shared" si="9"/>
        <v>140</v>
      </c>
      <c r="AB25">
        <f t="shared" si="10"/>
        <v>140</v>
      </c>
      <c r="AC25">
        <f t="shared" si="11"/>
        <v>125</v>
      </c>
      <c r="AD25">
        <f t="shared" si="12"/>
        <v>156</v>
      </c>
      <c r="AE25">
        <f t="shared" si="13"/>
        <v>142</v>
      </c>
      <c r="AF25">
        <f t="shared" si="14"/>
        <v>110</v>
      </c>
      <c r="AG25">
        <f t="shared" si="15"/>
        <v>99</v>
      </c>
      <c r="AH25">
        <f t="shared" si="16"/>
        <v>85</v>
      </c>
      <c r="AI25">
        <f t="shared" si="1"/>
        <v>101</v>
      </c>
      <c r="AJ25">
        <f t="shared" si="17"/>
        <v>92</v>
      </c>
      <c r="AK25">
        <f t="shared" si="18"/>
        <v>60</v>
      </c>
      <c r="AL25">
        <f t="shared" si="19"/>
        <v>54</v>
      </c>
      <c r="AM25">
        <f t="shared" si="20"/>
        <v>40</v>
      </c>
      <c r="AN25">
        <f t="shared" si="2"/>
        <v>106</v>
      </c>
      <c r="AO25">
        <f t="shared" si="21"/>
        <v>97</v>
      </c>
      <c r="AP25">
        <f t="shared" si="22"/>
        <v>65</v>
      </c>
      <c r="AQ25">
        <f t="shared" si="23"/>
        <v>58</v>
      </c>
      <c r="AR25">
        <f t="shared" si="24"/>
        <v>45</v>
      </c>
      <c r="AS25">
        <f t="shared" si="25"/>
        <v>145</v>
      </c>
      <c r="AT25">
        <f t="shared" si="26"/>
        <v>132</v>
      </c>
      <c r="AU25">
        <f t="shared" si="27"/>
        <v>100</v>
      </c>
      <c r="AV25">
        <f t="shared" si="28"/>
        <v>90</v>
      </c>
      <c r="AW25">
        <f t="shared" si="29"/>
        <v>76</v>
      </c>
      <c r="AX25">
        <f t="shared" si="3"/>
        <v>139</v>
      </c>
      <c r="AY25">
        <f t="shared" si="4"/>
        <v>127</v>
      </c>
      <c r="AZ25">
        <f t="shared" si="5"/>
        <v>95</v>
      </c>
      <c r="BA25">
        <f t="shared" si="6"/>
        <v>85</v>
      </c>
      <c r="BB25">
        <f t="shared" si="7"/>
        <v>72</v>
      </c>
    </row>
    <row r="26" spans="2:54" x14ac:dyDescent="0.15">
      <c r="B26" t="s">
        <v>117</v>
      </c>
      <c r="C26">
        <v>16</v>
      </c>
      <c r="D26">
        <v>0</v>
      </c>
      <c r="E26" t="s">
        <v>118</v>
      </c>
      <c r="G26" t="s">
        <v>118</v>
      </c>
      <c r="J26" t="s">
        <v>119</v>
      </c>
      <c r="K26">
        <v>1.8</v>
      </c>
      <c r="L26">
        <v>0.3</v>
      </c>
      <c r="M26" t="s">
        <v>120</v>
      </c>
      <c r="N26" t="s">
        <v>57</v>
      </c>
      <c r="O26" t="s">
        <v>121</v>
      </c>
      <c r="P26" t="s">
        <v>122</v>
      </c>
      <c r="Q26" t="s">
        <v>123</v>
      </c>
      <c r="R26">
        <v>8</v>
      </c>
      <c r="S26">
        <v>40</v>
      </c>
      <c r="T26">
        <v>45</v>
      </c>
      <c r="U26">
        <v>40</v>
      </c>
      <c r="V26">
        <v>35</v>
      </c>
      <c r="W26">
        <v>35</v>
      </c>
      <c r="X26">
        <v>56</v>
      </c>
      <c r="Y26">
        <f t="shared" si="8"/>
        <v>147</v>
      </c>
      <c r="Z26">
        <f t="shared" si="0"/>
        <v>147</v>
      </c>
      <c r="AA26">
        <f t="shared" si="9"/>
        <v>115</v>
      </c>
      <c r="AB26">
        <f t="shared" si="10"/>
        <v>115</v>
      </c>
      <c r="AC26">
        <f t="shared" si="11"/>
        <v>100</v>
      </c>
      <c r="AD26">
        <f t="shared" si="12"/>
        <v>106</v>
      </c>
      <c r="AE26">
        <f t="shared" si="13"/>
        <v>97</v>
      </c>
      <c r="AF26">
        <f t="shared" si="14"/>
        <v>65</v>
      </c>
      <c r="AG26">
        <f t="shared" si="15"/>
        <v>58</v>
      </c>
      <c r="AH26">
        <f t="shared" si="16"/>
        <v>45</v>
      </c>
      <c r="AI26">
        <f t="shared" si="1"/>
        <v>101</v>
      </c>
      <c r="AJ26">
        <f t="shared" si="17"/>
        <v>92</v>
      </c>
      <c r="AK26">
        <f t="shared" si="18"/>
        <v>60</v>
      </c>
      <c r="AL26">
        <f t="shared" si="19"/>
        <v>54</v>
      </c>
      <c r="AM26">
        <f t="shared" si="20"/>
        <v>40</v>
      </c>
      <c r="AN26">
        <f t="shared" si="2"/>
        <v>95</v>
      </c>
      <c r="AO26">
        <f t="shared" si="21"/>
        <v>87</v>
      </c>
      <c r="AP26">
        <f t="shared" si="22"/>
        <v>55</v>
      </c>
      <c r="AQ26">
        <f t="shared" si="23"/>
        <v>49</v>
      </c>
      <c r="AR26">
        <f t="shared" si="24"/>
        <v>36</v>
      </c>
      <c r="AS26">
        <f t="shared" si="25"/>
        <v>95</v>
      </c>
      <c r="AT26">
        <f t="shared" si="26"/>
        <v>87</v>
      </c>
      <c r="AU26">
        <f t="shared" si="27"/>
        <v>55</v>
      </c>
      <c r="AV26">
        <f t="shared" si="28"/>
        <v>49</v>
      </c>
      <c r="AW26">
        <f t="shared" si="29"/>
        <v>36</v>
      </c>
      <c r="AX26">
        <f t="shared" si="3"/>
        <v>118</v>
      </c>
      <c r="AY26">
        <f t="shared" si="4"/>
        <v>108</v>
      </c>
      <c r="AZ26">
        <f t="shared" si="5"/>
        <v>76</v>
      </c>
      <c r="BA26">
        <f t="shared" si="6"/>
        <v>68</v>
      </c>
      <c r="BB26">
        <f t="shared" si="7"/>
        <v>54</v>
      </c>
    </row>
    <row r="27" spans="2:54" x14ac:dyDescent="0.15">
      <c r="B27" t="s">
        <v>124</v>
      </c>
      <c r="C27">
        <v>17</v>
      </c>
      <c r="D27">
        <v>0</v>
      </c>
      <c r="E27" t="s">
        <v>125</v>
      </c>
      <c r="G27" t="s">
        <v>125</v>
      </c>
      <c r="J27" t="s">
        <v>126</v>
      </c>
      <c r="K27">
        <v>30</v>
      </c>
      <c r="L27">
        <v>1.1000000000000001</v>
      </c>
      <c r="M27" t="s">
        <v>120</v>
      </c>
      <c r="N27" t="s">
        <v>57</v>
      </c>
      <c r="O27" t="s">
        <v>121</v>
      </c>
      <c r="P27" t="s">
        <v>122</v>
      </c>
      <c r="Q27" t="s">
        <v>123</v>
      </c>
      <c r="R27">
        <v>8</v>
      </c>
      <c r="S27">
        <v>63</v>
      </c>
      <c r="T27">
        <v>60</v>
      </c>
      <c r="U27">
        <v>55</v>
      </c>
      <c r="V27">
        <v>50</v>
      </c>
      <c r="W27">
        <v>50</v>
      </c>
      <c r="X27">
        <v>71</v>
      </c>
      <c r="Y27">
        <f t="shared" si="8"/>
        <v>170</v>
      </c>
      <c r="Z27">
        <f t="shared" si="0"/>
        <v>170</v>
      </c>
      <c r="AA27">
        <f t="shared" si="9"/>
        <v>138</v>
      </c>
      <c r="AB27">
        <f t="shared" si="10"/>
        <v>138</v>
      </c>
      <c r="AC27">
        <f t="shared" si="11"/>
        <v>123</v>
      </c>
      <c r="AD27">
        <f t="shared" si="12"/>
        <v>123</v>
      </c>
      <c r="AE27">
        <f t="shared" si="13"/>
        <v>112</v>
      </c>
      <c r="AF27">
        <f t="shared" si="14"/>
        <v>80</v>
      </c>
      <c r="AG27">
        <f t="shared" si="15"/>
        <v>72</v>
      </c>
      <c r="AH27">
        <f t="shared" si="16"/>
        <v>58</v>
      </c>
      <c r="AI27">
        <f t="shared" si="1"/>
        <v>117</v>
      </c>
      <c r="AJ27">
        <f t="shared" si="17"/>
        <v>107</v>
      </c>
      <c r="AK27">
        <f t="shared" si="18"/>
        <v>75</v>
      </c>
      <c r="AL27">
        <f t="shared" si="19"/>
        <v>67</v>
      </c>
      <c r="AM27">
        <f t="shared" si="20"/>
        <v>54</v>
      </c>
      <c r="AN27">
        <f t="shared" si="2"/>
        <v>112</v>
      </c>
      <c r="AO27">
        <f t="shared" si="21"/>
        <v>102</v>
      </c>
      <c r="AP27">
        <f t="shared" si="22"/>
        <v>70</v>
      </c>
      <c r="AQ27">
        <f t="shared" si="23"/>
        <v>63</v>
      </c>
      <c r="AR27">
        <f t="shared" si="24"/>
        <v>49</v>
      </c>
      <c r="AS27">
        <f t="shared" si="25"/>
        <v>112</v>
      </c>
      <c r="AT27">
        <f t="shared" si="26"/>
        <v>102</v>
      </c>
      <c r="AU27">
        <f t="shared" si="27"/>
        <v>70</v>
      </c>
      <c r="AV27">
        <f t="shared" si="28"/>
        <v>63</v>
      </c>
      <c r="AW27">
        <f t="shared" si="29"/>
        <v>49</v>
      </c>
      <c r="AX27">
        <f t="shared" si="3"/>
        <v>135</v>
      </c>
      <c r="AY27">
        <f t="shared" si="4"/>
        <v>123</v>
      </c>
      <c r="AZ27">
        <f t="shared" si="5"/>
        <v>91</v>
      </c>
      <c r="BA27">
        <f t="shared" si="6"/>
        <v>81</v>
      </c>
      <c r="BB27">
        <f t="shared" si="7"/>
        <v>68</v>
      </c>
    </row>
    <row r="28" spans="2:54" x14ac:dyDescent="0.15">
      <c r="B28" t="s">
        <v>127</v>
      </c>
      <c r="C28">
        <v>18</v>
      </c>
      <c r="D28">
        <v>0</v>
      </c>
      <c r="E28" t="s">
        <v>128</v>
      </c>
      <c r="G28" t="s">
        <v>128</v>
      </c>
      <c r="J28" t="s">
        <v>126</v>
      </c>
      <c r="K28">
        <v>39.5</v>
      </c>
      <c r="L28">
        <v>1.5</v>
      </c>
      <c r="M28" t="s">
        <v>120</v>
      </c>
      <c r="N28" t="s">
        <v>57</v>
      </c>
      <c r="O28" t="s">
        <v>121</v>
      </c>
      <c r="P28" t="s">
        <v>122</v>
      </c>
      <c r="Q28" t="s">
        <v>123</v>
      </c>
      <c r="R28">
        <v>8</v>
      </c>
      <c r="S28">
        <v>83</v>
      </c>
      <c r="T28">
        <v>80</v>
      </c>
      <c r="U28">
        <v>75</v>
      </c>
      <c r="V28">
        <v>70</v>
      </c>
      <c r="W28">
        <v>70</v>
      </c>
      <c r="X28">
        <v>101</v>
      </c>
      <c r="Y28">
        <f t="shared" si="8"/>
        <v>190</v>
      </c>
      <c r="Z28">
        <f t="shared" si="0"/>
        <v>190</v>
      </c>
      <c r="AA28">
        <f t="shared" si="9"/>
        <v>158</v>
      </c>
      <c r="AB28">
        <f t="shared" si="10"/>
        <v>158</v>
      </c>
      <c r="AC28">
        <f t="shared" si="11"/>
        <v>143</v>
      </c>
      <c r="AD28">
        <f t="shared" si="12"/>
        <v>145</v>
      </c>
      <c r="AE28">
        <f t="shared" si="13"/>
        <v>132</v>
      </c>
      <c r="AF28">
        <f t="shared" si="14"/>
        <v>100</v>
      </c>
      <c r="AG28">
        <f t="shared" si="15"/>
        <v>90</v>
      </c>
      <c r="AH28">
        <f t="shared" si="16"/>
        <v>76</v>
      </c>
      <c r="AI28">
        <f t="shared" si="1"/>
        <v>139</v>
      </c>
      <c r="AJ28">
        <f t="shared" si="17"/>
        <v>127</v>
      </c>
      <c r="AK28">
        <f t="shared" si="18"/>
        <v>95</v>
      </c>
      <c r="AL28">
        <f t="shared" si="19"/>
        <v>85</v>
      </c>
      <c r="AM28">
        <f t="shared" si="20"/>
        <v>72</v>
      </c>
      <c r="AN28">
        <f t="shared" si="2"/>
        <v>134</v>
      </c>
      <c r="AO28">
        <f t="shared" si="21"/>
        <v>122</v>
      </c>
      <c r="AP28">
        <f t="shared" si="22"/>
        <v>90</v>
      </c>
      <c r="AQ28">
        <f t="shared" si="23"/>
        <v>81</v>
      </c>
      <c r="AR28">
        <f t="shared" si="24"/>
        <v>67</v>
      </c>
      <c r="AS28">
        <f t="shared" si="25"/>
        <v>134</v>
      </c>
      <c r="AT28">
        <f t="shared" si="26"/>
        <v>122</v>
      </c>
      <c r="AU28">
        <f t="shared" si="27"/>
        <v>90</v>
      </c>
      <c r="AV28">
        <f t="shared" si="28"/>
        <v>81</v>
      </c>
      <c r="AW28">
        <f t="shared" si="29"/>
        <v>67</v>
      </c>
      <c r="AX28">
        <f t="shared" si="3"/>
        <v>168</v>
      </c>
      <c r="AY28">
        <f t="shared" si="4"/>
        <v>153</v>
      </c>
      <c r="AZ28">
        <f t="shared" si="5"/>
        <v>121</v>
      </c>
      <c r="BA28">
        <f t="shared" si="6"/>
        <v>108</v>
      </c>
      <c r="BB28">
        <f t="shared" si="7"/>
        <v>95</v>
      </c>
    </row>
    <row r="29" spans="2:54" x14ac:dyDescent="0.15">
      <c r="B29" t="s">
        <v>129</v>
      </c>
      <c r="C29">
        <v>18</v>
      </c>
      <c r="D29">
        <v>1</v>
      </c>
      <c r="E29" t="s">
        <v>128</v>
      </c>
      <c r="F29" t="s">
        <v>130</v>
      </c>
      <c r="G29" t="s">
        <v>130</v>
      </c>
      <c r="J29" t="s">
        <v>126</v>
      </c>
      <c r="K29">
        <v>50.5</v>
      </c>
      <c r="L29">
        <v>2.2000000000000002</v>
      </c>
      <c r="M29" t="s">
        <v>120</v>
      </c>
      <c r="N29" t="s">
        <v>57</v>
      </c>
      <c r="O29" t="s">
        <v>131</v>
      </c>
      <c r="P29" t="s">
        <v>123</v>
      </c>
      <c r="R29">
        <v>7</v>
      </c>
      <c r="S29">
        <v>83</v>
      </c>
      <c r="T29">
        <v>80</v>
      </c>
      <c r="U29">
        <v>75</v>
      </c>
      <c r="V29">
        <v>70</v>
      </c>
      <c r="W29">
        <v>70</v>
      </c>
      <c r="X29">
        <v>101</v>
      </c>
      <c r="Y29">
        <f t="shared" si="8"/>
        <v>190</v>
      </c>
      <c r="Z29">
        <f t="shared" si="0"/>
        <v>190</v>
      </c>
      <c r="AA29">
        <f t="shared" si="9"/>
        <v>158</v>
      </c>
      <c r="AB29">
        <f t="shared" si="10"/>
        <v>158</v>
      </c>
      <c r="AC29">
        <f t="shared" si="11"/>
        <v>143</v>
      </c>
      <c r="AD29">
        <f t="shared" si="12"/>
        <v>145</v>
      </c>
      <c r="AE29">
        <f t="shared" si="13"/>
        <v>132</v>
      </c>
      <c r="AF29">
        <f t="shared" si="14"/>
        <v>100</v>
      </c>
      <c r="AG29">
        <f t="shared" si="15"/>
        <v>90</v>
      </c>
      <c r="AH29">
        <f t="shared" si="16"/>
        <v>76</v>
      </c>
      <c r="AI29">
        <f t="shared" si="1"/>
        <v>139</v>
      </c>
      <c r="AJ29">
        <f t="shared" si="17"/>
        <v>127</v>
      </c>
      <c r="AK29">
        <f t="shared" si="18"/>
        <v>95</v>
      </c>
      <c r="AL29">
        <f t="shared" si="19"/>
        <v>85</v>
      </c>
      <c r="AM29">
        <f t="shared" si="20"/>
        <v>72</v>
      </c>
      <c r="AN29">
        <f t="shared" si="2"/>
        <v>134</v>
      </c>
      <c r="AO29">
        <f t="shared" si="21"/>
        <v>122</v>
      </c>
      <c r="AP29">
        <f t="shared" si="22"/>
        <v>90</v>
      </c>
      <c r="AQ29">
        <f t="shared" si="23"/>
        <v>81</v>
      </c>
      <c r="AR29">
        <f t="shared" si="24"/>
        <v>67</v>
      </c>
      <c r="AS29">
        <f t="shared" si="25"/>
        <v>134</v>
      </c>
      <c r="AT29">
        <f t="shared" si="26"/>
        <v>122</v>
      </c>
      <c r="AU29">
        <f t="shared" si="27"/>
        <v>90</v>
      </c>
      <c r="AV29">
        <f t="shared" si="28"/>
        <v>81</v>
      </c>
      <c r="AW29">
        <f t="shared" si="29"/>
        <v>67</v>
      </c>
      <c r="AX29">
        <f t="shared" si="3"/>
        <v>168</v>
      </c>
      <c r="AY29">
        <f t="shared" si="4"/>
        <v>153</v>
      </c>
      <c r="AZ29">
        <f t="shared" si="5"/>
        <v>121</v>
      </c>
      <c r="BA29">
        <f t="shared" si="6"/>
        <v>108</v>
      </c>
      <c r="BB29">
        <f t="shared" si="7"/>
        <v>95</v>
      </c>
    </row>
    <row r="30" spans="2:54" x14ac:dyDescent="0.15">
      <c r="B30" t="s">
        <v>132</v>
      </c>
      <c r="C30">
        <v>19</v>
      </c>
      <c r="D30">
        <v>0</v>
      </c>
      <c r="E30" t="s">
        <v>133</v>
      </c>
      <c r="G30" t="s">
        <v>133</v>
      </c>
      <c r="J30" t="s">
        <v>134</v>
      </c>
      <c r="K30">
        <v>3.5</v>
      </c>
      <c r="L30">
        <v>0.3</v>
      </c>
      <c r="M30" t="s">
        <v>120</v>
      </c>
      <c r="O30" t="s">
        <v>92</v>
      </c>
      <c r="P30" t="s">
        <v>135</v>
      </c>
      <c r="Q30" t="s">
        <v>136</v>
      </c>
      <c r="R30">
        <v>8</v>
      </c>
      <c r="S30">
        <v>30</v>
      </c>
      <c r="T30">
        <v>56</v>
      </c>
      <c r="U30">
        <v>35</v>
      </c>
      <c r="V30">
        <v>25</v>
      </c>
      <c r="W30">
        <v>35</v>
      </c>
      <c r="X30">
        <v>72</v>
      </c>
      <c r="Y30">
        <f t="shared" si="8"/>
        <v>137</v>
      </c>
      <c r="Z30">
        <f t="shared" si="0"/>
        <v>137</v>
      </c>
      <c r="AA30">
        <f t="shared" si="9"/>
        <v>105</v>
      </c>
      <c r="AB30">
        <f t="shared" si="10"/>
        <v>105</v>
      </c>
      <c r="AC30">
        <f t="shared" si="11"/>
        <v>90</v>
      </c>
      <c r="AD30">
        <f t="shared" si="12"/>
        <v>118</v>
      </c>
      <c r="AE30">
        <f t="shared" si="13"/>
        <v>108</v>
      </c>
      <c r="AF30">
        <f t="shared" si="14"/>
        <v>76</v>
      </c>
      <c r="AG30">
        <f t="shared" si="15"/>
        <v>68</v>
      </c>
      <c r="AH30">
        <f t="shared" si="16"/>
        <v>54</v>
      </c>
      <c r="AI30">
        <f t="shared" si="1"/>
        <v>95</v>
      </c>
      <c r="AJ30">
        <f t="shared" si="17"/>
        <v>87</v>
      </c>
      <c r="AK30">
        <f t="shared" si="18"/>
        <v>55</v>
      </c>
      <c r="AL30">
        <f t="shared" si="19"/>
        <v>49</v>
      </c>
      <c r="AM30">
        <f t="shared" si="20"/>
        <v>36</v>
      </c>
      <c r="AN30">
        <f t="shared" si="2"/>
        <v>84</v>
      </c>
      <c r="AO30">
        <f t="shared" si="21"/>
        <v>77</v>
      </c>
      <c r="AP30">
        <f t="shared" si="22"/>
        <v>45</v>
      </c>
      <c r="AQ30">
        <f t="shared" si="23"/>
        <v>40</v>
      </c>
      <c r="AR30">
        <f t="shared" si="24"/>
        <v>27</v>
      </c>
      <c r="AS30">
        <f t="shared" si="25"/>
        <v>95</v>
      </c>
      <c r="AT30">
        <f t="shared" si="26"/>
        <v>87</v>
      </c>
      <c r="AU30">
        <f t="shared" si="27"/>
        <v>55</v>
      </c>
      <c r="AV30">
        <f t="shared" si="28"/>
        <v>49</v>
      </c>
      <c r="AW30">
        <f t="shared" si="29"/>
        <v>36</v>
      </c>
      <c r="AX30">
        <f t="shared" si="3"/>
        <v>136</v>
      </c>
      <c r="AY30">
        <f t="shared" si="4"/>
        <v>124</v>
      </c>
      <c r="AZ30">
        <f t="shared" si="5"/>
        <v>92</v>
      </c>
      <c r="BA30">
        <f t="shared" si="6"/>
        <v>82</v>
      </c>
      <c r="BB30">
        <f t="shared" si="7"/>
        <v>69</v>
      </c>
    </row>
    <row r="31" spans="2:54" x14ac:dyDescent="0.15">
      <c r="B31" t="s">
        <v>137</v>
      </c>
      <c r="C31">
        <v>19</v>
      </c>
      <c r="D31">
        <v>1</v>
      </c>
      <c r="E31" t="s">
        <v>133</v>
      </c>
      <c r="F31" t="s">
        <v>138</v>
      </c>
      <c r="G31" t="s">
        <v>139</v>
      </c>
      <c r="J31" t="s">
        <v>134</v>
      </c>
      <c r="K31">
        <v>3.8</v>
      </c>
      <c r="L31">
        <v>0.3</v>
      </c>
      <c r="M31" t="s">
        <v>140</v>
      </c>
      <c r="N31" t="s">
        <v>120</v>
      </c>
      <c r="O31" t="s">
        <v>141</v>
      </c>
      <c r="P31" t="s">
        <v>136</v>
      </c>
      <c r="Q31" t="s">
        <v>135</v>
      </c>
      <c r="R31">
        <v>8</v>
      </c>
      <c r="S31">
        <v>30</v>
      </c>
      <c r="T31">
        <v>56</v>
      </c>
      <c r="U31">
        <v>35</v>
      </c>
      <c r="V31">
        <v>25</v>
      </c>
      <c r="W31">
        <v>35</v>
      </c>
      <c r="X31">
        <v>72</v>
      </c>
      <c r="Y31">
        <f t="shared" si="8"/>
        <v>137</v>
      </c>
      <c r="Z31">
        <f t="shared" si="0"/>
        <v>137</v>
      </c>
      <c r="AA31">
        <f t="shared" si="9"/>
        <v>105</v>
      </c>
      <c r="AB31">
        <f t="shared" si="10"/>
        <v>105</v>
      </c>
      <c r="AC31">
        <f t="shared" si="11"/>
        <v>90</v>
      </c>
      <c r="AD31">
        <f t="shared" si="12"/>
        <v>118</v>
      </c>
      <c r="AE31">
        <f t="shared" si="13"/>
        <v>108</v>
      </c>
      <c r="AF31">
        <f t="shared" si="14"/>
        <v>76</v>
      </c>
      <c r="AG31">
        <f t="shared" si="15"/>
        <v>68</v>
      </c>
      <c r="AH31">
        <f t="shared" si="16"/>
        <v>54</v>
      </c>
      <c r="AI31">
        <f t="shared" si="1"/>
        <v>95</v>
      </c>
      <c r="AJ31">
        <f t="shared" si="17"/>
        <v>87</v>
      </c>
      <c r="AK31">
        <f t="shared" si="18"/>
        <v>55</v>
      </c>
      <c r="AL31">
        <f t="shared" si="19"/>
        <v>49</v>
      </c>
      <c r="AM31">
        <f t="shared" si="20"/>
        <v>36</v>
      </c>
      <c r="AN31">
        <f t="shared" si="2"/>
        <v>84</v>
      </c>
      <c r="AO31">
        <f t="shared" si="21"/>
        <v>77</v>
      </c>
      <c r="AP31">
        <f t="shared" si="22"/>
        <v>45</v>
      </c>
      <c r="AQ31">
        <f t="shared" si="23"/>
        <v>40</v>
      </c>
      <c r="AR31">
        <f t="shared" si="24"/>
        <v>27</v>
      </c>
      <c r="AS31">
        <f t="shared" si="25"/>
        <v>95</v>
      </c>
      <c r="AT31">
        <f t="shared" si="26"/>
        <v>87</v>
      </c>
      <c r="AU31">
        <f t="shared" si="27"/>
        <v>55</v>
      </c>
      <c r="AV31">
        <f t="shared" si="28"/>
        <v>49</v>
      </c>
      <c r="AW31">
        <f t="shared" si="29"/>
        <v>36</v>
      </c>
      <c r="AX31">
        <f t="shared" si="3"/>
        <v>136</v>
      </c>
      <c r="AY31">
        <f t="shared" si="4"/>
        <v>124</v>
      </c>
      <c r="AZ31">
        <f t="shared" si="5"/>
        <v>92</v>
      </c>
      <c r="BA31">
        <f t="shared" si="6"/>
        <v>82</v>
      </c>
      <c r="BB31">
        <f t="shared" si="7"/>
        <v>69</v>
      </c>
    </row>
    <row r="32" spans="2:54" x14ac:dyDescent="0.15">
      <c r="B32" t="s">
        <v>142</v>
      </c>
      <c r="C32">
        <v>20</v>
      </c>
      <c r="D32">
        <v>0</v>
      </c>
      <c r="E32" t="s">
        <v>143</v>
      </c>
      <c r="G32" t="s">
        <v>143</v>
      </c>
      <c r="J32" t="s">
        <v>134</v>
      </c>
      <c r="K32">
        <v>18.5</v>
      </c>
      <c r="L32">
        <v>0.7</v>
      </c>
      <c r="M32" t="s">
        <v>120</v>
      </c>
      <c r="O32" t="s">
        <v>92</v>
      </c>
      <c r="P32" t="s">
        <v>135</v>
      </c>
      <c r="Q32" t="s">
        <v>136</v>
      </c>
      <c r="R32">
        <v>8</v>
      </c>
      <c r="S32">
        <v>55</v>
      </c>
      <c r="T32">
        <v>81</v>
      </c>
      <c r="U32">
        <v>60</v>
      </c>
      <c r="V32">
        <v>50</v>
      </c>
      <c r="W32">
        <v>70</v>
      </c>
      <c r="X32">
        <v>97</v>
      </c>
      <c r="Y32">
        <f t="shared" si="8"/>
        <v>162</v>
      </c>
      <c r="Z32">
        <f t="shared" si="0"/>
        <v>162</v>
      </c>
      <c r="AA32">
        <f t="shared" si="9"/>
        <v>130</v>
      </c>
      <c r="AB32">
        <f t="shared" si="10"/>
        <v>130</v>
      </c>
      <c r="AC32">
        <f t="shared" si="11"/>
        <v>115</v>
      </c>
      <c r="AD32">
        <f t="shared" si="12"/>
        <v>146</v>
      </c>
      <c r="AE32">
        <f t="shared" si="13"/>
        <v>133</v>
      </c>
      <c r="AF32">
        <f t="shared" si="14"/>
        <v>101</v>
      </c>
      <c r="AG32">
        <f t="shared" si="15"/>
        <v>90</v>
      </c>
      <c r="AH32">
        <f t="shared" si="16"/>
        <v>77</v>
      </c>
      <c r="AI32">
        <f t="shared" si="1"/>
        <v>123</v>
      </c>
      <c r="AJ32">
        <f t="shared" si="17"/>
        <v>112</v>
      </c>
      <c r="AK32">
        <f t="shared" si="18"/>
        <v>80</v>
      </c>
      <c r="AL32">
        <f t="shared" si="19"/>
        <v>72</v>
      </c>
      <c r="AM32">
        <f t="shared" si="20"/>
        <v>58</v>
      </c>
      <c r="AN32">
        <f t="shared" si="2"/>
        <v>112</v>
      </c>
      <c r="AO32">
        <f t="shared" si="21"/>
        <v>102</v>
      </c>
      <c r="AP32">
        <f t="shared" si="22"/>
        <v>70</v>
      </c>
      <c r="AQ32">
        <f t="shared" si="23"/>
        <v>63</v>
      </c>
      <c r="AR32">
        <f t="shared" si="24"/>
        <v>49</v>
      </c>
      <c r="AS32">
        <f t="shared" si="25"/>
        <v>134</v>
      </c>
      <c r="AT32">
        <f t="shared" si="26"/>
        <v>122</v>
      </c>
      <c r="AU32">
        <f t="shared" si="27"/>
        <v>90</v>
      </c>
      <c r="AV32">
        <f t="shared" si="28"/>
        <v>81</v>
      </c>
      <c r="AW32">
        <f t="shared" si="29"/>
        <v>67</v>
      </c>
      <c r="AX32">
        <f t="shared" si="3"/>
        <v>163</v>
      </c>
      <c r="AY32">
        <f t="shared" si="4"/>
        <v>149</v>
      </c>
      <c r="AZ32">
        <f t="shared" si="5"/>
        <v>117</v>
      </c>
      <c r="BA32">
        <f t="shared" si="6"/>
        <v>105</v>
      </c>
      <c r="BB32">
        <f t="shared" si="7"/>
        <v>91</v>
      </c>
    </row>
    <row r="33" spans="1:54" x14ac:dyDescent="0.15">
      <c r="B33" t="s">
        <v>144</v>
      </c>
      <c r="C33">
        <v>20</v>
      </c>
      <c r="D33">
        <v>1</v>
      </c>
      <c r="E33" t="s">
        <v>143</v>
      </c>
      <c r="F33" t="s">
        <v>138</v>
      </c>
      <c r="G33" t="s">
        <v>145</v>
      </c>
      <c r="J33" t="s">
        <v>134</v>
      </c>
      <c r="K33">
        <v>25.5</v>
      </c>
      <c r="L33">
        <v>0.7</v>
      </c>
      <c r="M33" t="s">
        <v>140</v>
      </c>
      <c r="N33" t="s">
        <v>120</v>
      </c>
      <c r="O33" t="s">
        <v>141</v>
      </c>
      <c r="P33" t="s">
        <v>136</v>
      </c>
      <c r="Q33" t="s">
        <v>135</v>
      </c>
      <c r="R33">
        <v>8</v>
      </c>
      <c r="S33">
        <v>55</v>
      </c>
      <c r="T33">
        <v>81</v>
      </c>
      <c r="U33">
        <v>60</v>
      </c>
      <c r="V33">
        <v>50</v>
      </c>
      <c r="W33">
        <v>70</v>
      </c>
      <c r="X33">
        <v>97</v>
      </c>
      <c r="Y33">
        <f t="shared" si="8"/>
        <v>162</v>
      </c>
      <c r="Z33">
        <f t="shared" si="0"/>
        <v>162</v>
      </c>
      <c r="AA33">
        <f t="shared" si="9"/>
        <v>130</v>
      </c>
      <c r="AB33">
        <f t="shared" si="10"/>
        <v>130</v>
      </c>
      <c r="AC33">
        <f t="shared" si="11"/>
        <v>115</v>
      </c>
      <c r="AD33">
        <f t="shared" si="12"/>
        <v>146</v>
      </c>
      <c r="AE33">
        <f t="shared" si="13"/>
        <v>133</v>
      </c>
      <c r="AF33">
        <f t="shared" si="14"/>
        <v>101</v>
      </c>
      <c r="AG33">
        <f t="shared" si="15"/>
        <v>90</v>
      </c>
      <c r="AH33">
        <f t="shared" si="16"/>
        <v>77</v>
      </c>
      <c r="AI33">
        <f t="shared" si="1"/>
        <v>123</v>
      </c>
      <c r="AJ33">
        <f t="shared" si="17"/>
        <v>112</v>
      </c>
      <c r="AK33">
        <f t="shared" si="18"/>
        <v>80</v>
      </c>
      <c r="AL33">
        <f t="shared" si="19"/>
        <v>72</v>
      </c>
      <c r="AM33">
        <f t="shared" si="20"/>
        <v>58</v>
      </c>
      <c r="AN33">
        <f t="shared" si="2"/>
        <v>112</v>
      </c>
      <c r="AO33">
        <f t="shared" si="21"/>
        <v>102</v>
      </c>
      <c r="AP33">
        <f t="shared" si="22"/>
        <v>70</v>
      </c>
      <c r="AQ33">
        <f t="shared" si="23"/>
        <v>63</v>
      </c>
      <c r="AR33">
        <f t="shared" si="24"/>
        <v>49</v>
      </c>
      <c r="AS33">
        <f t="shared" si="25"/>
        <v>134</v>
      </c>
      <c r="AT33">
        <f t="shared" si="26"/>
        <v>122</v>
      </c>
      <c r="AU33">
        <f t="shared" si="27"/>
        <v>90</v>
      </c>
      <c r="AV33">
        <f t="shared" si="28"/>
        <v>81</v>
      </c>
      <c r="AW33">
        <f t="shared" si="29"/>
        <v>67</v>
      </c>
      <c r="AX33">
        <f t="shared" si="3"/>
        <v>163</v>
      </c>
      <c r="AY33">
        <f t="shared" si="4"/>
        <v>149</v>
      </c>
      <c r="AZ33">
        <f t="shared" si="5"/>
        <v>117</v>
      </c>
      <c r="BA33">
        <f t="shared" si="6"/>
        <v>105</v>
      </c>
      <c r="BB33">
        <f t="shared" si="7"/>
        <v>91</v>
      </c>
    </row>
    <row r="34" spans="1:54" x14ac:dyDescent="0.15">
      <c r="B34" t="s">
        <v>146</v>
      </c>
      <c r="C34">
        <v>21</v>
      </c>
      <c r="D34">
        <v>0</v>
      </c>
      <c r="E34" t="s">
        <v>147</v>
      </c>
      <c r="G34" t="s">
        <v>147</v>
      </c>
      <c r="J34" t="s">
        <v>119</v>
      </c>
      <c r="K34">
        <v>2</v>
      </c>
      <c r="L34">
        <v>0.3</v>
      </c>
      <c r="M34" t="s">
        <v>120</v>
      </c>
      <c r="N34" t="s">
        <v>57</v>
      </c>
      <c r="O34" t="s">
        <v>121</v>
      </c>
      <c r="P34" t="s">
        <v>113</v>
      </c>
      <c r="R34">
        <v>8</v>
      </c>
      <c r="S34">
        <v>40</v>
      </c>
      <c r="T34">
        <v>60</v>
      </c>
      <c r="U34">
        <v>30</v>
      </c>
      <c r="V34">
        <v>31</v>
      </c>
      <c r="W34">
        <v>31</v>
      </c>
      <c r="X34">
        <v>70</v>
      </c>
      <c r="Y34">
        <f t="shared" si="8"/>
        <v>147</v>
      </c>
      <c r="Z34">
        <f t="shared" si="0"/>
        <v>147</v>
      </c>
      <c r="AA34">
        <f t="shared" si="9"/>
        <v>115</v>
      </c>
      <c r="AB34">
        <f t="shared" si="10"/>
        <v>115</v>
      </c>
      <c r="AC34">
        <f t="shared" si="11"/>
        <v>100</v>
      </c>
      <c r="AD34">
        <f t="shared" si="12"/>
        <v>123</v>
      </c>
      <c r="AE34">
        <f t="shared" si="13"/>
        <v>112</v>
      </c>
      <c r="AF34">
        <f t="shared" si="14"/>
        <v>80</v>
      </c>
      <c r="AG34">
        <f t="shared" si="15"/>
        <v>72</v>
      </c>
      <c r="AH34">
        <f t="shared" si="16"/>
        <v>58</v>
      </c>
      <c r="AI34">
        <f t="shared" si="1"/>
        <v>90</v>
      </c>
      <c r="AJ34">
        <f t="shared" si="17"/>
        <v>82</v>
      </c>
      <c r="AK34">
        <f t="shared" si="18"/>
        <v>50</v>
      </c>
      <c r="AL34">
        <f t="shared" si="19"/>
        <v>45</v>
      </c>
      <c r="AM34">
        <f t="shared" si="20"/>
        <v>31</v>
      </c>
      <c r="AN34">
        <f t="shared" si="2"/>
        <v>91</v>
      </c>
      <c r="AO34">
        <f t="shared" si="21"/>
        <v>83</v>
      </c>
      <c r="AP34">
        <f t="shared" si="22"/>
        <v>51</v>
      </c>
      <c r="AQ34">
        <f t="shared" si="23"/>
        <v>45</v>
      </c>
      <c r="AR34">
        <f t="shared" si="24"/>
        <v>32</v>
      </c>
      <c r="AS34">
        <f t="shared" si="25"/>
        <v>91</v>
      </c>
      <c r="AT34">
        <f t="shared" si="26"/>
        <v>83</v>
      </c>
      <c r="AU34">
        <f t="shared" si="27"/>
        <v>51</v>
      </c>
      <c r="AV34">
        <f t="shared" si="28"/>
        <v>45</v>
      </c>
      <c r="AW34">
        <f t="shared" si="29"/>
        <v>32</v>
      </c>
      <c r="AX34">
        <f t="shared" si="3"/>
        <v>134</v>
      </c>
      <c r="AY34">
        <f t="shared" si="4"/>
        <v>122</v>
      </c>
      <c r="AZ34">
        <f t="shared" si="5"/>
        <v>90</v>
      </c>
      <c r="BA34">
        <f t="shared" si="6"/>
        <v>81</v>
      </c>
      <c r="BB34">
        <f t="shared" si="7"/>
        <v>67</v>
      </c>
    </row>
    <row r="35" spans="1:54" x14ac:dyDescent="0.15">
      <c r="B35" t="s">
        <v>148</v>
      </c>
      <c r="C35">
        <v>22</v>
      </c>
      <c r="D35">
        <v>0</v>
      </c>
      <c r="E35" t="s">
        <v>149</v>
      </c>
      <c r="G35" t="s">
        <v>149</v>
      </c>
      <c r="J35" t="s">
        <v>150</v>
      </c>
      <c r="K35">
        <v>38</v>
      </c>
      <c r="L35">
        <v>1.2</v>
      </c>
      <c r="M35" t="s">
        <v>120</v>
      </c>
      <c r="N35" t="s">
        <v>57</v>
      </c>
      <c r="O35" t="s">
        <v>121</v>
      </c>
      <c r="P35" t="s">
        <v>113</v>
      </c>
      <c r="R35">
        <v>8</v>
      </c>
      <c r="S35">
        <v>65</v>
      </c>
      <c r="T35">
        <v>90</v>
      </c>
      <c r="U35">
        <v>65</v>
      </c>
      <c r="V35">
        <v>61</v>
      </c>
      <c r="W35">
        <v>61</v>
      </c>
      <c r="X35">
        <v>100</v>
      </c>
      <c r="Y35">
        <f t="shared" si="8"/>
        <v>172</v>
      </c>
      <c r="Z35">
        <f t="shared" si="0"/>
        <v>172</v>
      </c>
      <c r="AA35">
        <f t="shared" si="9"/>
        <v>140</v>
      </c>
      <c r="AB35">
        <f t="shared" si="10"/>
        <v>140</v>
      </c>
      <c r="AC35">
        <f t="shared" si="11"/>
        <v>125</v>
      </c>
      <c r="AD35">
        <f t="shared" si="12"/>
        <v>156</v>
      </c>
      <c r="AE35">
        <f t="shared" si="13"/>
        <v>142</v>
      </c>
      <c r="AF35">
        <f t="shared" si="14"/>
        <v>110</v>
      </c>
      <c r="AG35">
        <f t="shared" si="15"/>
        <v>99</v>
      </c>
      <c r="AH35">
        <f t="shared" si="16"/>
        <v>85</v>
      </c>
      <c r="AI35">
        <f t="shared" si="1"/>
        <v>128</v>
      </c>
      <c r="AJ35">
        <f t="shared" si="17"/>
        <v>117</v>
      </c>
      <c r="AK35">
        <f t="shared" si="18"/>
        <v>85</v>
      </c>
      <c r="AL35">
        <f t="shared" si="19"/>
        <v>76</v>
      </c>
      <c r="AM35">
        <f t="shared" si="20"/>
        <v>63</v>
      </c>
      <c r="AN35">
        <f t="shared" si="2"/>
        <v>124</v>
      </c>
      <c r="AO35">
        <f t="shared" si="21"/>
        <v>113</v>
      </c>
      <c r="AP35">
        <f t="shared" si="22"/>
        <v>81</v>
      </c>
      <c r="AQ35">
        <f t="shared" si="23"/>
        <v>72</v>
      </c>
      <c r="AR35">
        <f t="shared" si="24"/>
        <v>59</v>
      </c>
      <c r="AS35">
        <f t="shared" si="25"/>
        <v>124</v>
      </c>
      <c r="AT35">
        <f t="shared" si="26"/>
        <v>113</v>
      </c>
      <c r="AU35">
        <f t="shared" si="27"/>
        <v>81</v>
      </c>
      <c r="AV35">
        <f t="shared" si="28"/>
        <v>72</v>
      </c>
      <c r="AW35">
        <f t="shared" si="29"/>
        <v>59</v>
      </c>
      <c r="AX35">
        <f t="shared" si="3"/>
        <v>167</v>
      </c>
      <c r="AY35">
        <f t="shared" si="4"/>
        <v>152</v>
      </c>
      <c r="AZ35">
        <f t="shared" si="5"/>
        <v>120</v>
      </c>
      <c r="BA35">
        <f t="shared" si="6"/>
        <v>108</v>
      </c>
      <c r="BB35">
        <f t="shared" si="7"/>
        <v>94</v>
      </c>
    </row>
    <row r="36" spans="1:54" x14ac:dyDescent="0.15">
      <c r="A36">
        <v>11</v>
      </c>
      <c r="B36" t="s">
        <v>151</v>
      </c>
      <c r="C36">
        <v>23</v>
      </c>
      <c r="D36">
        <v>0</v>
      </c>
      <c r="E36" t="s">
        <v>152</v>
      </c>
      <c r="G36" t="s">
        <v>152</v>
      </c>
      <c r="H36" t="s">
        <v>153</v>
      </c>
      <c r="J36" t="s">
        <v>154</v>
      </c>
      <c r="K36">
        <v>6.9</v>
      </c>
      <c r="L36">
        <v>2</v>
      </c>
      <c r="M36" t="s">
        <v>27</v>
      </c>
      <c r="O36" t="s">
        <v>155</v>
      </c>
      <c r="P36" t="s">
        <v>96</v>
      </c>
      <c r="Q36" t="s">
        <v>156</v>
      </c>
      <c r="R36">
        <v>9</v>
      </c>
      <c r="S36">
        <v>35</v>
      </c>
      <c r="T36">
        <v>60</v>
      </c>
      <c r="U36">
        <v>44</v>
      </c>
      <c r="V36">
        <v>40</v>
      </c>
      <c r="W36">
        <v>54</v>
      </c>
      <c r="X36">
        <v>55</v>
      </c>
      <c r="Y36">
        <f t="shared" si="8"/>
        <v>142</v>
      </c>
      <c r="Z36">
        <f t="shared" si="0"/>
        <v>142</v>
      </c>
      <c r="AA36">
        <f t="shared" si="9"/>
        <v>110</v>
      </c>
      <c r="AB36">
        <f t="shared" si="10"/>
        <v>110</v>
      </c>
      <c r="AC36">
        <f t="shared" si="11"/>
        <v>95</v>
      </c>
      <c r="AD36">
        <f t="shared" si="12"/>
        <v>123</v>
      </c>
      <c r="AE36">
        <f t="shared" si="13"/>
        <v>112</v>
      </c>
      <c r="AF36">
        <f t="shared" si="14"/>
        <v>80</v>
      </c>
      <c r="AG36">
        <f t="shared" si="15"/>
        <v>72</v>
      </c>
      <c r="AH36">
        <f t="shared" si="16"/>
        <v>58</v>
      </c>
      <c r="AI36">
        <f t="shared" si="1"/>
        <v>105</v>
      </c>
      <c r="AJ36">
        <f t="shared" si="17"/>
        <v>96</v>
      </c>
      <c r="AK36">
        <f t="shared" si="18"/>
        <v>64</v>
      </c>
      <c r="AL36">
        <f t="shared" si="19"/>
        <v>57</v>
      </c>
      <c r="AM36">
        <f t="shared" si="20"/>
        <v>44</v>
      </c>
      <c r="AN36">
        <f t="shared" si="2"/>
        <v>101</v>
      </c>
      <c r="AO36">
        <f t="shared" si="21"/>
        <v>92</v>
      </c>
      <c r="AP36">
        <f t="shared" si="22"/>
        <v>60</v>
      </c>
      <c r="AQ36">
        <f t="shared" si="23"/>
        <v>54</v>
      </c>
      <c r="AR36">
        <f t="shared" si="24"/>
        <v>40</v>
      </c>
      <c r="AS36">
        <f t="shared" si="25"/>
        <v>116</v>
      </c>
      <c r="AT36">
        <f t="shared" si="26"/>
        <v>106</v>
      </c>
      <c r="AU36">
        <f t="shared" si="27"/>
        <v>74</v>
      </c>
      <c r="AV36">
        <f t="shared" si="28"/>
        <v>66</v>
      </c>
      <c r="AW36">
        <f t="shared" si="29"/>
        <v>53</v>
      </c>
      <c r="AX36">
        <f t="shared" si="3"/>
        <v>117</v>
      </c>
      <c r="AY36">
        <f t="shared" si="4"/>
        <v>107</v>
      </c>
      <c r="AZ36">
        <f t="shared" si="5"/>
        <v>75</v>
      </c>
      <c r="BA36">
        <f t="shared" si="6"/>
        <v>67</v>
      </c>
      <c r="BB36">
        <f t="shared" si="7"/>
        <v>54</v>
      </c>
    </row>
    <row r="37" spans="1:54" x14ac:dyDescent="0.15">
      <c r="A37">
        <v>12</v>
      </c>
      <c r="B37" t="s">
        <v>157</v>
      </c>
      <c r="C37">
        <v>24</v>
      </c>
      <c r="D37">
        <v>0</v>
      </c>
      <c r="E37" t="s">
        <v>158</v>
      </c>
      <c r="G37" t="s">
        <v>158</v>
      </c>
      <c r="H37" t="s">
        <v>159</v>
      </c>
      <c r="J37" t="s">
        <v>160</v>
      </c>
      <c r="K37">
        <v>65</v>
      </c>
      <c r="L37">
        <v>3.5</v>
      </c>
      <c r="M37" t="s">
        <v>27</v>
      </c>
      <c r="O37" t="s">
        <v>155</v>
      </c>
      <c r="P37" t="s">
        <v>96</v>
      </c>
      <c r="Q37" t="s">
        <v>156</v>
      </c>
      <c r="R37">
        <v>9</v>
      </c>
      <c r="S37">
        <v>60</v>
      </c>
      <c r="T37">
        <v>95</v>
      </c>
      <c r="U37">
        <v>69</v>
      </c>
      <c r="V37">
        <v>65</v>
      </c>
      <c r="W37">
        <v>79</v>
      </c>
      <c r="X37">
        <v>80</v>
      </c>
      <c r="Y37">
        <f t="shared" si="8"/>
        <v>167</v>
      </c>
      <c r="Z37">
        <f t="shared" si="0"/>
        <v>167</v>
      </c>
      <c r="AA37">
        <f t="shared" si="9"/>
        <v>135</v>
      </c>
      <c r="AB37">
        <f t="shared" si="10"/>
        <v>135</v>
      </c>
      <c r="AC37">
        <f t="shared" si="11"/>
        <v>120</v>
      </c>
      <c r="AD37">
        <f t="shared" si="12"/>
        <v>161</v>
      </c>
      <c r="AE37">
        <f t="shared" si="13"/>
        <v>147</v>
      </c>
      <c r="AF37">
        <f t="shared" si="14"/>
        <v>115</v>
      </c>
      <c r="AG37">
        <f t="shared" si="15"/>
        <v>103</v>
      </c>
      <c r="AH37">
        <f t="shared" si="16"/>
        <v>90</v>
      </c>
      <c r="AI37">
        <f t="shared" si="1"/>
        <v>133</v>
      </c>
      <c r="AJ37">
        <f t="shared" si="17"/>
        <v>121</v>
      </c>
      <c r="AK37">
        <f t="shared" si="18"/>
        <v>89</v>
      </c>
      <c r="AL37">
        <f t="shared" si="19"/>
        <v>80</v>
      </c>
      <c r="AM37">
        <f t="shared" si="20"/>
        <v>66</v>
      </c>
      <c r="AN37">
        <f t="shared" si="2"/>
        <v>128</v>
      </c>
      <c r="AO37">
        <f t="shared" si="21"/>
        <v>117</v>
      </c>
      <c r="AP37">
        <f t="shared" si="22"/>
        <v>85</v>
      </c>
      <c r="AQ37">
        <f t="shared" si="23"/>
        <v>76</v>
      </c>
      <c r="AR37">
        <f t="shared" si="24"/>
        <v>63</v>
      </c>
      <c r="AS37">
        <f t="shared" si="25"/>
        <v>144</v>
      </c>
      <c r="AT37">
        <f t="shared" si="26"/>
        <v>131</v>
      </c>
      <c r="AU37">
        <f t="shared" si="27"/>
        <v>99</v>
      </c>
      <c r="AV37">
        <f t="shared" si="28"/>
        <v>89</v>
      </c>
      <c r="AW37">
        <f t="shared" si="29"/>
        <v>75</v>
      </c>
      <c r="AX37">
        <f t="shared" si="3"/>
        <v>145</v>
      </c>
      <c r="AY37">
        <f t="shared" si="4"/>
        <v>132</v>
      </c>
      <c r="AZ37">
        <f t="shared" si="5"/>
        <v>100</v>
      </c>
      <c r="BA37">
        <f t="shared" si="6"/>
        <v>90</v>
      </c>
      <c r="BB37">
        <f t="shared" si="7"/>
        <v>76</v>
      </c>
    </row>
    <row r="38" spans="1:54" x14ac:dyDescent="0.15">
      <c r="A38">
        <v>13</v>
      </c>
      <c r="B38" t="s">
        <v>161</v>
      </c>
      <c r="C38">
        <v>25</v>
      </c>
      <c r="D38">
        <v>0</v>
      </c>
      <c r="E38" t="s">
        <v>162</v>
      </c>
      <c r="G38" t="s">
        <v>162</v>
      </c>
      <c r="H38" t="s">
        <v>163</v>
      </c>
      <c r="J38" t="s">
        <v>134</v>
      </c>
      <c r="K38">
        <v>6</v>
      </c>
      <c r="L38">
        <v>0.4</v>
      </c>
      <c r="M38" t="s">
        <v>164</v>
      </c>
      <c r="O38" t="s">
        <v>165</v>
      </c>
      <c r="P38" t="s">
        <v>166</v>
      </c>
      <c r="R38">
        <v>9</v>
      </c>
      <c r="S38">
        <v>35</v>
      </c>
      <c r="T38">
        <v>55</v>
      </c>
      <c r="U38">
        <v>40</v>
      </c>
      <c r="V38">
        <v>50</v>
      </c>
      <c r="W38">
        <v>50</v>
      </c>
      <c r="X38">
        <v>90</v>
      </c>
      <c r="Y38">
        <f t="shared" si="8"/>
        <v>142</v>
      </c>
      <c r="Z38">
        <f t="shared" si="0"/>
        <v>142</v>
      </c>
      <c r="AA38">
        <f t="shared" si="9"/>
        <v>110</v>
      </c>
      <c r="AB38">
        <f t="shared" si="10"/>
        <v>110</v>
      </c>
      <c r="AC38">
        <f t="shared" si="11"/>
        <v>95</v>
      </c>
      <c r="AD38">
        <f t="shared" si="12"/>
        <v>117</v>
      </c>
      <c r="AE38">
        <f t="shared" si="13"/>
        <v>107</v>
      </c>
      <c r="AF38">
        <f t="shared" si="14"/>
        <v>75</v>
      </c>
      <c r="AG38">
        <f t="shared" si="15"/>
        <v>67</v>
      </c>
      <c r="AH38">
        <f t="shared" si="16"/>
        <v>54</v>
      </c>
      <c r="AI38">
        <f t="shared" si="1"/>
        <v>101</v>
      </c>
      <c r="AJ38">
        <f t="shared" si="17"/>
        <v>92</v>
      </c>
      <c r="AK38">
        <f t="shared" si="18"/>
        <v>60</v>
      </c>
      <c r="AL38">
        <f t="shared" si="19"/>
        <v>54</v>
      </c>
      <c r="AM38">
        <f t="shared" si="20"/>
        <v>40</v>
      </c>
      <c r="AN38">
        <f t="shared" si="2"/>
        <v>112</v>
      </c>
      <c r="AO38">
        <f t="shared" si="21"/>
        <v>102</v>
      </c>
      <c r="AP38">
        <f t="shared" si="22"/>
        <v>70</v>
      </c>
      <c r="AQ38">
        <f t="shared" si="23"/>
        <v>63</v>
      </c>
      <c r="AR38">
        <f t="shared" si="24"/>
        <v>49</v>
      </c>
      <c r="AS38">
        <f t="shared" si="25"/>
        <v>112</v>
      </c>
      <c r="AT38">
        <f t="shared" si="26"/>
        <v>102</v>
      </c>
      <c r="AU38">
        <f t="shared" si="27"/>
        <v>70</v>
      </c>
      <c r="AV38">
        <f t="shared" si="28"/>
        <v>63</v>
      </c>
      <c r="AW38">
        <f t="shared" si="29"/>
        <v>49</v>
      </c>
      <c r="AX38">
        <f t="shared" si="3"/>
        <v>156</v>
      </c>
      <c r="AY38">
        <f t="shared" si="4"/>
        <v>142</v>
      </c>
      <c r="AZ38">
        <f t="shared" si="5"/>
        <v>110</v>
      </c>
      <c r="BA38">
        <f t="shared" si="6"/>
        <v>99</v>
      </c>
      <c r="BB38">
        <f t="shared" si="7"/>
        <v>85</v>
      </c>
    </row>
    <row r="39" spans="1:54" x14ac:dyDescent="0.15">
      <c r="A39">
        <v>14</v>
      </c>
      <c r="B39" t="s">
        <v>161</v>
      </c>
      <c r="C39">
        <v>25</v>
      </c>
      <c r="D39">
        <v>1</v>
      </c>
      <c r="E39" t="s">
        <v>162</v>
      </c>
      <c r="F39" t="s">
        <v>167</v>
      </c>
      <c r="G39" t="s">
        <v>162</v>
      </c>
      <c r="H39" t="s">
        <v>168</v>
      </c>
      <c r="J39" t="s">
        <v>134</v>
      </c>
      <c r="K39">
        <v>6</v>
      </c>
      <c r="L39">
        <v>0.4</v>
      </c>
      <c r="M39" t="s">
        <v>164</v>
      </c>
      <c r="O39" t="s">
        <v>165</v>
      </c>
      <c r="P39" t="s">
        <v>166</v>
      </c>
      <c r="R39">
        <v>9</v>
      </c>
      <c r="S39">
        <v>35</v>
      </c>
      <c r="T39">
        <v>55</v>
      </c>
      <c r="U39">
        <v>40</v>
      </c>
      <c r="V39">
        <v>50</v>
      </c>
      <c r="W39">
        <v>50</v>
      </c>
      <c r="X39">
        <v>90</v>
      </c>
      <c r="Y39">
        <f t="shared" si="8"/>
        <v>142</v>
      </c>
      <c r="Z39">
        <f t="shared" si="0"/>
        <v>142</v>
      </c>
      <c r="AA39">
        <f t="shared" si="9"/>
        <v>110</v>
      </c>
      <c r="AB39">
        <f t="shared" si="10"/>
        <v>110</v>
      </c>
      <c r="AC39">
        <f t="shared" si="11"/>
        <v>95</v>
      </c>
      <c r="AD39">
        <f t="shared" si="12"/>
        <v>117</v>
      </c>
      <c r="AE39">
        <f t="shared" si="13"/>
        <v>107</v>
      </c>
      <c r="AF39">
        <f t="shared" si="14"/>
        <v>75</v>
      </c>
      <c r="AG39">
        <f t="shared" si="15"/>
        <v>67</v>
      </c>
      <c r="AH39">
        <f t="shared" si="16"/>
        <v>54</v>
      </c>
      <c r="AI39">
        <f t="shared" si="1"/>
        <v>101</v>
      </c>
      <c r="AJ39">
        <f t="shared" si="17"/>
        <v>92</v>
      </c>
      <c r="AK39">
        <f t="shared" si="18"/>
        <v>60</v>
      </c>
      <c r="AL39">
        <f t="shared" si="19"/>
        <v>54</v>
      </c>
      <c r="AM39">
        <f t="shared" si="20"/>
        <v>40</v>
      </c>
      <c r="AN39">
        <f t="shared" si="2"/>
        <v>112</v>
      </c>
      <c r="AO39">
        <f t="shared" si="21"/>
        <v>102</v>
      </c>
      <c r="AP39">
        <f t="shared" si="22"/>
        <v>70</v>
      </c>
      <c r="AQ39">
        <f t="shared" si="23"/>
        <v>63</v>
      </c>
      <c r="AR39">
        <f t="shared" si="24"/>
        <v>49</v>
      </c>
      <c r="AS39">
        <f t="shared" si="25"/>
        <v>112</v>
      </c>
      <c r="AT39">
        <f t="shared" si="26"/>
        <v>102</v>
      </c>
      <c r="AU39">
        <f t="shared" si="27"/>
        <v>70</v>
      </c>
      <c r="AV39">
        <f t="shared" si="28"/>
        <v>63</v>
      </c>
      <c r="AW39">
        <f t="shared" si="29"/>
        <v>49</v>
      </c>
      <c r="AX39">
        <f t="shared" si="3"/>
        <v>156</v>
      </c>
      <c r="AY39">
        <f t="shared" si="4"/>
        <v>142</v>
      </c>
      <c r="AZ39">
        <f t="shared" si="5"/>
        <v>110</v>
      </c>
      <c r="BA39">
        <f t="shared" si="6"/>
        <v>99</v>
      </c>
      <c r="BB39">
        <f t="shared" si="7"/>
        <v>85</v>
      </c>
    </row>
    <row r="40" spans="1:54" x14ac:dyDescent="0.15">
      <c r="A40">
        <v>15</v>
      </c>
      <c r="B40" t="s">
        <v>161</v>
      </c>
      <c r="C40">
        <v>25</v>
      </c>
      <c r="D40">
        <v>2</v>
      </c>
      <c r="E40" t="s">
        <v>162</v>
      </c>
      <c r="F40" t="s">
        <v>169</v>
      </c>
      <c r="G40" t="s">
        <v>162</v>
      </c>
      <c r="H40" t="s">
        <v>170</v>
      </c>
      <c r="J40" t="s">
        <v>134</v>
      </c>
      <c r="K40">
        <v>6</v>
      </c>
      <c r="L40">
        <v>0.4</v>
      </c>
      <c r="M40" t="s">
        <v>164</v>
      </c>
      <c r="O40" t="s">
        <v>165</v>
      </c>
      <c r="P40" t="s">
        <v>166</v>
      </c>
      <c r="R40">
        <v>9</v>
      </c>
      <c r="S40">
        <v>35</v>
      </c>
      <c r="T40">
        <v>55</v>
      </c>
      <c r="U40">
        <v>40</v>
      </c>
      <c r="V40">
        <v>50</v>
      </c>
      <c r="W40">
        <v>50</v>
      </c>
      <c r="X40">
        <v>90</v>
      </c>
      <c r="Y40">
        <f t="shared" si="8"/>
        <v>142</v>
      </c>
      <c r="Z40">
        <f t="shared" si="0"/>
        <v>142</v>
      </c>
      <c r="AA40">
        <f t="shared" si="9"/>
        <v>110</v>
      </c>
      <c r="AB40">
        <f t="shared" si="10"/>
        <v>110</v>
      </c>
      <c r="AC40">
        <f t="shared" si="11"/>
        <v>95</v>
      </c>
      <c r="AD40">
        <f t="shared" si="12"/>
        <v>117</v>
      </c>
      <c r="AE40">
        <f t="shared" si="13"/>
        <v>107</v>
      </c>
      <c r="AF40">
        <f t="shared" si="14"/>
        <v>75</v>
      </c>
      <c r="AG40">
        <f t="shared" si="15"/>
        <v>67</v>
      </c>
      <c r="AH40">
        <f t="shared" si="16"/>
        <v>54</v>
      </c>
      <c r="AI40">
        <f t="shared" si="1"/>
        <v>101</v>
      </c>
      <c r="AJ40">
        <f t="shared" si="17"/>
        <v>92</v>
      </c>
      <c r="AK40">
        <f t="shared" si="18"/>
        <v>60</v>
      </c>
      <c r="AL40">
        <f t="shared" si="19"/>
        <v>54</v>
      </c>
      <c r="AM40">
        <f t="shared" si="20"/>
        <v>40</v>
      </c>
      <c r="AN40">
        <f t="shared" si="2"/>
        <v>112</v>
      </c>
      <c r="AO40">
        <f t="shared" si="21"/>
        <v>102</v>
      </c>
      <c r="AP40">
        <f t="shared" si="22"/>
        <v>70</v>
      </c>
      <c r="AQ40">
        <f t="shared" si="23"/>
        <v>63</v>
      </c>
      <c r="AR40">
        <f t="shared" si="24"/>
        <v>49</v>
      </c>
      <c r="AS40">
        <f t="shared" si="25"/>
        <v>112</v>
      </c>
      <c r="AT40">
        <f t="shared" si="26"/>
        <v>102</v>
      </c>
      <c r="AU40">
        <f t="shared" si="27"/>
        <v>70</v>
      </c>
      <c r="AV40">
        <f t="shared" si="28"/>
        <v>63</v>
      </c>
      <c r="AW40">
        <f t="shared" si="29"/>
        <v>49</v>
      </c>
      <c r="AX40">
        <f t="shared" si="3"/>
        <v>156</v>
      </c>
      <c r="AY40">
        <f t="shared" si="4"/>
        <v>142</v>
      </c>
      <c r="AZ40">
        <f t="shared" si="5"/>
        <v>110</v>
      </c>
      <c r="BA40">
        <f t="shared" si="6"/>
        <v>99</v>
      </c>
      <c r="BB40">
        <f t="shared" si="7"/>
        <v>85</v>
      </c>
    </row>
    <row r="41" spans="1:54" x14ac:dyDescent="0.15">
      <c r="A41">
        <v>16</v>
      </c>
      <c r="B41" t="s">
        <v>161</v>
      </c>
      <c r="C41">
        <v>25</v>
      </c>
      <c r="D41">
        <v>3</v>
      </c>
      <c r="E41" t="s">
        <v>162</v>
      </c>
      <c r="F41" t="s">
        <v>171</v>
      </c>
      <c r="G41" t="s">
        <v>162</v>
      </c>
      <c r="H41" t="s">
        <v>172</v>
      </c>
      <c r="J41" t="s">
        <v>134</v>
      </c>
      <c r="K41">
        <v>6</v>
      </c>
      <c r="L41">
        <v>0.4</v>
      </c>
      <c r="M41" t="s">
        <v>164</v>
      </c>
      <c r="O41" t="s">
        <v>165</v>
      </c>
      <c r="P41" t="s">
        <v>166</v>
      </c>
      <c r="R41">
        <v>9</v>
      </c>
      <c r="S41">
        <v>35</v>
      </c>
      <c r="T41">
        <v>55</v>
      </c>
      <c r="U41">
        <v>40</v>
      </c>
      <c r="V41">
        <v>50</v>
      </c>
      <c r="W41">
        <v>50</v>
      </c>
      <c r="X41">
        <v>90</v>
      </c>
      <c r="Y41">
        <f t="shared" si="8"/>
        <v>142</v>
      </c>
      <c r="Z41">
        <f t="shared" si="0"/>
        <v>142</v>
      </c>
      <c r="AA41">
        <f t="shared" si="9"/>
        <v>110</v>
      </c>
      <c r="AB41">
        <f t="shared" si="10"/>
        <v>110</v>
      </c>
      <c r="AC41">
        <f t="shared" si="11"/>
        <v>95</v>
      </c>
      <c r="AD41">
        <f t="shared" si="12"/>
        <v>117</v>
      </c>
      <c r="AE41">
        <f t="shared" si="13"/>
        <v>107</v>
      </c>
      <c r="AF41">
        <f t="shared" si="14"/>
        <v>75</v>
      </c>
      <c r="AG41">
        <f t="shared" si="15"/>
        <v>67</v>
      </c>
      <c r="AH41">
        <f t="shared" si="16"/>
        <v>54</v>
      </c>
      <c r="AI41">
        <f t="shared" si="1"/>
        <v>101</v>
      </c>
      <c r="AJ41">
        <f t="shared" si="17"/>
        <v>92</v>
      </c>
      <c r="AK41">
        <f t="shared" si="18"/>
        <v>60</v>
      </c>
      <c r="AL41">
        <f t="shared" si="19"/>
        <v>54</v>
      </c>
      <c r="AM41">
        <f t="shared" si="20"/>
        <v>40</v>
      </c>
      <c r="AN41">
        <f t="shared" si="2"/>
        <v>112</v>
      </c>
      <c r="AO41">
        <f t="shared" si="21"/>
        <v>102</v>
      </c>
      <c r="AP41">
        <f t="shared" si="22"/>
        <v>70</v>
      </c>
      <c r="AQ41">
        <f t="shared" si="23"/>
        <v>63</v>
      </c>
      <c r="AR41">
        <f t="shared" si="24"/>
        <v>49</v>
      </c>
      <c r="AS41">
        <f t="shared" si="25"/>
        <v>112</v>
      </c>
      <c r="AT41">
        <f t="shared" si="26"/>
        <v>102</v>
      </c>
      <c r="AU41">
        <f t="shared" si="27"/>
        <v>70</v>
      </c>
      <c r="AV41">
        <f t="shared" si="28"/>
        <v>63</v>
      </c>
      <c r="AW41">
        <f t="shared" si="29"/>
        <v>49</v>
      </c>
      <c r="AX41">
        <f t="shared" si="3"/>
        <v>156</v>
      </c>
      <c r="AY41">
        <f t="shared" si="4"/>
        <v>142</v>
      </c>
      <c r="AZ41">
        <f t="shared" si="5"/>
        <v>110</v>
      </c>
      <c r="BA41">
        <f t="shared" si="6"/>
        <v>99</v>
      </c>
      <c r="BB41">
        <f t="shared" si="7"/>
        <v>85</v>
      </c>
    </row>
    <row r="42" spans="1:54" x14ac:dyDescent="0.15">
      <c r="A42">
        <v>17</v>
      </c>
      <c r="B42" t="s">
        <v>161</v>
      </c>
      <c r="C42">
        <v>25</v>
      </c>
      <c r="D42">
        <v>4</v>
      </c>
      <c r="E42" t="s">
        <v>162</v>
      </c>
      <c r="F42" t="s">
        <v>173</v>
      </c>
      <c r="G42" t="s">
        <v>162</v>
      </c>
      <c r="H42" t="s">
        <v>174</v>
      </c>
      <c r="J42" t="s">
        <v>134</v>
      </c>
      <c r="K42">
        <v>6</v>
      </c>
      <c r="L42">
        <v>0.4</v>
      </c>
      <c r="M42" t="s">
        <v>164</v>
      </c>
      <c r="O42" t="s">
        <v>165</v>
      </c>
      <c r="P42" t="s">
        <v>166</v>
      </c>
      <c r="R42">
        <v>9</v>
      </c>
      <c r="S42">
        <v>35</v>
      </c>
      <c r="T42">
        <v>55</v>
      </c>
      <c r="U42">
        <v>40</v>
      </c>
      <c r="V42">
        <v>50</v>
      </c>
      <c r="W42">
        <v>50</v>
      </c>
      <c r="X42">
        <v>90</v>
      </c>
      <c r="Y42">
        <f t="shared" si="8"/>
        <v>142</v>
      </c>
      <c r="Z42">
        <f t="shared" si="0"/>
        <v>142</v>
      </c>
      <c r="AA42">
        <f t="shared" si="9"/>
        <v>110</v>
      </c>
      <c r="AB42">
        <f t="shared" si="10"/>
        <v>110</v>
      </c>
      <c r="AC42">
        <f t="shared" si="11"/>
        <v>95</v>
      </c>
      <c r="AD42">
        <f t="shared" si="12"/>
        <v>117</v>
      </c>
      <c r="AE42">
        <f t="shared" si="13"/>
        <v>107</v>
      </c>
      <c r="AF42">
        <f t="shared" si="14"/>
        <v>75</v>
      </c>
      <c r="AG42">
        <f t="shared" si="15"/>
        <v>67</v>
      </c>
      <c r="AH42">
        <f t="shared" si="16"/>
        <v>54</v>
      </c>
      <c r="AI42">
        <f t="shared" si="1"/>
        <v>101</v>
      </c>
      <c r="AJ42">
        <f t="shared" si="17"/>
        <v>92</v>
      </c>
      <c r="AK42">
        <f t="shared" si="18"/>
        <v>60</v>
      </c>
      <c r="AL42">
        <f t="shared" si="19"/>
        <v>54</v>
      </c>
      <c r="AM42">
        <f t="shared" si="20"/>
        <v>40</v>
      </c>
      <c r="AN42">
        <f t="shared" si="2"/>
        <v>112</v>
      </c>
      <c r="AO42">
        <f t="shared" si="21"/>
        <v>102</v>
      </c>
      <c r="AP42">
        <f t="shared" si="22"/>
        <v>70</v>
      </c>
      <c r="AQ42">
        <f t="shared" si="23"/>
        <v>63</v>
      </c>
      <c r="AR42">
        <f t="shared" si="24"/>
        <v>49</v>
      </c>
      <c r="AS42">
        <f t="shared" si="25"/>
        <v>112</v>
      </c>
      <c r="AT42">
        <f t="shared" si="26"/>
        <v>102</v>
      </c>
      <c r="AU42">
        <f t="shared" si="27"/>
        <v>70</v>
      </c>
      <c r="AV42">
        <f t="shared" si="28"/>
        <v>63</v>
      </c>
      <c r="AW42">
        <f t="shared" si="29"/>
        <v>49</v>
      </c>
      <c r="AX42">
        <f t="shared" si="3"/>
        <v>156</v>
      </c>
      <c r="AY42">
        <f t="shared" si="4"/>
        <v>142</v>
      </c>
      <c r="AZ42">
        <f t="shared" si="5"/>
        <v>110</v>
      </c>
      <c r="BA42">
        <f t="shared" si="6"/>
        <v>99</v>
      </c>
      <c r="BB42">
        <f t="shared" si="7"/>
        <v>85</v>
      </c>
    </row>
    <row r="43" spans="1:54" x14ac:dyDescent="0.15">
      <c r="A43">
        <v>18</v>
      </c>
      <c r="B43" t="s">
        <v>161</v>
      </c>
      <c r="C43">
        <v>25</v>
      </c>
      <c r="D43">
        <v>5</v>
      </c>
      <c r="E43" t="s">
        <v>162</v>
      </c>
      <c r="F43" t="s">
        <v>175</v>
      </c>
      <c r="G43" t="s">
        <v>162</v>
      </c>
      <c r="H43" t="s">
        <v>176</v>
      </c>
      <c r="J43" t="s">
        <v>134</v>
      </c>
      <c r="K43">
        <v>6</v>
      </c>
      <c r="L43">
        <v>0.4</v>
      </c>
      <c r="M43" t="s">
        <v>164</v>
      </c>
      <c r="O43" t="s">
        <v>165</v>
      </c>
      <c r="P43" t="s">
        <v>166</v>
      </c>
      <c r="R43">
        <v>9</v>
      </c>
      <c r="S43">
        <v>35</v>
      </c>
      <c r="T43">
        <v>55</v>
      </c>
      <c r="U43">
        <v>40</v>
      </c>
      <c r="V43">
        <v>50</v>
      </c>
      <c r="W43">
        <v>50</v>
      </c>
      <c r="X43">
        <v>90</v>
      </c>
      <c r="Y43">
        <f t="shared" si="8"/>
        <v>142</v>
      </c>
      <c r="Z43">
        <f t="shared" si="0"/>
        <v>142</v>
      </c>
      <c r="AA43">
        <f t="shared" si="9"/>
        <v>110</v>
      </c>
      <c r="AB43">
        <f t="shared" si="10"/>
        <v>110</v>
      </c>
      <c r="AC43">
        <f t="shared" si="11"/>
        <v>95</v>
      </c>
      <c r="AD43">
        <f t="shared" si="12"/>
        <v>117</v>
      </c>
      <c r="AE43">
        <f t="shared" si="13"/>
        <v>107</v>
      </c>
      <c r="AF43">
        <f t="shared" si="14"/>
        <v>75</v>
      </c>
      <c r="AG43">
        <f t="shared" si="15"/>
        <v>67</v>
      </c>
      <c r="AH43">
        <f t="shared" si="16"/>
        <v>54</v>
      </c>
      <c r="AI43">
        <f t="shared" si="1"/>
        <v>101</v>
      </c>
      <c r="AJ43">
        <f t="shared" si="17"/>
        <v>92</v>
      </c>
      <c r="AK43">
        <f t="shared" si="18"/>
        <v>60</v>
      </c>
      <c r="AL43">
        <f t="shared" si="19"/>
        <v>54</v>
      </c>
      <c r="AM43">
        <f t="shared" si="20"/>
        <v>40</v>
      </c>
      <c r="AN43">
        <f t="shared" si="2"/>
        <v>112</v>
      </c>
      <c r="AO43">
        <f t="shared" si="21"/>
        <v>102</v>
      </c>
      <c r="AP43">
        <f t="shared" si="22"/>
        <v>70</v>
      </c>
      <c r="AQ43">
        <f t="shared" si="23"/>
        <v>63</v>
      </c>
      <c r="AR43">
        <f t="shared" si="24"/>
        <v>49</v>
      </c>
      <c r="AS43">
        <f t="shared" si="25"/>
        <v>112</v>
      </c>
      <c r="AT43">
        <f t="shared" si="26"/>
        <v>102</v>
      </c>
      <c r="AU43">
        <f t="shared" si="27"/>
        <v>70</v>
      </c>
      <c r="AV43">
        <f t="shared" si="28"/>
        <v>63</v>
      </c>
      <c r="AW43">
        <f t="shared" si="29"/>
        <v>49</v>
      </c>
      <c r="AX43">
        <f t="shared" si="3"/>
        <v>156</v>
      </c>
      <c r="AY43">
        <f t="shared" si="4"/>
        <v>142</v>
      </c>
      <c r="AZ43">
        <f t="shared" si="5"/>
        <v>110</v>
      </c>
      <c r="BA43">
        <f t="shared" si="6"/>
        <v>99</v>
      </c>
      <c r="BB43">
        <f t="shared" si="7"/>
        <v>85</v>
      </c>
    </row>
    <row r="44" spans="1:54" x14ac:dyDescent="0.15">
      <c r="A44">
        <v>19</v>
      </c>
      <c r="B44" t="s">
        <v>161</v>
      </c>
      <c r="C44">
        <v>25</v>
      </c>
      <c r="D44">
        <v>6</v>
      </c>
      <c r="E44" t="s">
        <v>162</v>
      </c>
      <c r="F44" t="s">
        <v>177</v>
      </c>
      <c r="G44" t="s">
        <v>162</v>
      </c>
      <c r="H44" t="s">
        <v>178</v>
      </c>
      <c r="J44" t="s">
        <v>134</v>
      </c>
      <c r="K44">
        <v>6</v>
      </c>
      <c r="L44">
        <v>0.4</v>
      </c>
      <c r="M44" t="s">
        <v>164</v>
      </c>
      <c r="O44" t="s">
        <v>165</v>
      </c>
      <c r="P44" t="s">
        <v>166</v>
      </c>
      <c r="R44">
        <v>9</v>
      </c>
      <c r="S44">
        <v>35</v>
      </c>
      <c r="T44">
        <v>55</v>
      </c>
      <c r="U44">
        <v>40</v>
      </c>
      <c r="V44">
        <v>50</v>
      </c>
      <c r="W44">
        <v>50</v>
      </c>
      <c r="X44">
        <v>90</v>
      </c>
      <c r="Y44">
        <f t="shared" si="8"/>
        <v>142</v>
      </c>
      <c r="Z44">
        <f t="shared" si="0"/>
        <v>142</v>
      </c>
      <c r="AA44">
        <f t="shared" si="9"/>
        <v>110</v>
      </c>
      <c r="AB44">
        <f t="shared" si="10"/>
        <v>110</v>
      </c>
      <c r="AC44">
        <f t="shared" si="11"/>
        <v>95</v>
      </c>
      <c r="AD44">
        <f t="shared" si="12"/>
        <v>117</v>
      </c>
      <c r="AE44">
        <f t="shared" si="13"/>
        <v>107</v>
      </c>
      <c r="AF44">
        <f t="shared" si="14"/>
        <v>75</v>
      </c>
      <c r="AG44">
        <f t="shared" si="15"/>
        <v>67</v>
      </c>
      <c r="AH44">
        <f t="shared" si="16"/>
        <v>54</v>
      </c>
      <c r="AI44">
        <f t="shared" si="1"/>
        <v>101</v>
      </c>
      <c r="AJ44">
        <f t="shared" si="17"/>
        <v>92</v>
      </c>
      <c r="AK44">
        <f t="shared" si="18"/>
        <v>60</v>
      </c>
      <c r="AL44">
        <f t="shared" si="19"/>
        <v>54</v>
      </c>
      <c r="AM44">
        <f t="shared" si="20"/>
        <v>40</v>
      </c>
      <c r="AN44">
        <f t="shared" si="2"/>
        <v>112</v>
      </c>
      <c r="AO44">
        <f t="shared" si="21"/>
        <v>102</v>
      </c>
      <c r="AP44">
        <f t="shared" si="22"/>
        <v>70</v>
      </c>
      <c r="AQ44">
        <f t="shared" si="23"/>
        <v>63</v>
      </c>
      <c r="AR44">
        <f t="shared" si="24"/>
        <v>49</v>
      </c>
      <c r="AS44">
        <f t="shared" si="25"/>
        <v>112</v>
      </c>
      <c r="AT44">
        <f t="shared" si="26"/>
        <v>102</v>
      </c>
      <c r="AU44">
        <f t="shared" si="27"/>
        <v>70</v>
      </c>
      <c r="AV44">
        <f t="shared" si="28"/>
        <v>63</v>
      </c>
      <c r="AW44">
        <f t="shared" si="29"/>
        <v>49</v>
      </c>
      <c r="AX44">
        <f t="shared" si="3"/>
        <v>156</v>
      </c>
      <c r="AY44">
        <f t="shared" si="4"/>
        <v>142</v>
      </c>
      <c r="AZ44">
        <f t="shared" si="5"/>
        <v>110</v>
      </c>
      <c r="BA44">
        <f t="shared" si="6"/>
        <v>99</v>
      </c>
      <c r="BB44">
        <f t="shared" si="7"/>
        <v>85</v>
      </c>
    </row>
    <row r="45" spans="1:54" x14ac:dyDescent="0.15">
      <c r="A45">
        <v>20</v>
      </c>
      <c r="B45" t="s">
        <v>161</v>
      </c>
      <c r="C45">
        <v>25</v>
      </c>
      <c r="D45">
        <v>7</v>
      </c>
      <c r="E45" t="s">
        <v>162</v>
      </c>
      <c r="F45" t="s">
        <v>179</v>
      </c>
      <c r="G45" t="s">
        <v>162</v>
      </c>
      <c r="H45" t="s">
        <v>180</v>
      </c>
      <c r="J45" t="s">
        <v>134</v>
      </c>
      <c r="K45">
        <v>6</v>
      </c>
      <c r="L45">
        <v>0.4</v>
      </c>
      <c r="M45" t="s">
        <v>164</v>
      </c>
      <c r="O45" t="s">
        <v>165</v>
      </c>
      <c r="P45" t="s">
        <v>166</v>
      </c>
      <c r="R45">
        <v>9</v>
      </c>
      <c r="S45">
        <v>35</v>
      </c>
      <c r="T45">
        <v>55</v>
      </c>
      <c r="U45">
        <v>40</v>
      </c>
      <c r="V45">
        <v>50</v>
      </c>
      <c r="W45">
        <v>50</v>
      </c>
      <c r="X45">
        <v>90</v>
      </c>
      <c r="Y45">
        <f t="shared" si="8"/>
        <v>142</v>
      </c>
      <c r="Z45">
        <f t="shared" si="0"/>
        <v>142</v>
      </c>
      <c r="AA45">
        <f t="shared" si="9"/>
        <v>110</v>
      </c>
      <c r="AB45">
        <f t="shared" si="10"/>
        <v>110</v>
      </c>
      <c r="AC45">
        <f t="shared" si="11"/>
        <v>95</v>
      </c>
      <c r="AD45">
        <f t="shared" si="12"/>
        <v>117</v>
      </c>
      <c r="AE45">
        <f t="shared" si="13"/>
        <v>107</v>
      </c>
      <c r="AF45">
        <f t="shared" si="14"/>
        <v>75</v>
      </c>
      <c r="AG45">
        <f t="shared" si="15"/>
        <v>67</v>
      </c>
      <c r="AH45">
        <f t="shared" si="16"/>
        <v>54</v>
      </c>
      <c r="AI45">
        <f t="shared" si="1"/>
        <v>101</v>
      </c>
      <c r="AJ45">
        <f t="shared" si="17"/>
        <v>92</v>
      </c>
      <c r="AK45">
        <f t="shared" si="18"/>
        <v>60</v>
      </c>
      <c r="AL45">
        <f t="shared" si="19"/>
        <v>54</v>
      </c>
      <c r="AM45">
        <f t="shared" si="20"/>
        <v>40</v>
      </c>
      <c r="AN45">
        <f t="shared" si="2"/>
        <v>112</v>
      </c>
      <c r="AO45">
        <f t="shared" si="21"/>
        <v>102</v>
      </c>
      <c r="AP45">
        <f t="shared" si="22"/>
        <v>70</v>
      </c>
      <c r="AQ45">
        <f t="shared" si="23"/>
        <v>63</v>
      </c>
      <c r="AR45">
        <f t="shared" si="24"/>
        <v>49</v>
      </c>
      <c r="AS45">
        <f t="shared" si="25"/>
        <v>112</v>
      </c>
      <c r="AT45">
        <f t="shared" si="26"/>
        <v>102</v>
      </c>
      <c r="AU45">
        <f t="shared" si="27"/>
        <v>70</v>
      </c>
      <c r="AV45">
        <f t="shared" si="28"/>
        <v>63</v>
      </c>
      <c r="AW45">
        <f t="shared" si="29"/>
        <v>49</v>
      </c>
      <c r="AX45">
        <f t="shared" si="3"/>
        <v>156</v>
      </c>
      <c r="AY45">
        <f t="shared" si="4"/>
        <v>142</v>
      </c>
      <c r="AZ45">
        <f t="shared" si="5"/>
        <v>110</v>
      </c>
      <c r="BA45">
        <f t="shared" si="6"/>
        <v>99</v>
      </c>
      <c r="BB45">
        <f t="shared" si="7"/>
        <v>85</v>
      </c>
    </row>
    <row r="46" spans="1:54" x14ac:dyDescent="0.15">
      <c r="A46">
        <v>21</v>
      </c>
      <c r="B46" t="s">
        <v>161</v>
      </c>
      <c r="C46">
        <v>25</v>
      </c>
      <c r="D46">
        <v>8</v>
      </c>
      <c r="E46" t="s">
        <v>162</v>
      </c>
      <c r="F46" t="s">
        <v>181</v>
      </c>
      <c r="G46" t="s">
        <v>162</v>
      </c>
      <c r="H46" t="s">
        <v>182</v>
      </c>
      <c r="J46" t="s">
        <v>134</v>
      </c>
      <c r="K46">
        <v>6</v>
      </c>
      <c r="L46">
        <v>0.4</v>
      </c>
      <c r="M46" t="s">
        <v>164</v>
      </c>
      <c r="O46" t="s">
        <v>165</v>
      </c>
      <c r="P46" t="s">
        <v>166</v>
      </c>
      <c r="R46">
        <v>9</v>
      </c>
      <c r="S46">
        <v>35</v>
      </c>
      <c r="T46">
        <v>55</v>
      </c>
      <c r="U46">
        <v>40</v>
      </c>
      <c r="V46">
        <v>50</v>
      </c>
      <c r="W46">
        <v>50</v>
      </c>
      <c r="X46">
        <v>90</v>
      </c>
      <c r="Y46">
        <f t="shared" si="8"/>
        <v>142</v>
      </c>
      <c r="Z46">
        <f t="shared" si="0"/>
        <v>142</v>
      </c>
      <c r="AA46">
        <f t="shared" si="9"/>
        <v>110</v>
      </c>
      <c r="AB46">
        <f t="shared" si="10"/>
        <v>110</v>
      </c>
      <c r="AC46">
        <f t="shared" si="11"/>
        <v>95</v>
      </c>
      <c r="AD46">
        <f t="shared" si="12"/>
        <v>117</v>
      </c>
      <c r="AE46">
        <f t="shared" si="13"/>
        <v>107</v>
      </c>
      <c r="AF46">
        <f t="shared" si="14"/>
        <v>75</v>
      </c>
      <c r="AG46">
        <f t="shared" si="15"/>
        <v>67</v>
      </c>
      <c r="AH46">
        <f t="shared" si="16"/>
        <v>54</v>
      </c>
      <c r="AI46">
        <f t="shared" si="1"/>
        <v>101</v>
      </c>
      <c r="AJ46">
        <f t="shared" si="17"/>
        <v>92</v>
      </c>
      <c r="AK46">
        <f t="shared" si="18"/>
        <v>60</v>
      </c>
      <c r="AL46">
        <f t="shared" si="19"/>
        <v>54</v>
      </c>
      <c r="AM46">
        <f t="shared" si="20"/>
        <v>40</v>
      </c>
      <c r="AN46">
        <f t="shared" si="2"/>
        <v>112</v>
      </c>
      <c r="AO46">
        <f t="shared" si="21"/>
        <v>102</v>
      </c>
      <c r="AP46">
        <f t="shared" si="22"/>
        <v>70</v>
      </c>
      <c r="AQ46">
        <f t="shared" si="23"/>
        <v>63</v>
      </c>
      <c r="AR46">
        <f t="shared" si="24"/>
        <v>49</v>
      </c>
      <c r="AS46">
        <f t="shared" si="25"/>
        <v>112</v>
      </c>
      <c r="AT46">
        <f t="shared" si="26"/>
        <v>102</v>
      </c>
      <c r="AU46">
        <f t="shared" si="27"/>
        <v>70</v>
      </c>
      <c r="AV46">
        <f t="shared" si="28"/>
        <v>63</v>
      </c>
      <c r="AW46">
        <f t="shared" si="29"/>
        <v>49</v>
      </c>
      <c r="AX46">
        <f t="shared" si="3"/>
        <v>156</v>
      </c>
      <c r="AY46">
        <f t="shared" si="4"/>
        <v>142</v>
      </c>
      <c r="AZ46">
        <f t="shared" si="5"/>
        <v>110</v>
      </c>
      <c r="BA46">
        <f t="shared" si="6"/>
        <v>99</v>
      </c>
      <c r="BB46">
        <f t="shared" si="7"/>
        <v>85</v>
      </c>
    </row>
    <row r="47" spans="1:54" x14ac:dyDescent="0.15">
      <c r="B47" t="s">
        <v>183</v>
      </c>
      <c r="C47">
        <v>25</v>
      </c>
      <c r="D47">
        <v>999</v>
      </c>
      <c r="E47" t="s">
        <v>162</v>
      </c>
      <c r="F47" t="s">
        <v>40</v>
      </c>
      <c r="G47" t="s">
        <v>184</v>
      </c>
      <c r="J47" t="s">
        <v>42</v>
      </c>
      <c r="K47">
        <v>9999.9</v>
      </c>
      <c r="L47">
        <v>21</v>
      </c>
      <c r="M47" t="s">
        <v>164</v>
      </c>
      <c r="O47" t="s">
        <v>165</v>
      </c>
      <c r="P47" t="s">
        <v>166</v>
      </c>
      <c r="R47">
        <v>8</v>
      </c>
      <c r="S47">
        <v>35</v>
      </c>
      <c r="T47">
        <v>55</v>
      </c>
      <c r="U47">
        <v>40</v>
      </c>
      <c r="V47">
        <v>50</v>
      </c>
      <c r="W47">
        <v>50</v>
      </c>
      <c r="X47">
        <v>90</v>
      </c>
      <c r="Y47">
        <f t="shared" si="8"/>
        <v>142</v>
      </c>
      <c r="Z47">
        <f t="shared" si="0"/>
        <v>142</v>
      </c>
      <c r="AA47">
        <f t="shared" si="9"/>
        <v>110</v>
      </c>
      <c r="AB47">
        <f t="shared" si="10"/>
        <v>110</v>
      </c>
      <c r="AC47">
        <f t="shared" si="11"/>
        <v>95</v>
      </c>
      <c r="AD47">
        <f t="shared" si="12"/>
        <v>117</v>
      </c>
      <c r="AE47">
        <f t="shared" si="13"/>
        <v>107</v>
      </c>
      <c r="AF47">
        <f t="shared" si="14"/>
        <v>75</v>
      </c>
      <c r="AG47">
        <f t="shared" si="15"/>
        <v>67</v>
      </c>
      <c r="AH47">
        <f t="shared" si="16"/>
        <v>54</v>
      </c>
      <c r="AI47">
        <f t="shared" si="1"/>
        <v>101</v>
      </c>
      <c r="AJ47">
        <f t="shared" si="17"/>
        <v>92</v>
      </c>
      <c r="AK47">
        <f t="shared" si="18"/>
        <v>60</v>
      </c>
      <c r="AL47">
        <f t="shared" si="19"/>
        <v>54</v>
      </c>
      <c r="AM47">
        <f t="shared" si="20"/>
        <v>40</v>
      </c>
      <c r="AN47">
        <f t="shared" si="2"/>
        <v>112</v>
      </c>
      <c r="AO47">
        <f t="shared" si="21"/>
        <v>102</v>
      </c>
      <c r="AP47">
        <f t="shared" si="22"/>
        <v>70</v>
      </c>
      <c r="AQ47">
        <f t="shared" si="23"/>
        <v>63</v>
      </c>
      <c r="AR47">
        <f t="shared" si="24"/>
        <v>49</v>
      </c>
      <c r="AS47">
        <f t="shared" si="25"/>
        <v>112</v>
      </c>
      <c r="AT47">
        <f t="shared" si="26"/>
        <v>102</v>
      </c>
      <c r="AU47">
        <f t="shared" si="27"/>
        <v>70</v>
      </c>
      <c r="AV47">
        <f t="shared" si="28"/>
        <v>63</v>
      </c>
      <c r="AW47">
        <f t="shared" si="29"/>
        <v>49</v>
      </c>
      <c r="AX47">
        <f t="shared" si="3"/>
        <v>156</v>
      </c>
      <c r="AY47">
        <f t="shared" si="4"/>
        <v>142</v>
      </c>
      <c r="AZ47">
        <f t="shared" si="5"/>
        <v>110</v>
      </c>
      <c r="BA47">
        <f t="shared" si="6"/>
        <v>99</v>
      </c>
      <c r="BB47">
        <f t="shared" si="7"/>
        <v>85</v>
      </c>
    </row>
    <row r="48" spans="1:54" x14ac:dyDescent="0.15">
      <c r="A48">
        <v>22</v>
      </c>
      <c r="B48" t="s">
        <v>185</v>
      </c>
      <c r="C48">
        <v>26</v>
      </c>
      <c r="D48">
        <v>0</v>
      </c>
      <c r="E48" t="s">
        <v>186</v>
      </c>
      <c r="G48" t="s">
        <v>186</v>
      </c>
      <c r="H48" t="s">
        <v>187</v>
      </c>
      <c r="J48" t="s">
        <v>134</v>
      </c>
      <c r="K48">
        <v>30</v>
      </c>
      <c r="L48">
        <v>0.8</v>
      </c>
      <c r="M48" t="s">
        <v>164</v>
      </c>
      <c r="O48" t="s">
        <v>165</v>
      </c>
      <c r="P48" t="s">
        <v>166</v>
      </c>
      <c r="R48">
        <v>9</v>
      </c>
      <c r="S48">
        <v>60</v>
      </c>
      <c r="T48">
        <v>90</v>
      </c>
      <c r="U48">
        <v>55</v>
      </c>
      <c r="V48">
        <v>90</v>
      </c>
      <c r="W48">
        <v>80</v>
      </c>
      <c r="X48">
        <v>110</v>
      </c>
      <c r="Y48">
        <f t="shared" si="8"/>
        <v>167</v>
      </c>
      <c r="Z48">
        <f t="shared" si="0"/>
        <v>167</v>
      </c>
      <c r="AA48">
        <f t="shared" si="9"/>
        <v>135</v>
      </c>
      <c r="AB48">
        <f t="shared" si="10"/>
        <v>135</v>
      </c>
      <c r="AC48">
        <f t="shared" si="11"/>
        <v>120</v>
      </c>
      <c r="AD48">
        <f t="shared" si="12"/>
        <v>156</v>
      </c>
      <c r="AE48">
        <f t="shared" si="13"/>
        <v>142</v>
      </c>
      <c r="AF48">
        <f t="shared" si="14"/>
        <v>110</v>
      </c>
      <c r="AG48">
        <f t="shared" si="15"/>
        <v>99</v>
      </c>
      <c r="AH48">
        <f t="shared" si="16"/>
        <v>85</v>
      </c>
      <c r="AI48">
        <f t="shared" si="1"/>
        <v>117</v>
      </c>
      <c r="AJ48">
        <f t="shared" si="17"/>
        <v>107</v>
      </c>
      <c r="AK48">
        <f t="shared" si="18"/>
        <v>75</v>
      </c>
      <c r="AL48">
        <f t="shared" si="19"/>
        <v>67</v>
      </c>
      <c r="AM48">
        <f t="shared" si="20"/>
        <v>54</v>
      </c>
      <c r="AN48">
        <f t="shared" si="2"/>
        <v>156</v>
      </c>
      <c r="AO48">
        <f t="shared" si="21"/>
        <v>142</v>
      </c>
      <c r="AP48">
        <f t="shared" si="22"/>
        <v>110</v>
      </c>
      <c r="AQ48">
        <f t="shared" si="23"/>
        <v>99</v>
      </c>
      <c r="AR48">
        <f t="shared" si="24"/>
        <v>85</v>
      </c>
      <c r="AS48">
        <f t="shared" si="25"/>
        <v>145</v>
      </c>
      <c r="AT48">
        <f t="shared" si="26"/>
        <v>132</v>
      </c>
      <c r="AU48">
        <f t="shared" si="27"/>
        <v>100</v>
      </c>
      <c r="AV48">
        <f t="shared" si="28"/>
        <v>90</v>
      </c>
      <c r="AW48">
        <f t="shared" si="29"/>
        <v>76</v>
      </c>
      <c r="AX48">
        <f t="shared" si="3"/>
        <v>178</v>
      </c>
      <c r="AY48">
        <f t="shared" si="4"/>
        <v>162</v>
      </c>
      <c r="AZ48">
        <f t="shared" si="5"/>
        <v>130</v>
      </c>
      <c r="BA48">
        <f t="shared" si="6"/>
        <v>117</v>
      </c>
      <c r="BB48">
        <f t="shared" si="7"/>
        <v>103</v>
      </c>
    </row>
    <row r="49" spans="1:54" x14ac:dyDescent="0.15">
      <c r="A49">
        <v>23</v>
      </c>
      <c r="B49" t="s">
        <v>188</v>
      </c>
      <c r="C49">
        <v>26</v>
      </c>
      <c r="D49">
        <v>1</v>
      </c>
      <c r="E49" t="s">
        <v>186</v>
      </c>
      <c r="F49" t="s">
        <v>138</v>
      </c>
      <c r="G49" t="s">
        <v>189</v>
      </c>
      <c r="H49" t="s">
        <v>190</v>
      </c>
      <c r="J49" t="s">
        <v>134</v>
      </c>
      <c r="K49">
        <v>21</v>
      </c>
      <c r="L49">
        <v>0.7</v>
      </c>
      <c r="M49" t="s">
        <v>164</v>
      </c>
      <c r="N49" t="s">
        <v>191</v>
      </c>
      <c r="O49" t="s">
        <v>192</v>
      </c>
      <c r="P49" t="s">
        <v>166</v>
      </c>
      <c r="R49">
        <v>9</v>
      </c>
      <c r="S49">
        <v>60</v>
      </c>
      <c r="T49">
        <v>85</v>
      </c>
      <c r="U49">
        <v>50</v>
      </c>
      <c r="V49">
        <v>95</v>
      </c>
      <c r="W49">
        <v>85</v>
      </c>
      <c r="X49">
        <v>110</v>
      </c>
      <c r="Y49">
        <f t="shared" si="8"/>
        <v>167</v>
      </c>
      <c r="Z49">
        <f t="shared" si="0"/>
        <v>167</v>
      </c>
      <c r="AA49">
        <f t="shared" si="9"/>
        <v>135</v>
      </c>
      <c r="AB49">
        <f t="shared" si="10"/>
        <v>135</v>
      </c>
      <c r="AC49">
        <f t="shared" si="11"/>
        <v>120</v>
      </c>
      <c r="AD49">
        <f t="shared" si="12"/>
        <v>150</v>
      </c>
      <c r="AE49">
        <f t="shared" si="13"/>
        <v>137</v>
      </c>
      <c r="AF49">
        <f t="shared" si="14"/>
        <v>105</v>
      </c>
      <c r="AG49">
        <f t="shared" si="15"/>
        <v>94</v>
      </c>
      <c r="AH49">
        <f t="shared" si="16"/>
        <v>81</v>
      </c>
      <c r="AI49">
        <f t="shared" si="1"/>
        <v>112</v>
      </c>
      <c r="AJ49">
        <f t="shared" si="17"/>
        <v>102</v>
      </c>
      <c r="AK49">
        <f t="shared" si="18"/>
        <v>70</v>
      </c>
      <c r="AL49">
        <f t="shared" si="19"/>
        <v>63</v>
      </c>
      <c r="AM49">
        <f t="shared" si="20"/>
        <v>49</v>
      </c>
      <c r="AN49">
        <f t="shared" si="2"/>
        <v>161</v>
      </c>
      <c r="AO49">
        <f t="shared" si="21"/>
        <v>147</v>
      </c>
      <c r="AP49">
        <f t="shared" si="22"/>
        <v>115</v>
      </c>
      <c r="AQ49">
        <f t="shared" si="23"/>
        <v>103</v>
      </c>
      <c r="AR49">
        <f t="shared" si="24"/>
        <v>90</v>
      </c>
      <c r="AS49">
        <f t="shared" si="25"/>
        <v>150</v>
      </c>
      <c r="AT49">
        <f t="shared" si="26"/>
        <v>137</v>
      </c>
      <c r="AU49">
        <f t="shared" si="27"/>
        <v>105</v>
      </c>
      <c r="AV49">
        <f t="shared" si="28"/>
        <v>94</v>
      </c>
      <c r="AW49">
        <f t="shared" si="29"/>
        <v>81</v>
      </c>
      <c r="AX49">
        <f t="shared" si="3"/>
        <v>178</v>
      </c>
      <c r="AY49">
        <f t="shared" si="4"/>
        <v>162</v>
      </c>
      <c r="AZ49">
        <f t="shared" si="5"/>
        <v>130</v>
      </c>
      <c r="BA49">
        <f t="shared" si="6"/>
        <v>117</v>
      </c>
      <c r="BB49">
        <f t="shared" si="7"/>
        <v>103</v>
      </c>
    </row>
    <row r="50" spans="1:54" x14ac:dyDescent="0.15">
      <c r="A50">
        <v>24</v>
      </c>
      <c r="B50" t="s">
        <v>193</v>
      </c>
      <c r="C50">
        <v>27</v>
      </c>
      <c r="D50">
        <v>0</v>
      </c>
      <c r="E50" t="s">
        <v>194</v>
      </c>
      <c r="G50" t="s">
        <v>194</v>
      </c>
      <c r="H50" t="s">
        <v>195</v>
      </c>
      <c r="J50" t="s">
        <v>134</v>
      </c>
      <c r="K50">
        <v>12</v>
      </c>
      <c r="L50">
        <v>0.6</v>
      </c>
      <c r="M50" t="s">
        <v>196</v>
      </c>
      <c r="O50" t="s">
        <v>197</v>
      </c>
      <c r="P50" t="s">
        <v>198</v>
      </c>
      <c r="R50">
        <v>9</v>
      </c>
      <c r="S50">
        <v>50</v>
      </c>
      <c r="T50">
        <v>75</v>
      </c>
      <c r="U50">
        <v>85</v>
      </c>
      <c r="V50">
        <v>20</v>
      </c>
      <c r="W50">
        <v>30</v>
      </c>
      <c r="X50">
        <v>40</v>
      </c>
      <c r="Y50">
        <f t="shared" si="8"/>
        <v>157</v>
      </c>
      <c r="Z50">
        <f t="shared" si="0"/>
        <v>157</v>
      </c>
      <c r="AA50">
        <f t="shared" si="9"/>
        <v>125</v>
      </c>
      <c r="AB50">
        <f t="shared" si="10"/>
        <v>125</v>
      </c>
      <c r="AC50">
        <f t="shared" si="11"/>
        <v>110</v>
      </c>
      <c r="AD50">
        <f t="shared" si="12"/>
        <v>139</v>
      </c>
      <c r="AE50">
        <f t="shared" si="13"/>
        <v>127</v>
      </c>
      <c r="AF50">
        <f t="shared" si="14"/>
        <v>95</v>
      </c>
      <c r="AG50">
        <f t="shared" si="15"/>
        <v>85</v>
      </c>
      <c r="AH50">
        <f t="shared" si="16"/>
        <v>72</v>
      </c>
      <c r="AI50">
        <f t="shared" si="1"/>
        <v>150</v>
      </c>
      <c r="AJ50">
        <f t="shared" si="17"/>
        <v>137</v>
      </c>
      <c r="AK50">
        <f t="shared" si="18"/>
        <v>105</v>
      </c>
      <c r="AL50">
        <f t="shared" si="19"/>
        <v>94</v>
      </c>
      <c r="AM50">
        <f t="shared" si="20"/>
        <v>81</v>
      </c>
      <c r="AN50">
        <f t="shared" si="2"/>
        <v>79</v>
      </c>
      <c r="AO50">
        <f t="shared" si="21"/>
        <v>72</v>
      </c>
      <c r="AP50">
        <f t="shared" si="22"/>
        <v>40</v>
      </c>
      <c r="AQ50">
        <f t="shared" si="23"/>
        <v>36</v>
      </c>
      <c r="AR50">
        <f t="shared" si="24"/>
        <v>22</v>
      </c>
      <c r="AS50">
        <f t="shared" si="25"/>
        <v>90</v>
      </c>
      <c r="AT50">
        <f t="shared" si="26"/>
        <v>82</v>
      </c>
      <c r="AU50">
        <f t="shared" si="27"/>
        <v>50</v>
      </c>
      <c r="AV50">
        <f t="shared" si="28"/>
        <v>45</v>
      </c>
      <c r="AW50">
        <f t="shared" si="29"/>
        <v>31</v>
      </c>
      <c r="AX50">
        <f t="shared" si="3"/>
        <v>101</v>
      </c>
      <c r="AY50">
        <f t="shared" si="4"/>
        <v>92</v>
      </c>
      <c r="AZ50">
        <f t="shared" si="5"/>
        <v>60</v>
      </c>
      <c r="BA50">
        <f t="shared" si="6"/>
        <v>54</v>
      </c>
      <c r="BB50">
        <f t="shared" si="7"/>
        <v>40</v>
      </c>
    </row>
    <row r="51" spans="1:54" x14ac:dyDescent="0.15">
      <c r="A51">
        <v>25</v>
      </c>
      <c r="B51" t="s">
        <v>199</v>
      </c>
      <c r="C51">
        <v>27</v>
      </c>
      <c r="D51">
        <v>1</v>
      </c>
      <c r="E51" t="s">
        <v>194</v>
      </c>
      <c r="F51" t="s">
        <v>138</v>
      </c>
      <c r="G51" t="s">
        <v>200</v>
      </c>
      <c r="H51" t="s">
        <v>201</v>
      </c>
      <c r="J51" t="s">
        <v>134</v>
      </c>
      <c r="K51">
        <v>40</v>
      </c>
      <c r="L51">
        <v>0.7</v>
      </c>
      <c r="M51" t="s">
        <v>202</v>
      </c>
      <c r="N51" t="s">
        <v>203</v>
      </c>
      <c r="O51" t="s">
        <v>204</v>
      </c>
      <c r="P51" t="s">
        <v>198</v>
      </c>
      <c r="Q51" t="s">
        <v>205</v>
      </c>
      <c r="R51">
        <v>9</v>
      </c>
      <c r="S51">
        <v>50</v>
      </c>
      <c r="T51">
        <v>75</v>
      </c>
      <c r="U51">
        <v>90</v>
      </c>
      <c r="V51">
        <v>10</v>
      </c>
      <c r="W51">
        <v>35</v>
      </c>
      <c r="X51">
        <v>40</v>
      </c>
      <c r="Y51">
        <f t="shared" si="8"/>
        <v>157</v>
      </c>
      <c r="Z51">
        <f t="shared" si="0"/>
        <v>157</v>
      </c>
      <c r="AA51">
        <f t="shared" si="9"/>
        <v>125</v>
      </c>
      <c r="AB51">
        <f t="shared" si="10"/>
        <v>125</v>
      </c>
      <c r="AC51">
        <f t="shared" si="11"/>
        <v>110</v>
      </c>
      <c r="AD51">
        <f t="shared" si="12"/>
        <v>139</v>
      </c>
      <c r="AE51">
        <f t="shared" si="13"/>
        <v>127</v>
      </c>
      <c r="AF51">
        <f t="shared" si="14"/>
        <v>95</v>
      </c>
      <c r="AG51">
        <f t="shared" si="15"/>
        <v>85</v>
      </c>
      <c r="AH51">
        <f t="shared" si="16"/>
        <v>72</v>
      </c>
      <c r="AI51">
        <f t="shared" si="1"/>
        <v>156</v>
      </c>
      <c r="AJ51">
        <f t="shared" si="17"/>
        <v>142</v>
      </c>
      <c r="AK51">
        <f t="shared" si="18"/>
        <v>110</v>
      </c>
      <c r="AL51">
        <f t="shared" si="19"/>
        <v>99</v>
      </c>
      <c r="AM51">
        <f t="shared" si="20"/>
        <v>85</v>
      </c>
      <c r="AN51">
        <f t="shared" si="2"/>
        <v>68</v>
      </c>
      <c r="AO51">
        <f t="shared" si="21"/>
        <v>62</v>
      </c>
      <c r="AP51">
        <f t="shared" si="22"/>
        <v>30</v>
      </c>
      <c r="AQ51">
        <f t="shared" si="23"/>
        <v>27</v>
      </c>
      <c r="AR51">
        <f t="shared" si="24"/>
        <v>13</v>
      </c>
      <c r="AS51">
        <f t="shared" si="25"/>
        <v>95</v>
      </c>
      <c r="AT51">
        <f t="shared" si="26"/>
        <v>87</v>
      </c>
      <c r="AU51">
        <f t="shared" si="27"/>
        <v>55</v>
      </c>
      <c r="AV51">
        <f t="shared" si="28"/>
        <v>49</v>
      </c>
      <c r="AW51">
        <f t="shared" si="29"/>
        <v>36</v>
      </c>
      <c r="AX51">
        <f t="shared" si="3"/>
        <v>101</v>
      </c>
      <c r="AY51">
        <f t="shared" si="4"/>
        <v>92</v>
      </c>
      <c r="AZ51">
        <f t="shared" si="5"/>
        <v>60</v>
      </c>
      <c r="BA51">
        <f t="shared" si="6"/>
        <v>54</v>
      </c>
      <c r="BB51">
        <f t="shared" si="7"/>
        <v>40</v>
      </c>
    </row>
    <row r="52" spans="1:54" x14ac:dyDescent="0.15">
      <c r="A52">
        <v>26</v>
      </c>
      <c r="B52" t="s">
        <v>206</v>
      </c>
      <c r="C52">
        <v>28</v>
      </c>
      <c r="D52">
        <v>0</v>
      </c>
      <c r="E52" t="s">
        <v>207</v>
      </c>
      <c r="G52" t="s">
        <v>207</v>
      </c>
      <c r="H52" t="s">
        <v>208</v>
      </c>
      <c r="J52" t="s">
        <v>134</v>
      </c>
      <c r="K52">
        <v>29.5</v>
      </c>
      <c r="L52">
        <v>1</v>
      </c>
      <c r="M52" t="s">
        <v>196</v>
      </c>
      <c r="O52" t="s">
        <v>197</v>
      </c>
      <c r="P52" t="s">
        <v>198</v>
      </c>
      <c r="R52">
        <v>9</v>
      </c>
      <c r="S52">
        <v>75</v>
      </c>
      <c r="T52">
        <v>100</v>
      </c>
      <c r="U52">
        <v>110</v>
      </c>
      <c r="V52">
        <v>45</v>
      </c>
      <c r="W52">
        <v>55</v>
      </c>
      <c r="X52">
        <v>65</v>
      </c>
      <c r="Y52">
        <f t="shared" si="8"/>
        <v>182</v>
      </c>
      <c r="Z52">
        <f t="shared" si="0"/>
        <v>182</v>
      </c>
      <c r="AA52">
        <f t="shared" si="9"/>
        <v>150</v>
      </c>
      <c r="AB52">
        <f t="shared" si="10"/>
        <v>150</v>
      </c>
      <c r="AC52">
        <f t="shared" si="11"/>
        <v>135</v>
      </c>
      <c r="AD52">
        <f t="shared" si="12"/>
        <v>167</v>
      </c>
      <c r="AE52">
        <f t="shared" si="13"/>
        <v>152</v>
      </c>
      <c r="AF52">
        <f t="shared" si="14"/>
        <v>120</v>
      </c>
      <c r="AG52">
        <f t="shared" si="15"/>
        <v>108</v>
      </c>
      <c r="AH52">
        <f t="shared" si="16"/>
        <v>94</v>
      </c>
      <c r="AI52">
        <f t="shared" si="1"/>
        <v>178</v>
      </c>
      <c r="AJ52">
        <f t="shared" si="17"/>
        <v>162</v>
      </c>
      <c r="AK52">
        <f t="shared" si="18"/>
        <v>130</v>
      </c>
      <c r="AL52">
        <f t="shared" si="19"/>
        <v>117</v>
      </c>
      <c r="AM52">
        <f t="shared" si="20"/>
        <v>103</v>
      </c>
      <c r="AN52">
        <f t="shared" si="2"/>
        <v>106</v>
      </c>
      <c r="AO52">
        <f t="shared" si="21"/>
        <v>97</v>
      </c>
      <c r="AP52">
        <f t="shared" si="22"/>
        <v>65</v>
      </c>
      <c r="AQ52">
        <f t="shared" si="23"/>
        <v>58</v>
      </c>
      <c r="AR52">
        <f t="shared" si="24"/>
        <v>45</v>
      </c>
      <c r="AS52">
        <f t="shared" si="25"/>
        <v>117</v>
      </c>
      <c r="AT52">
        <f t="shared" si="26"/>
        <v>107</v>
      </c>
      <c r="AU52">
        <f t="shared" si="27"/>
        <v>75</v>
      </c>
      <c r="AV52">
        <f t="shared" si="28"/>
        <v>67</v>
      </c>
      <c r="AW52">
        <f t="shared" si="29"/>
        <v>54</v>
      </c>
      <c r="AX52">
        <f t="shared" si="3"/>
        <v>128</v>
      </c>
      <c r="AY52">
        <f t="shared" si="4"/>
        <v>117</v>
      </c>
      <c r="AZ52">
        <f t="shared" si="5"/>
        <v>85</v>
      </c>
      <c r="BA52">
        <f t="shared" si="6"/>
        <v>76</v>
      </c>
      <c r="BB52">
        <f t="shared" si="7"/>
        <v>63</v>
      </c>
    </row>
    <row r="53" spans="1:54" x14ac:dyDescent="0.15">
      <c r="A53">
        <v>27</v>
      </c>
      <c r="B53" t="s">
        <v>209</v>
      </c>
      <c r="C53">
        <v>28</v>
      </c>
      <c r="D53">
        <v>1</v>
      </c>
      <c r="E53" t="s">
        <v>207</v>
      </c>
      <c r="F53" t="s">
        <v>138</v>
      </c>
      <c r="G53" t="s">
        <v>210</v>
      </c>
      <c r="H53" t="s">
        <v>211</v>
      </c>
      <c r="J53" t="s">
        <v>134</v>
      </c>
      <c r="K53">
        <v>55</v>
      </c>
      <c r="L53">
        <v>1.2</v>
      </c>
      <c r="M53" t="s">
        <v>202</v>
      </c>
      <c r="N53" t="s">
        <v>203</v>
      </c>
      <c r="O53" t="s">
        <v>204</v>
      </c>
      <c r="P53" t="s">
        <v>198</v>
      </c>
      <c r="Q53" t="s">
        <v>205</v>
      </c>
      <c r="R53">
        <v>9</v>
      </c>
      <c r="S53">
        <v>75</v>
      </c>
      <c r="T53">
        <v>100</v>
      </c>
      <c r="U53">
        <v>120</v>
      </c>
      <c r="V53">
        <v>25</v>
      </c>
      <c r="W53">
        <v>65</v>
      </c>
      <c r="X53">
        <v>65</v>
      </c>
      <c r="Y53">
        <f t="shared" si="8"/>
        <v>182</v>
      </c>
      <c r="Z53">
        <f t="shared" si="0"/>
        <v>182</v>
      </c>
      <c r="AA53">
        <f t="shared" si="9"/>
        <v>150</v>
      </c>
      <c r="AB53">
        <f t="shared" si="10"/>
        <v>150</v>
      </c>
      <c r="AC53">
        <f t="shared" si="11"/>
        <v>135</v>
      </c>
      <c r="AD53">
        <f t="shared" si="12"/>
        <v>167</v>
      </c>
      <c r="AE53">
        <f t="shared" si="13"/>
        <v>152</v>
      </c>
      <c r="AF53">
        <f t="shared" si="14"/>
        <v>120</v>
      </c>
      <c r="AG53">
        <f t="shared" si="15"/>
        <v>108</v>
      </c>
      <c r="AH53">
        <f t="shared" si="16"/>
        <v>94</v>
      </c>
      <c r="AI53">
        <f t="shared" si="1"/>
        <v>189</v>
      </c>
      <c r="AJ53">
        <f t="shared" si="17"/>
        <v>172</v>
      </c>
      <c r="AK53">
        <f t="shared" si="18"/>
        <v>140</v>
      </c>
      <c r="AL53">
        <f t="shared" si="19"/>
        <v>126</v>
      </c>
      <c r="AM53">
        <f t="shared" si="20"/>
        <v>112</v>
      </c>
      <c r="AN53">
        <f t="shared" si="2"/>
        <v>84</v>
      </c>
      <c r="AO53">
        <f t="shared" si="21"/>
        <v>77</v>
      </c>
      <c r="AP53">
        <f t="shared" si="22"/>
        <v>45</v>
      </c>
      <c r="AQ53">
        <f t="shared" si="23"/>
        <v>40</v>
      </c>
      <c r="AR53">
        <f t="shared" si="24"/>
        <v>27</v>
      </c>
      <c r="AS53">
        <f t="shared" si="25"/>
        <v>128</v>
      </c>
      <c r="AT53">
        <f t="shared" si="26"/>
        <v>117</v>
      </c>
      <c r="AU53">
        <f t="shared" si="27"/>
        <v>85</v>
      </c>
      <c r="AV53">
        <f t="shared" si="28"/>
        <v>76</v>
      </c>
      <c r="AW53">
        <f t="shared" si="29"/>
        <v>63</v>
      </c>
      <c r="AX53">
        <f t="shared" si="3"/>
        <v>128</v>
      </c>
      <c r="AY53">
        <f t="shared" si="4"/>
        <v>117</v>
      </c>
      <c r="AZ53">
        <f t="shared" si="5"/>
        <v>85</v>
      </c>
      <c r="BA53">
        <f t="shared" si="6"/>
        <v>76</v>
      </c>
      <c r="BB53">
        <f t="shared" si="7"/>
        <v>63</v>
      </c>
    </row>
    <row r="54" spans="1:54" x14ac:dyDescent="0.15">
      <c r="B54" t="s">
        <v>212</v>
      </c>
      <c r="C54">
        <v>29</v>
      </c>
      <c r="D54">
        <v>0</v>
      </c>
      <c r="E54" t="s">
        <v>213</v>
      </c>
      <c r="G54" t="s">
        <v>213</v>
      </c>
      <c r="J54" t="s">
        <v>214</v>
      </c>
      <c r="K54">
        <v>7</v>
      </c>
      <c r="L54">
        <v>0.4</v>
      </c>
      <c r="M54" t="s">
        <v>27</v>
      </c>
      <c r="O54" t="s">
        <v>215</v>
      </c>
      <c r="P54" t="s">
        <v>216</v>
      </c>
      <c r="Q54" t="s">
        <v>136</v>
      </c>
      <c r="R54">
        <v>8</v>
      </c>
      <c r="S54">
        <v>55</v>
      </c>
      <c r="T54">
        <v>47</v>
      </c>
      <c r="U54">
        <v>52</v>
      </c>
      <c r="V54">
        <v>40</v>
      </c>
      <c r="W54">
        <v>40</v>
      </c>
      <c r="X54">
        <v>41</v>
      </c>
      <c r="Y54">
        <f t="shared" si="8"/>
        <v>162</v>
      </c>
      <c r="Z54">
        <f t="shared" si="0"/>
        <v>162</v>
      </c>
      <c r="AA54">
        <f t="shared" si="9"/>
        <v>130</v>
      </c>
      <c r="AB54">
        <f t="shared" si="10"/>
        <v>130</v>
      </c>
      <c r="AC54">
        <f t="shared" si="11"/>
        <v>115</v>
      </c>
      <c r="AD54">
        <f t="shared" si="12"/>
        <v>108</v>
      </c>
      <c r="AE54">
        <f t="shared" si="13"/>
        <v>99</v>
      </c>
      <c r="AF54">
        <f t="shared" si="14"/>
        <v>67</v>
      </c>
      <c r="AG54">
        <f t="shared" si="15"/>
        <v>60</v>
      </c>
      <c r="AH54">
        <f t="shared" si="16"/>
        <v>46</v>
      </c>
      <c r="AI54">
        <f t="shared" si="1"/>
        <v>114</v>
      </c>
      <c r="AJ54">
        <f t="shared" si="17"/>
        <v>104</v>
      </c>
      <c r="AK54">
        <f t="shared" si="18"/>
        <v>72</v>
      </c>
      <c r="AL54">
        <f t="shared" si="19"/>
        <v>64</v>
      </c>
      <c r="AM54">
        <f t="shared" si="20"/>
        <v>51</v>
      </c>
      <c r="AN54">
        <f t="shared" si="2"/>
        <v>101</v>
      </c>
      <c r="AO54">
        <f t="shared" si="21"/>
        <v>92</v>
      </c>
      <c r="AP54">
        <f t="shared" si="22"/>
        <v>60</v>
      </c>
      <c r="AQ54">
        <f t="shared" si="23"/>
        <v>54</v>
      </c>
      <c r="AR54">
        <f t="shared" si="24"/>
        <v>40</v>
      </c>
      <c r="AS54">
        <f t="shared" si="25"/>
        <v>101</v>
      </c>
      <c r="AT54">
        <f t="shared" si="26"/>
        <v>92</v>
      </c>
      <c r="AU54">
        <f t="shared" si="27"/>
        <v>60</v>
      </c>
      <c r="AV54">
        <f t="shared" si="28"/>
        <v>54</v>
      </c>
      <c r="AW54">
        <f t="shared" si="29"/>
        <v>40</v>
      </c>
      <c r="AX54">
        <f t="shared" si="3"/>
        <v>102</v>
      </c>
      <c r="AY54">
        <f t="shared" si="4"/>
        <v>93</v>
      </c>
      <c r="AZ54">
        <f t="shared" si="5"/>
        <v>61</v>
      </c>
      <c r="BA54">
        <f t="shared" si="6"/>
        <v>54</v>
      </c>
      <c r="BB54">
        <f t="shared" si="7"/>
        <v>41</v>
      </c>
    </row>
    <row r="55" spans="1:54" x14ac:dyDescent="0.15">
      <c r="B55" t="s">
        <v>217</v>
      </c>
      <c r="C55">
        <v>30</v>
      </c>
      <c r="D55">
        <v>0</v>
      </c>
      <c r="E55" t="s">
        <v>218</v>
      </c>
      <c r="G55" t="s">
        <v>218</v>
      </c>
      <c r="J55" t="s">
        <v>214</v>
      </c>
      <c r="K55">
        <v>20</v>
      </c>
      <c r="L55">
        <v>0.8</v>
      </c>
      <c r="M55" t="s">
        <v>27</v>
      </c>
      <c r="O55" t="s">
        <v>215</v>
      </c>
      <c r="P55" t="s">
        <v>216</v>
      </c>
      <c r="Q55" t="s">
        <v>136</v>
      </c>
      <c r="R55">
        <v>8</v>
      </c>
      <c r="S55">
        <v>70</v>
      </c>
      <c r="T55">
        <v>62</v>
      </c>
      <c r="U55">
        <v>67</v>
      </c>
      <c r="V55">
        <v>55</v>
      </c>
      <c r="W55">
        <v>55</v>
      </c>
      <c r="X55">
        <v>56</v>
      </c>
      <c r="Y55">
        <f t="shared" si="8"/>
        <v>177</v>
      </c>
      <c r="Z55">
        <f t="shared" si="0"/>
        <v>177</v>
      </c>
      <c r="AA55">
        <f t="shared" si="9"/>
        <v>145</v>
      </c>
      <c r="AB55">
        <f t="shared" si="10"/>
        <v>145</v>
      </c>
      <c r="AC55">
        <f t="shared" si="11"/>
        <v>130</v>
      </c>
      <c r="AD55">
        <f t="shared" si="12"/>
        <v>125</v>
      </c>
      <c r="AE55">
        <f t="shared" si="13"/>
        <v>114</v>
      </c>
      <c r="AF55">
        <f t="shared" si="14"/>
        <v>82</v>
      </c>
      <c r="AG55">
        <f t="shared" si="15"/>
        <v>73</v>
      </c>
      <c r="AH55">
        <f t="shared" si="16"/>
        <v>60</v>
      </c>
      <c r="AI55">
        <f t="shared" si="1"/>
        <v>130</v>
      </c>
      <c r="AJ55">
        <f t="shared" si="17"/>
        <v>119</v>
      </c>
      <c r="AK55">
        <f t="shared" si="18"/>
        <v>87</v>
      </c>
      <c r="AL55">
        <f t="shared" si="19"/>
        <v>78</v>
      </c>
      <c r="AM55">
        <f t="shared" si="20"/>
        <v>64</v>
      </c>
      <c r="AN55">
        <f t="shared" si="2"/>
        <v>117</v>
      </c>
      <c r="AO55">
        <f t="shared" si="21"/>
        <v>107</v>
      </c>
      <c r="AP55">
        <f t="shared" si="22"/>
        <v>75</v>
      </c>
      <c r="AQ55">
        <f t="shared" si="23"/>
        <v>67</v>
      </c>
      <c r="AR55">
        <f t="shared" si="24"/>
        <v>54</v>
      </c>
      <c r="AS55">
        <f t="shared" si="25"/>
        <v>117</v>
      </c>
      <c r="AT55">
        <f t="shared" si="26"/>
        <v>107</v>
      </c>
      <c r="AU55">
        <f t="shared" si="27"/>
        <v>75</v>
      </c>
      <c r="AV55">
        <f t="shared" si="28"/>
        <v>67</v>
      </c>
      <c r="AW55">
        <f t="shared" si="29"/>
        <v>54</v>
      </c>
      <c r="AX55">
        <f t="shared" si="3"/>
        <v>118</v>
      </c>
      <c r="AY55">
        <f t="shared" si="4"/>
        <v>108</v>
      </c>
      <c r="AZ55">
        <f t="shared" si="5"/>
        <v>76</v>
      </c>
      <c r="BA55">
        <f t="shared" si="6"/>
        <v>68</v>
      </c>
      <c r="BB55">
        <f t="shared" si="7"/>
        <v>54</v>
      </c>
    </row>
    <row r="56" spans="1:54" x14ac:dyDescent="0.15">
      <c r="B56" t="s">
        <v>219</v>
      </c>
      <c r="C56">
        <v>31</v>
      </c>
      <c r="D56">
        <v>0</v>
      </c>
      <c r="E56" t="s">
        <v>220</v>
      </c>
      <c r="G56" t="s">
        <v>220</v>
      </c>
      <c r="J56" t="s">
        <v>221</v>
      </c>
      <c r="K56">
        <v>60</v>
      </c>
      <c r="L56">
        <v>1.3</v>
      </c>
      <c r="M56" t="s">
        <v>27</v>
      </c>
      <c r="N56" t="s">
        <v>196</v>
      </c>
      <c r="O56" t="s">
        <v>215</v>
      </c>
      <c r="P56" t="s">
        <v>216</v>
      </c>
      <c r="Q56" t="s">
        <v>222</v>
      </c>
      <c r="R56">
        <v>8</v>
      </c>
      <c r="S56">
        <v>90</v>
      </c>
      <c r="T56">
        <v>92</v>
      </c>
      <c r="U56">
        <v>87</v>
      </c>
      <c r="V56">
        <v>75</v>
      </c>
      <c r="W56">
        <v>85</v>
      </c>
      <c r="X56">
        <v>76</v>
      </c>
      <c r="Y56">
        <f t="shared" si="8"/>
        <v>197</v>
      </c>
      <c r="Z56">
        <f t="shared" si="0"/>
        <v>197</v>
      </c>
      <c r="AA56">
        <f t="shared" si="9"/>
        <v>165</v>
      </c>
      <c r="AB56">
        <f t="shared" si="10"/>
        <v>165</v>
      </c>
      <c r="AC56">
        <f t="shared" si="11"/>
        <v>150</v>
      </c>
      <c r="AD56">
        <f t="shared" si="12"/>
        <v>158</v>
      </c>
      <c r="AE56">
        <f t="shared" si="13"/>
        <v>144</v>
      </c>
      <c r="AF56">
        <f t="shared" si="14"/>
        <v>112</v>
      </c>
      <c r="AG56">
        <f t="shared" si="15"/>
        <v>100</v>
      </c>
      <c r="AH56">
        <f t="shared" si="16"/>
        <v>87</v>
      </c>
      <c r="AI56">
        <f t="shared" si="1"/>
        <v>152</v>
      </c>
      <c r="AJ56">
        <f t="shared" si="17"/>
        <v>139</v>
      </c>
      <c r="AK56">
        <f t="shared" si="18"/>
        <v>107</v>
      </c>
      <c r="AL56">
        <f t="shared" si="19"/>
        <v>96</v>
      </c>
      <c r="AM56">
        <f t="shared" si="20"/>
        <v>82</v>
      </c>
      <c r="AN56">
        <f t="shared" si="2"/>
        <v>139</v>
      </c>
      <c r="AO56">
        <f t="shared" si="21"/>
        <v>127</v>
      </c>
      <c r="AP56">
        <f t="shared" si="22"/>
        <v>95</v>
      </c>
      <c r="AQ56">
        <f t="shared" si="23"/>
        <v>85</v>
      </c>
      <c r="AR56">
        <f t="shared" si="24"/>
        <v>72</v>
      </c>
      <c r="AS56">
        <f t="shared" si="25"/>
        <v>150</v>
      </c>
      <c r="AT56">
        <f t="shared" si="26"/>
        <v>137</v>
      </c>
      <c r="AU56">
        <f t="shared" si="27"/>
        <v>105</v>
      </c>
      <c r="AV56">
        <f t="shared" si="28"/>
        <v>94</v>
      </c>
      <c r="AW56">
        <f t="shared" si="29"/>
        <v>81</v>
      </c>
      <c r="AX56">
        <f t="shared" si="3"/>
        <v>140</v>
      </c>
      <c r="AY56">
        <f t="shared" si="4"/>
        <v>128</v>
      </c>
      <c r="AZ56">
        <f t="shared" si="5"/>
        <v>96</v>
      </c>
      <c r="BA56">
        <f t="shared" si="6"/>
        <v>86</v>
      </c>
      <c r="BB56">
        <f t="shared" si="7"/>
        <v>72</v>
      </c>
    </row>
    <row r="57" spans="1:54" x14ac:dyDescent="0.15">
      <c r="B57" t="s">
        <v>223</v>
      </c>
      <c r="C57">
        <v>32</v>
      </c>
      <c r="D57">
        <v>0</v>
      </c>
      <c r="E57" t="s">
        <v>224</v>
      </c>
      <c r="G57" t="s">
        <v>224</v>
      </c>
      <c r="J57" t="s">
        <v>214</v>
      </c>
      <c r="K57">
        <v>9</v>
      </c>
      <c r="L57">
        <v>0.5</v>
      </c>
      <c r="M57" t="s">
        <v>27</v>
      </c>
      <c r="O57" t="s">
        <v>215</v>
      </c>
      <c r="P57" t="s">
        <v>216</v>
      </c>
      <c r="Q57" t="s">
        <v>136</v>
      </c>
      <c r="R57">
        <v>8</v>
      </c>
      <c r="S57">
        <v>46</v>
      </c>
      <c r="T57">
        <v>57</v>
      </c>
      <c r="U57">
        <v>40</v>
      </c>
      <c r="V57">
        <v>40</v>
      </c>
      <c r="W57">
        <v>40</v>
      </c>
      <c r="X57">
        <v>50</v>
      </c>
      <c r="Y57">
        <f t="shared" si="8"/>
        <v>153</v>
      </c>
      <c r="Z57">
        <f t="shared" si="0"/>
        <v>153</v>
      </c>
      <c r="AA57">
        <f t="shared" si="9"/>
        <v>121</v>
      </c>
      <c r="AB57">
        <f t="shared" si="10"/>
        <v>121</v>
      </c>
      <c r="AC57">
        <f t="shared" si="11"/>
        <v>106</v>
      </c>
      <c r="AD57">
        <f t="shared" si="12"/>
        <v>119</v>
      </c>
      <c r="AE57">
        <f t="shared" si="13"/>
        <v>109</v>
      </c>
      <c r="AF57">
        <f t="shared" si="14"/>
        <v>77</v>
      </c>
      <c r="AG57">
        <f t="shared" si="15"/>
        <v>69</v>
      </c>
      <c r="AH57">
        <f t="shared" si="16"/>
        <v>55</v>
      </c>
      <c r="AI57">
        <f t="shared" si="1"/>
        <v>101</v>
      </c>
      <c r="AJ57">
        <f t="shared" si="17"/>
        <v>92</v>
      </c>
      <c r="AK57">
        <f t="shared" si="18"/>
        <v>60</v>
      </c>
      <c r="AL57">
        <f t="shared" si="19"/>
        <v>54</v>
      </c>
      <c r="AM57">
        <f t="shared" si="20"/>
        <v>40</v>
      </c>
      <c r="AN57">
        <f t="shared" si="2"/>
        <v>101</v>
      </c>
      <c r="AO57">
        <f t="shared" si="21"/>
        <v>92</v>
      </c>
      <c r="AP57">
        <f t="shared" si="22"/>
        <v>60</v>
      </c>
      <c r="AQ57">
        <f t="shared" si="23"/>
        <v>54</v>
      </c>
      <c r="AR57">
        <f t="shared" si="24"/>
        <v>40</v>
      </c>
      <c r="AS57">
        <f t="shared" si="25"/>
        <v>101</v>
      </c>
      <c r="AT57">
        <f t="shared" si="26"/>
        <v>92</v>
      </c>
      <c r="AU57">
        <f t="shared" si="27"/>
        <v>60</v>
      </c>
      <c r="AV57">
        <f t="shared" si="28"/>
        <v>54</v>
      </c>
      <c r="AW57">
        <f t="shared" si="29"/>
        <v>40</v>
      </c>
      <c r="AX57">
        <f t="shared" si="3"/>
        <v>112</v>
      </c>
      <c r="AY57">
        <f t="shared" si="4"/>
        <v>102</v>
      </c>
      <c r="AZ57">
        <f t="shared" si="5"/>
        <v>70</v>
      </c>
      <c r="BA57">
        <f t="shared" si="6"/>
        <v>63</v>
      </c>
      <c r="BB57">
        <f t="shared" si="7"/>
        <v>49</v>
      </c>
    </row>
    <row r="58" spans="1:54" x14ac:dyDescent="0.15">
      <c r="B58" t="s">
        <v>225</v>
      </c>
      <c r="C58">
        <v>33</v>
      </c>
      <c r="D58">
        <v>0</v>
      </c>
      <c r="E58" t="s">
        <v>226</v>
      </c>
      <c r="G58" t="s">
        <v>226</v>
      </c>
      <c r="J58" t="s">
        <v>214</v>
      </c>
      <c r="K58">
        <v>19.5</v>
      </c>
      <c r="L58">
        <v>0.9</v>
      </c>
      <c r="M58" t="s">
        <v>27</v>
      </c>
      <c r="O58" t="s">
        <v>215</v>
      </c>
      <c r="P58" t="s">
        <v>216</v>
      </c>
      <c r="Q58" t="s">
        <v>136</v>
      </c>
      <c r="R58">
        <v>8</v>
      </c>
      <c r="S58">
        <v>61</v>
      </c>
      <c r="T58">
        <v>72</v>
      </c>
      <c r="U58">
        <v>57</v>
      </c>
      <c r="V58">
        <v>55</v>
      </c>
      <c r="W58">
        <v>55</v>
      </c>
      <c r="X58">
        <v>65</v>
      </c>
      <c r="Y58">
        <f t="shared" si="8"/>
        <v>168</v>
      </c>
      <c r="Z58">
        <f t="shared" si="0"/>
        <v>168</v>
      </c>
      <c r="AA58">
        <f t="shared" si="9"/>
        <v>136</v>
      </c>
      <c r="AB58">
        <f t="shared" si="10"/>
        <v>136</v>
      </c>
      <c r="AC58">
        <f t="shared" si="11"/>
        <v>121</v>
      </c>
      <c r="AD58">
        <f t="shared" si="12"/>
        <v>136</v>
      </c>
      <c r="AE58">
        <f t="shared" si="13"/>
        <v>124</v>
      </c>
      <c r="AF58">
        <f t="shared" si="14"/>
        <v>92</v>
      </c>
      <c r="AG58">
        <f t="shared" si="15"/>
        <v>82</v>
      </c>
      <c r="AH58">
        <f t="shared" si="16"/>
        <v>69</v>
      </c>
      <c r="AI58">
        <f t="shared" si="1"/>
        <v>119</v>
      </c>
      <c r="AJ58">
        <f t="shared" si="17"/>
        <v>109</v>
      </c>
      <c r="AK58">
        <f t="shared" si="18"/>
        <v>77</v>
      </c>
      <c r="AL58">
        <f t="shared" si="19"/>
        <v>69</v>
      </c>
      <c r="AM58">
        <f t="shared" si="20"/>
        <v>55</v>
      </c>
      <c r="AN58">
        <f t="shared" si="2"/>
        <v>117</v>
      </c>
      <c r="AO58">
        <f t="shared" si="21"/>
        <v>107</v>
      </c>
      <c r="AP58">
        <f t="shared" si="22"/>
        <v>75</v>
      </c>
      <c r="AQ58">
        <f t="shared" si="23"/>
        <v>67</v>
      </c>
      <c r="AR58">
        <f t="shared" si="24"/>
        <v>54</v>
      </c>
      <c r="AS58">
        <f t="shared" si="25"/>
        <v>117</v>
      </c>
      <c r="AT58">
        <f t="shared" si="26"/>
        <v>107</v>
      </c>
      <c r="AU58">
        <f t="shared" si="27"/>
        <v>75</v>
      </c>
      <c r="AV58">
        <f t="shared" si="28"/>
        <v>67</v>
      </c>
      <c r="AW58">
        <f t="shared" si="29"/>
        <v>54</v>
      </c>
      <c r="AX58">
        <f t="shared" si="3"/>
        <v>128</v>
      </c>
      <c r="AY58">
        <f t="shared" si="4"/>
        <v>117</v>
      </c>
      <c r="AZ58">
        <f t="shared" si="5"/>
        <v>85</v>
      </c>
      <c r="BA58">
        <f t="shared" si="6"/>
        <v>76</v>
      </c>
      <c r="BB58">
        <f t="shared" si="7"/>
        <v>63</v>
      </c>
    </row>
    <row r="59" spans="1:54" x14ac:dyDescent="0.15">
      <c r="B59" t="s">
        <v>227</v>
      </c>
      <c r="C59">
        <v>34</v>
      </c>
      <c r="D59">
        <v>0</v>
      </c>
      <c r="E59" t="s">
        <v>228</v>
      </c>
      <c r="G59" t="s">
        <v>228</v>
      </c>
      <c r="J59" t="s">
        <v>221</v>
      </c>
      <c r="K59">
        <v>62</v>
      </c>
      <c r="L59">
        <v>1.4</v>
      </c>
      <c r="M59" t="s">
        <v>27</v>
      </c>
      <c r="N59" t="s">
        <v>196</v>
      </c>
      <c r="O59" t="s">
        <v>215</v>
      </c>
      <c r="P59" t="s">
        <v>216</v>
      </c>
      <c r="Q59" t="s">
        <v>222</v>
      </c>
      <c r="R59">
        <v>8</v>
      </c>
      <c r="S59">
        <v>81</v>
      </c>
      <c r="T59">
        <v>102</v>
      </c>
      <c r="U59">
        <v>77</v>
      </c>
      <c r="V59">
        <v>85</v>
      </c>
      <c r="W59">
        <v>75</v>
      </c>
      <c r="X59">
        <v>85</v>
      </c>
      <c r="Y59">
        <f t="shared" si="8"/>
        <v>188</v>
      </c>
      <c r="Z59">
        <f t="shared" si="0"/>
        <v>188</v>
      </c>
      <c r="AA59">
        <f t="shared" si="9"/>
        <v>156</v>
      </c>
      <c r="AB59">
        <f t="shared" si="10"/>
        <v>156</v>
      </c>
      <c r="AC59">
        <f t="shared" si="11"/>
        <v>141</v>
      </c>
      <c r="AD59">
        <f t="shared" si="12"/>
        <v>169</v>
      </c>
      <c r="AE59">
        <f t="shared" si="13"/>
        <v>154</v>
      </c>
      <c r="AF59">
        <f t="shared" si="14"/>
        <v>122</v>
      </c>
      <c r="AG59">
        <f t="shared" si="15"/>
        <v>109</v>
      </c>
      <c r="AH59">
        <f t="shared" si="16"/>
        <v>96</v>
      </c>
      <c r="AI59">
        <f t="shared" si="1"/>
        <v>141</v>
      </c>
      <c r="AJ59">
        <f t="shared" si="17"/>
        <v>129</v>
      </c>
      <c r="AK59">
        <f t="shared" si="18"/>
        <v>97</v>
      </c>
      <c r="AL59">
        <f t="shared" si="19"/>
        <v>87</v>
      </c>
      <c r="AM59">
        <f t="shared" si="20"/>
        <v>73</v>
      </c>
      <c r="AN59">
        <f t="shared" si="2"/>
        <v>150</v>
      </c>
      <c r="AO59">
        <f t="shared" si="21"/>
        <v>137</v>
      </c>
      <c r="AP59">
        <f t="shared" si="22"/>
        <v>105</v>
      </c>
      <c r="AQ59">
        <f t="shared" si="23"/>
        <v>94</v>
      </c>
      <c r="AR59">
        <f t="shared" si="24"/>
        <v>81</v>
      </c>
      <c r="AS59">
        <f t="shared" si="25"/>
        <v>139</v>
      </c>
      <c r="AT59">
        <f t="shared" si="26"/>
        <v>127</v>
      </c>
      <c r="AU59">
        <f t="shared" si="27"/>
        <v>95</v>
      </c>
      <c r="AV59">
        <f t="shared" si="28"/>
        <v>85</v>
      </c>
      <c r="AW59">
        <f t="shared" si="29"/>
        <v>72</v>
      </c>
      <c r="AX59">
        <f t="shared" si="3"/>
        <v>150</v>
      </c>
      <c r="AY59">
        <f t="shared" si="4"/>
        <v>137</v>
      </c>
      <c r="AZ59">
        <f t="shared" si="5"/>
        <v>105</v>
      </c>
      <c r="BA59">
        <f t="shared" si="6"/>
        <v>94</v>
      </c>
      <c r="BB59">
        <f t="shared" si="7"/>
        <v>81</v>
      </c>
    </row>
    <row r="60" spans="1:54" x14ac:dyDescent="0.15">
      <c r="A60">
        <v>28</v>
      </c>
      <c r="B60" t="s">
        <v>229</v>
      </c>
      <c r="C60">
        <v>35</v>
      </c>
      <c r="D60">
        <v>0</v>
      </c>
      <c r="E60" t="s">
        <v>230</v>
      </c>
      <c r="G60" t="s">
        <v>230</v>
      </c>
      <c r="H60" t="s">
        <v>231</v>
      </c>
      <c r="J60" t="s">
        <v>232</v>
      </c>
      <c r="K60">
        <v>7.5</v>
      </c>
      <c r="L60">
        <v>0.6</v>
      </c>
      <c r="M60" t="s">
        <v>233</v>
      </c>
      <c r="O60" t="s">
        <v>234</v>
      </c>
      <c r="P60" t="s">
        <v>235</v>
      </c>
      <c r="Q60" t="s">
        <v>236</v>
      </c>
      <c r="R60">
        <v>9</v>
      </c>
      <c r="S60">
        <v>70</v>
      </c>
      <c r="T60">
        <v>45</v>
      </c>
      <c r="U60">
        <v>48</v>
      </c>
      <c r="V60">
        <v>60</v>
      </c>
      <c r="W60">
        <v>65</v>
      </c>
      <c r="X60">
        <v>35</v>
      </c>
      <c r="Y60">
        <f t="shared" si="8"/>
        <v>177</v>
      </c>
      <c r="Z60">
        <f t="shared" si="0"/>
        <v>177</v>
      </c>
      <c r="AA60">
        <f t="shared" si="9"/>
        <v>145</v>
      </c>
      <c r="AB60">
        <f t="shared" si="10"/>
        <v>145</v>
      </c>
      <c r="AC60">
        <f t="shared" si="11"/>
        <v>130</v>
      </c>
      <c r="AD60">
        <f t="shared" si="12"/>
        <v>106</v>
      </c>
      <c r="AE60">
        <f t="shared" si="13"/>
        <v>97</v>
      </c>
      <c r="AF60">
        <f t="shared" si="14"/>
        <v>65</v>
      </c>
      <c r="AG60">
        <f t="shared" si="15"/>
        <v>58</v>
      </c>
      <c r="AH60">
        <f t="shared" si="16"/>
        <v>45</v>
      </c>
      <c r="AI60">
        <f t="shared" si="1"/>
        <v>110</v>
      </c>
      <c r="AJ60">
        <f t="shared" si="17"/>
        <v>100</v>
      </c>
      <c r="AK60">
        <f t="shared" si="18"/>
        <v>68</v>
      </c>
      <c r="AL60">
        <f t="shared" si="19"/>
        <v>61</v>
      </c>
      <c r="AM60">
        <f t="shared" si="20"/>
        <v>47</v>
      </c>
      <c r="AN60">
        <f t="shared" si="2"/>
        <v>123</v>
      </c>
      <c r="AO60">
        <f t="shared" si="21"/>
        <v>112</v>
      </c>
      <c r="AP60">
        <f t="shared" si="22"/>
        <v>80</v>
      </c>
      <c r="AQ60">
        <f t="shared" si="23"/>
        <v>72</v>
      </c>
      <c r="AR60">
        <f t="shared" si="24"/>
        <v>58</v>
      </c>
      <c r="AS60">
        <f t="shared" si="25"/>
        <v>128</v>
      </c>
      <c r="AT60">
        <f t="shared" si="26"/>
        <v>117</v>
      </c>
      <c r="AU60">
        <f t="shared" si="27"/>
        <v>85</v>
      </c>
      <c r="AV60">
        <f t="shared" si="28"/>
        <v>76</v>
      </c>
      <c r="AW60">
        <f t="shared" si="29"/>
        <v>63</v>
      </c>
      <c r="AX60">
        <f t="shared" si="3"/>
        <v>95</v>
      </c>
      <c r="AY60">
        <f t="shared" si="4"/>
        <v>87</v>
      </c>
      <c r="AZ60">
        <f t="shared" si="5"/>
        <v>55</v>
      </c>
      <c r="BA60">
        <f t="shared" si="6"/>
        <v>49</v>
      </c>
      <c r="BB60">
        <f t="shared" si="7"/>
        <v>36</v>
      </c>
    </row>
    <row r="61" spans="1:54" x14ac:dyDescent="0.15">
      <c r="A61">
        <v>29</v>
      </c>
      <c r="B61" t="s">
        <v>237</v>
      </c>
      <c r="C61">
        <v>36</v>
      </c>
      <c r="D61">
        <v>0</v>
      </c>
      <c r="E61" t="s">
        <v>238</v>
      </c>
      <c r="G61" t="s">
        <v>238</v>
      </c>
      <c r="H61" t="s">
        <v>239</v>
      </c>
      <c r="J61" t="s">
        <v>232</v>
      </c>
      <c r="K61">
        <v>40</v>
      </c>
      <c r="L61">
        <v>1.3</v>
      </c>
      <c r="M61" t="s">
        <v>233</v>
      </c>
      <c r="O61" t="s">
        <v>234</v>
      </c>
      <c r="P61" t="s">
        <v>235</v>
      </c>
      <c r="Q61" t="s">
        <v>240</v>
      </c>
      <c r="R61">
        <v>9</v>
      </c>
      <c r="S61">
        <v>95</v>
      </c>
      <c r="T61">
        <v>70</v>
      </c>
      <c r="U61">
        <v>73</v>
      </c>
      <c r="V61">
        <v>95</v>
      </c>
      <c r="W61">
        <v>90</v>
      </c>
      <c r="X61">
        <v>60</v>
      </c>
      <c r="Y61">
        <f t="shared" si="8"/>
        <v>202</v>
      </c>
      <c r="Z61">
        <f t="shared" si="0"/>
        <v>202</v>
      </c>
      <c r="AA61">
        <f t="shared" si="9"/>
        <v>170</v>
      </c>
      <c r="AB61">
        <f t="shared" si="10"/>
        <v>170</v>
      </c>
      <c r="AC61">
        <f t="shared" si="11"/>
        <v>155</v>
      </c>
      <c r="AD61">
        <f t="shared" si="12"/>
        <v>134</v>
      </c>
      <c r="AE61">
        <f t="shared" si="13"/>
        <v>122</v>
      </c>
      <c r="AF61">
        <f t="shared" si="14"/>
        <v>90</v>
      </c>
      <c r="AG61">
        <f t="shared" si="15"/>
        <v>81</v>
      </c>
      <c r="AH61">
        <f t="shared" si="16"/>
        <v>67</v>
      </c>
      <c r="AI61">
        <f t="shared" si="1"/>
        <v>137</v>
      </c>
      <c r="AJ61">
        <f t="shared" si="17"/>
        <v>125</v>
      </c>
      <c r="AK61">
        <f t="shared" si="18"/>
        <v>93</v>
      </c>
      <c r="AL61">
        <f t="shared" si="19"/>
        <v>83</v>
      </c>
      <c r="AM61">
        <f t="shared" si="20"/>
        <v>70</v>
      </c>
      <c r="AN61">
        <f t="shared" si="2"/>
        <v>161</v>
      </c>
      <c r="AO61">
        <f t="shared" si="21"/>
        <v>147</v>
      </c>
      <c r="AP61">
        <f t="shared" si="22"/>
        <v>115</v>
      </c>
      <c r="AQ61">
        <f t="shared" si="23"/>
        <v>103</v>
      </c>
      <c r="AR61">
        <f t="shared" si="24"/>
        <v>90</v>
      </c>
      <c r="AS61">
        <f t="shared" si="25"/>
        <v>156</v>
      </c>
      <c r="AT61">
        <f t="shared" si="26"/>
        <v>142</v>
      </c>
      <c r="AU61">
        <f t="shared" si="27"/>
        <v>110</v>
      </c>
      <c r="AV61">
        <f t="shared" si="28"/>
        <v>99</v>
      </c>
      <c r="AW61">
        <f t="shared" si="29"/>
        <v>85</v>
      </c>
      <c r="AX61">
        <f t="shared" si="3"/>
        <v>123</v>
      </c>
      <c r="AY61">
        <f t="shared" si="4"/>
        <v>112</v>
      </c>
      <c r="AZ61">
        <f t="shared" si="5"/>
        <v>80</v>
      </c>
      <c r="BA61">
        <f t="shared" si="6"/>
        <v>72</v>
      </c>
      <c r="BB61">
        <f t="shared" si="7"/>
        <v>58</v>
      </c>
    </row>
    <row r="62" spans="1:54" x14ac:dyDescent="0.15">
      <c r="A62">
        <v>30</v>
      </c>
      <c r="B62" t="s">
        <v>241</v>
      </c>
      <c r="C62">
        <v>37</v>
      </c>
      <c r="D62">
        <v>0</v>
      </c>
      <c r="E62" t="s">
        <v>242</v>
      </c>
      <c r="G62" t="s">
        <v>242</v>
      </c>
      <c r="H62" t="s">
        <v>243</v>
      </c>
      <c r="J62" t="s">
        <v>244</v>
      </c>
      <c r="K62">
        <v>9.9</v>
      </c>
      <c r="L62">
        <v>0.6</v>
      </c>
      <c r="M62" t="s">
        <v>47</v>
      </c>
      <c r="O62" t="s">
        <v>245</v>
      </c>
      <c r="P62" t="s">
        <v>64</v>
      </c>
      <c r="R62">
        <v>9</v>
      </c>
      <c r="S62">
        <v>38</v>
      </c>
      <c r="T62">
        <v>41</v>
      </c>
      <c r="U62">
        <v>40</v>
      </c>
      <c r="V62">
        <v>50</v>
      </c>
      <c r="W62">
        <v>65</v>
      </c>
      <c r="X62">
        <v>65</v>
      </c>
      <c r="Y62">
        <f t="shared" si="8"/>
        <v>145</v>
      </c>
      <c r="Z62">
        <f t="shared" si="0"/>
        <v>145</v>
      </c>
      <c r="AA62">
        <f t="shared" si="9"/>
        <v>113</v>
      </c>
      <c r="AB62">
        <f t="shared" si="10"/>
        <v>113</v>
      </c>
      <c r="AC62">
        <f t="shared" si="11"/>
        <v>98</v>
      </c>
      <c r="AD62">
        <f t="shared" si="12"/>
        <v>102</v>
      </c>
      <c r="AE62">
        <f t="shared" si="13"/>
        <v>93</v>
      </c>
      <c r="AF62">
        <f t="shared" si="14"/>
        <v>61</v>
      </c>
      <c r="AG62">
        <f t="shared" si="15"/>
        <v>54</v>
      </c>
      <c r="AH62">
        <f t="shared" si="16"/>
        <v>41</v>
      </c>
      <c r="AI62">
        <f t="shared" si="1"/>
        <v>101</v>
      </c>
      <c r="AJ62">
        <f t="shared" si="17"/>
        <v>92</v>
      </c>
      <c r="AK62">
        <f t="shared" si="18"/>
        <v>60</v>
      </c>
      <c r="AL62">
        <f t="shared" si="19"/>
        <v>54</v>
      </c>
      <c r="AM62">
        <f t="shared" si="20"/>
        <v>40</v>
      </c>
      <c r="AN62">
        <f t="shared" si="2"/>
        <v>112</v>
      </c>
      <c r="AO62">
        <f t="shared" si="21"/>
        <v>102</v>
      </c>
      <c r="AP62">
        <f t="shared" si="22"/>
        <v>70</v>
      </c>
      <c r="AQ62">
        <f t="shared" si="23"/>
        <v>63</v>
      </c>
      <c r="AR62">
        <f t="shared" si="24"/>
        <v>49</v>
      </c>
      <c r="AS62">
        <f t="shared" si="25"/>
        <v>128</v>
      </c>
      <c r="AT62">
        <f t="shared" si="26"/>
        <v>117</v>
      </c>
      <c r="AU62">
        <f t="shared" si="27"/>
        <v>85</v>
      </c>
      <c r="AV62">
        <f t="shared" si="28"/>
        <v>76</v>
      </c>
      <c r="AW62">
        <f t="shared" si="29"/>
        <v>63</v>
      </c>
      <c r="AX62">
        <f t="shared" si="3"/>
        <v>128</v>
      </c>
      <c r="AY62">
        <f t="shared" si="4"/>
        <v>117</v>
      </c>
      <c r="AZ62">
        <f t="shared" si="5"/>
        <v>85</v>
      </c>
      <c r="BA62">
        <f t="shared" si="6"/>
        <v>76</v>
      </c>
      <c r="BB62">
        <f t="shared" si="7"/>
        <v>63</v>
      </c>
    </row>
    <row r="63" spans="1:54" x14ac:dyDescent="0.15">
      <c r="A63">
        <v>31</v>
      </c>
      <c r="B63" t="s">
        <v>246</v>
      </c>
      <c r="C63">
        <v>37</v>
      </c>
      <c r="D63">
        <v>1</v>
      </c>
      <c r="E63" t="s">
        <v>242</v>
      </c>
      <c r="F63" t="s">
        <v>138</v>
      </c>
      <c r="G63" t="s">
        <v>247</v>
      </c>
      <c r="H63" t="s">
        <v>248</v>
      </c>
      <c r="J63" t="s">
        <v>244</v>
      </c>
      <c r="K63">
        <v>9.9</v>
      </c>
      <c r="L63">
        <v>0.6</v>
      </c>
      <c r="M63" t="s">
        <v>202</v>
      </c>
      <c r="O63" t="s">
        <v>204</v>
      </c>
      <c r="P63" t="s">
        <v>64</v>
      </c>
      <c r="Q63" t="s">
        <v>249</v>
      </c>
      <c r="R63">
        <v>9</v>
      </c>
      <c r="S63">
        <v>38</v>
      </c>
      <c r="T63">
        <v>41</v>
      </c>
      <c r="U63">
        <v>40</v>
      </c>
      <c r="V63">
        <v>50</v>
      </c>
      <c r="W63">
        <v>65</v>
      </c>
      <c r="X63">
        <v>65</v>
      </c>
      <c r="Y63">
        <f t="shared" si="8"/>
        <v>145</v>
      </c>
      <c r="Z63">
        <f t="shared" si="0"/>
        <v>145</v>
      </c>
      <c r="AA63">
        <f t="shared" si="9"/>
        <v>113</v>
      </c>
      <c r="AB63">
        <f t="shared" si="10"/>
        <v>113</v>
      </c>
      <c r="AC63">
        <f t="shared" si="11"/>
        <v>98</v>
      </c>
      <c r="AD63">
        <f t="shared" si="12"/>
        <v>102</v>
      </c>
      <c r="AE63">
        <f t="shared" si="13"/>
        <v>93</v>
      </c>
      <c r="AF63">
        <f t="shared" si="14"/>
        <v>61</v>
      </c>
      <c r="AG63">
        <f t="shared" si="15"/>
        <v>54</v>
      </c>
      <c r="AH63">
        <f t="shared" si="16"/>
        <v>41</v>
      </c>
      <c r="AI63">
        <f t="shared" si="1"/>
        <v>101</v>
      </c>
      <c r="AJ63">
        <f t="shared" si="17"/>
        <v>92</v>
      </c>
      <c r="AK63">
        <f t="shared" si="18"/>
        <v>60</v>
      </c>
      <c r="AL63">
        <f t="shared" si="19"/>
        <v>54</v>
      </c>
      <c r="AM63">
        <f t="shared" si="20"/>
        <v>40</v>
      </c>
      <c r="AN63">
        <f t="shared" si="2"/>
        <v>112</v>
      </c>
      <c r="AO63">
        <f t="shared" si="21"/>
        <v>102</v>
      </c>
      <c r="AP63">
        <f t="shared" si="22"/>
        <v>70</v>
      </c>
      <c r="AQ63">
        <f t="shared" si="23"/>
        <v>63</v>
      </c>
      <c r="AR63">
        <f t="shared" si="24"/>
        <v>49</v>
      </c>
      <c r="AS63">
        <f t="shared" si="25"/>
        <v>128</v>
      </c>
      <c r="AT63">
        <f t="shared" si="26"/>
        <v>117</v>
      </c>
      <c r="AU63">
        <f t="shared" si="27"/>
        <v>85</v>
      </c>
      <c r="AV63">
        <f t="shared" si="28"/>
        <v>76</v>
      </c>
      <c r="AW63">
        <f t="shared" si="29"/>
        <v>63</v>
      </c>
      <c r="AX63">
        <f t="shared" si="3"/>
        <v>128</v>
      </c>
      <c r="AY63">
        <f t="shared" si="4"/>
        <v>117</v>
      </c>
      <c r="AZ63">
        <f t="shared" si="5"/>
        <v>85</v>
      </c>
      <c r="BA63">
        <f t="shared" si="6"/>
        <v>76</v>
      </c>
      <c r="BB63">
        <f t="shared" si="7"/>
        <v>63</v>
      </c>
    </row>
    <row r="64" spans="1:54" x14ac:dyDescent="0.15">
      <c r="A64">
        <v>32</v>
      </c>
      <c r="B64" t="s">
        <v>250</v>
      </c>
      <c r="C64">
        <v>38</v>
      </c>
      <c r="D64">
        <v>0</v>
      </c>
      <c r="E64" t="s">
        <v>251</v>
      </c>
      <c r="G64" t="s">
        <v>251</v>
      </c>
      <c r="H64" t="s">
        <v>252</v>
      </c>
      <c r="J64" t="s">
        <v>244</v>
      </c>
      <c r="K64">
        <v>19.899999999999999</v>
      </c>
      <c r="L64">
        <v>1.1000000000000001</v>
      </c>
      <c r="M64" t="s">
        <v>47</v>
      </c>
      <c r="O64" t="s">
        <v>245</v>
      </c>
      <c r="P64" t="s">
        <v>64</v>
      </c>
      <c r="R64">
        <v>9</v>
      </c>
      <c r="S64">
        <v>73</v>
      </c>
      <c r="T64">
        <v>76</v>
      </c>
      <c r="U64">
        <v>75</v>
      </c>
      <c r="V64">
        <v>81</v>
      </c>
      <c r="W64">
        <v>100</v>
      </c>
      <c r="X64">
        <v>100</v>
      </c>
      <c r="Y64">
        <f t="shared" si="8"/>
        <v>180</v>
      </c>
      <c r="Z64">
        <f t="shared" si="0"/>
        <v>180</v>
      </c>
      <c r="AA64">
        <f t="shared" si="9"/>
        <v>148</v>
      </c>
      <c r="AB64">
        <f t="shared" si="10"/>
        <v>148</v>
      </c>
      <c r="AC64">
        <f t="shared" si="11"/>
        <v>133</v>
      </c>
      <c r="AD64">
        <f t="shared" si="12"/>
        <v>140</v>
      </c>
      <c r="AE64">
        <f t="shared" si="13"/>
        <v>128</v>
      </c>
      <c r="AF64">
        <f t="shared" si="14"/>
        <v>96</v>
      </c>
      <c r="AG64">
        <f t="shared" si="15"/>
        <v>86</v>
      </c>
      <c r="AH64">
        <f t="shared" si="16"/>
        <v>72</v>
      </c>
      <c r="AI64">
        <f t="shared" si="1"/>
        <v>139</v>
      </c>
      <c r="AJ64">
        <f t="shared" si="17"/>
        <v>127</v>
      </c>
      <c r="AK64">
        <f t="shared" si="18"/>
        <v>95</v>
      </c>
      <c r="AL64">
        <f t="shared" si="19"/>
        <v>85</v>
      </c>
      <c r="AM64">
        <f t="shared" si="20"/>
        <v>72</v>
      </c>
      <c r="AN64">
        <f t="shared" si="2"/>
        <v>146</v>
      </c>
      <c r="AO64">
        <f t="shared" si="21"/>
        <v>133</v>
      </c>
      <c r="AP64">
        <f t="shared" si="22"/>
        <v>101</v>
      </c>
      <c r="AQ64">
        <f t="shared" si="23"/>
        <v>90</v>
      </c>
      <c r="AR64">
        <f t="shared" si="24"/>
        <v>77</v>
      </c>
      <c r="AS64">
        <f t="shared" si="25"/>
        <v>167</v>
      </c>
      <c r="AT64">
        <f t="shared" si="26"/>
        <v>152</v>
      </c>
      <c r="AU64">
        <f t="shared" si="27"/>
        <v>120</v>
      </c>
      <c r="AV64">
        <f t="shared" si="28"/>
        <v>108</v>
      </c>
      <c r="AW64">
        <f t="shared" si="29"/>
        <v>94</v>
      </c>
      <c r="AX64">
        <f t="shared" si="3"/>
        <v>167</v>
      </c>
      <c r="AY64">
        <f t="shared" si="4"/>
        <v>152</v>
      </c>
      <c r="AZ64">
        <f t="shared" si="5"/>
        <v>120</v>
      </c>
      <c r="BA64">
        <f t="shared" si="6"/>
        <v>108</v>
      </c>
      <c r="BB64">
        <f t="shared" si="7"/>
        <v>94</v>
      </c>
    </row>
    <row r="65" spans="1:54" x14ac:dyDescent="0.15">
      <c r="A65">
        <v>33</v>
      </c>
      <c r="B65" t="s">
        <v>253</v>
      </c>
      <c r="C65">
        <v>38</v>
      </c>
      <c r="D65">
        <v>1</v>
      </c>
      <c r="E65" t="s">
        <v>251</v>
      </c>
      <c r="F65" t="s">
        <v>138</v>
      </c>
      <c r="G65" t="s">
        <v>254</v>
      </c>
      <c r="H65" t="s">
        <v>255</v>
      </c>
      <c r="J65" t="s">
        <v>244</v>
      </c>
      <c r="K65">
        <v>19.899999999999999</v>
      </c>
      <c r="L65">
        <v>1.1000000000000001</v>
      </c>
      <c r="M65" t="s">
        <v>202</v>
      </c>
      <c r="N65" t="s">
        <v>233</v>
      </c>
      <c r="O65" t="s">
        <v>204</v>
      </c>
      <c r="P65" t="s">
        <v>64</v>
      </c>
      <c r="Q65" t="s">
        <v>249</v>
      </c>
      <c r="R65">
        <v>9</v>
      </c>
      <c r="S65">
        <v>73</v>
      </c>
      <c r="T65">
        <v>67</v>
      </c>
      <c r="U65">
        <v>75</v>
      </c>
      <c r="V65">
        <v>81</v>
      </c>
      <c r="W65">
        <v>100</v>
      </c>
      <c r="X65">
        <v>109</v>
      </c>
      <c r="Y65">
        <f t="shared" si="8"/>
        <v>180</v>
      </c>
      <c r="Z65">
        <f t="shared" si="0"/>
        <v>180</v>
      </c>
      <c r="AA65">
        <f t="shared" si="9"/>
        <v>148</v>
      </c>
      <c r="AB65">
        <f t="shared" si="10"/>
        <v>148</v>
      </c>
      <c r="AC65">
        <f t="shared" si="11"/>
        <v>133</v>
      </c>
      <c r="AD65">
        <f t="shared" si="12"/>
        <v>130</v>
      </c>
      <c r="AE65">
        <f t="shared" si="13"/>
        <v>119</v>
      </c>
      <c r="AF65">
        <f t="shared" si="14"/>
        <v>87</v>
      </c>
      <c r="AG65">
        <f t="shared" si="15"/>
        <v>78</v>
      </c>
      <c r="AH65">
        <f t="shared" si="16"/>
        <v>64</v>
      </c>
      <c r="AI65">
        <f t="shared" si="1"/>
        <v>139</v>
      </c>
      <c r="AJ65">
        <f t="shared" si="17"/>
        <v>127</v>
      </c>
      <c r="AK65">
        <f t="shared" si="18"/>
        <v>95</v>
      </c>
      <c r="AL65">
        <f t="shared" si="19"/>
        <v>85</v>
      </c>
      <c r="AM65">
        <f t="shared" si="20"/>
        <v>72</v>
      </c>
      <c r="AN65">
        <f t="shared" si="2"/>
        <v>146</v>
      </c>
      <c r="AO65">
        <f t="shared" si="21"/>
        <v>133</v>
      </c>
      <c r="AP65">
        <f t="shared" si="22"/>
        <v>101</v>
      </c>
      <c r="AQ65">
        <f t="shared" si="23"/>
        <v>90</v>
      </c>
      <c r="AR65">
        <f t="shared" si="24"/>
        <v>77</v>
      </c>
      <c r="AS65">
        <f t="shared" si="25"/>
        <v>167</v>
      </c>
      <c r="AT65">
        <f t="shared" si="26"/>
        <v>152</v>
      </c>
      <c r="AU65">
        <f t="shared" si="27"/>
        <v>120</v>
      </c>
      <c r="AV65">
        <f t="shared" si="28"/>
        <v>108</v>
      </c>
      <c r="AW65">
        <f t="shared" si="29"/>
        <v>94</v>
      </c>
      <c r="AX65">
        <f t="shared" si="3"/>
        <v>177</v>
      </c>
      <c r="AY65">
        <f t="shared" si="4"/>
        <v>161</v>
      </c>
      <c r="AZ65">
        <f t="shared" si="5"/>
        <v>129</v>
      </c>
      <c r="BA65">
        <f t="shared" si="6"/>
        <v>116</v>
      </c>
      <c r="BB65">
        <f t="shared" si="7"/>
        <v>102</v>
      </c>
    </row>
    <row r="66" spans="1:54" x14ac:dyDescent="0.15">
      <c r="A66">
        <v>34</v>
      </c>
      <c r="B66" t="s">
        <v>256</v>
      </c>
      <c r="C66">
        <v>39</v>
      </c>
      <c r="D66">
        <v>0</v>
      </c>
      <c r="E66" t="s">
        <v>257</v>
      </c>
      <c r="G66" t="s">
        <v>257</v>
      </c>
      <c r="H66" t="s">
        <v>258</v>
      </c>
      <c r="J66" t="s">
        <v>259</v>
      </c>
      <c r="K66">
        <v>5.5</v>
      </c>
      <c r="L66">
        <v>0.5</v>
      </c>
      <c r="M66" t="s">
        <v>120</v>
      </c>
      <c r="N66" t="s">
        <v>233</v>
      </c>
      <c r="O66" t="s">
        <v>234</v>
      </c>
      <c r="P66" t="s">
        <v>260</v>
      </c>
      <c r="Q66" t="s">
        <v>236</v>
      </c>
      <c r="R66">
        <v>9</v>
      </c>
      <c r="S66">
        <v>115</v>
      </c>
      <c r="T66">
        <v>45</v>
      </c>
      <c r="U66">
        <v>20</v>
      </c>
      <c r="V66">
        <v>45</v>
      </c>
      <c r="W66">
        <v>25</v>
      </c>
      <c r="X66">
        <v>20</v>
      </c>
      <c r="Y66">
        <f t="shared" ref="Y66:Y129" si="30">IF(S66="", "", S66+107)</f>
        <v>222</v>
      </c>
      <c r="Z66">
        <f t="shared" ref="Z66:Z129" si="31">IF(S66="", "", S66+107)</f>
        <v>222</v>
      </c>
      <c r="AA66">
        <f t="shared" ref="AA66:AA129" si="32">IF(S66="", "", INT(INT(S66*2 + 31)/2) + 60)</f>
        <v>190</v>
      </c>
      <c r="AB66">
        <f t="shared" ref="AB66:AB129" si="33">IF(S66="", "", INT(INT(S66*2 + 31)/2) + 60)</f>
        <v>190</v>
      </c>
      <c r="AC66">
        <f t="shared" ref="AC66:AC129" si="34">IF(S66="", "", S66 + 60)</f>
        <v>175</v>
      </c>
      <c r="AD66">
        <f t="shared" ref="AD66:AD129" si="35">IF(T66="","",INT((T66+52)*1.1))</f>
        <v>106</v>
      </c>
      <c r="AE66">
        <f t="shared" ref="AE66:AE129" si="36">IF(T66="","",T66+52)</f>
        <v>97</v>
      </c>
      <c r="AF66">
        <f t="shared" ref="AF66:AF129" si="37">IF(T66="", "", INT((T66*2 + 31)/2) + 5)</f>
        <v>65</v>
      </c>
      <c r="AG66">
        <f t="shared" ref="AG66:AG129" si="38">IF(T66="", "", INT((INT((T66*2 + 31)/2) + 5)*0.9) )</f>
        <v>58</v>
      </c>
      <c r="AH66">
        <f t="shared" ref="AH66:AH129" si="39">IF(T66="", "", INT((T66 + 5) * 0.9))</f>
        <v>45</v>
      </c>
      <c r="AI66">
        <f t="shared" ref="AI66:AI129" si="40">IF(U66="","",INT((U66+52)*1.1))</f>
        <v>79</v>
      </c>
      <c r="AJ66">
        <f t="shared" ref="AJ66:AJ129" si="41">IF(U66="","",U66+52)</f>
        <v>72</v>
      </c>
      <c r="AK66">
        <f t="shared" ref="AK66:AK129" si="42">IF(U66="", "", INT((U66*2 + 31)/2) + 5)</f>
        <v>40</v>
      </c>
      <c r="AL66">
        <f t="shared" ref="AL66:AL129" si="43">IF(U66="", "", INT((INT((U66*2 + 31)/2) + 5)*0.9) )</f>
        <v>36</v>
      </c>
      <c r="AM66">
        <f t="shared" ref="AM66:AM129" si="44">IF(U66="", "", INT((U66 + 5) * 0.9))</f>
        <v>22</v>
      </c>
      <c r="AN66">
        <f t="shared" ref="AN66:AN129" si="45">IF(V66="","",INT((V66+52)*1.1))</f>
        <v>106</v>
      </c>
      <c r="AO66">
        <f t="shared" ref="AO66:AO129" si="46">IF(V66="","",V66+52)</f>
        <v>97</v>
      </c>
      <c r="AP66">
        <f t="shared" ref="AP66:AP129" si="47">IF(V66="", "", INT((V66*2 + 31)/2) + 5)</f>
        <v>65</v>
      </c>
      <c r="AQ66">
        <f t="shared" ref="AQ66:AQ129" si="48">IF(V66="", "", INT((INT((V66*2 + 31)/2) + 5)*0.9) )</f>
        <v>58</v>
      </c>
      <c r="AR66">
        <f t="shared" ref="AR66:AR129" si="49">IF(V66="", "", INT((V66 + 5) * 0.9))</f>
        <v>45</v>
      </c>
      <c r="AS66">
        <f t="shared" ref="AS66:AS129" si="50">IF(W66="","",INT((W66+52)*1.1))</f>
        <v>84</v>
      </c>
      <c r="AT66">
        <f t="shared" ref="AT66:AT129" si="51">IF(W66="","",W66+52)</f>
        <v>77</v>
      </c>
      <c r="AU66">
        <f t="shared" ref="AU66:AU129" si="52">IF(W66="", "", INT((W66*2 + 31)/2) + 5)</f>
        <v>45</v>
      </c>
      <c r="AV66">
        <f t="shared" ref="AV66:AV129" si="53">IF(W66="", "", INT((INT((W66*2 + 31)/2) + 5)*0.9) )</f>
        <v>40</v>
      </c>
      <c r="AW66">
        <f t="shared" ref="AW66:AW129" si="54">IF(W66="", "", INT((W66 + 5) * 0.9))</f>
        <v>27</v>
      </c>
      <c r="AX66">
        <f t="shared" ref="AX66:AX129" si="55">IF(X66="","",INT((X66+52)*1.1))</f>
        <v>79</v>
      </c>
      <c r="AY66">
        <f t="shared" ref="AY66:AY129" si="56">IF(X66="","",X66+52)</f>
        <v>72</v>
      </c>
      <c r="AZ66">
        <f t="shared" ref="AZ66:AZ129" si="57">IF(X66="", "", INT((X66*2 + 31)/2) + 5)</f>
        <v>40</v>
      </c>
      <c r="BA66">
        <f t="shared" ref="BA66:BA129" si="58">IF(X66="", "", INT((INT((X66*2 + 31)/2) + 5)*0.9) )</f>
        <v>36</v>
      </c>
      <c r="BB66">
        <f t="shared" ref="BB66:BB129" si="59">IF(X66="", "", INT((X66 + 5) * 0.9))</f>
        <v>22</v>
      </c>
    </row>
    <row r="67" spans="1:54" x14ac:dyDescent="0.15">
      <c r="A67">
        <v>35</v>
      </c>
      <c r="B67" t="s">
        <v>261</v>
      </c>
      <c r="C67">
        <v>40</v>
      </c>
      <c r="D67">
        <v>0</v>
      </c>
      <c r="E67" t="s">
        <v>262</v>
      </c>
      <c r="G67" t="s">
        <v>262</v>
      </c>
      <c r="H67" t="s">
        <v>263</v>
      </c>
      <c r="J67" t="s">
        <v>259</v>
      </c>
      <c r="K67">
        <v>12</v>
      </c>
      <c r="L67">
        <v>1</v>
      </c>
      <c r="M67" t="s">
        <v>120</v>
      </c>
      <c r="N67" t="s">
        <v>233</v>
      </c>
      <c r="O67" t="s">
        <v>234</v>
      </c>
      <c r="P67" t="s">
        <v>260</v>
      </c>
      <c r="Q67" t="s">
        <v>264</v>
      </c>
      <c r="R67">
        <v>9</v>
      </c>
      <c r="S67">
        <v>140</v>
      </c>
      <c r="T67">
        <v>70</v>
      </c>
      <c r="U67">
        <v>45</v>
      </c>
      <c r="V67">
        <v>85</v>
      </c>
      <c r="W67">
        <v>50</v>
      </c>
      <c r="X67">
        <v>45</v>
      </c>
      <c r="Y67">
        <f t="shared" si="30"/>
        <v>247</v>
      </c>
      <c r="Z67">
        <f t="shared" si="31"/>
        <v>247</v>
      </c>
      <c r="AA67">
        <f t="shared" si="32"/>
        <v>215</v>
      </c>
      <c r="AB67">
        <f t="shared" si="33"/>
        <v>215</v>
      </c>
      <c r="AC67">
        <f t="shared" si="34"/>
        <v>200</v>
      </c>
      <c r="AD67">
        <f t="shared" si="35"/>
        <v>134</v>
      </c>
      <c r="AE67">
        <f t="shared" si="36"/>
        <v>122</v>
      </c>
      <c r="AF67">
        <f t="shared" si="37"/>
        <v>90</v>
      </c>
      <c r="AG67">
        <f t="shared" si="38"/>
        <v>81</v>
      </c>
      <c r="AH67">
        <f t="shared" si="39"/>
        <v>67</v>
      </c>
      <c r="AI67">
        <f t="shared" si="40"/>
        <v>106</v>
      </c>
      <c r="AJ67">
        <f t="shared" si="41"/>
        <v>97</v>
      </c>
      <c r="AK67">
        <f t="shared" si="42"/>
        <v>65</v>
      </c>
      <c r="AL67">
        <f t="shared" si="43"/>
        <v>58</v>
      </c>
      <c r="AM67">
        <f t="shared" si="44"/>
        <v>45</v>
      </c>
      <c r="AN67">
        <f t="shared" si="45"/>
        <v>150</v>
      </c>
      <c r="AO67">
        <f t="shared" si="46"/>
        <v>137</v>
      </c>
      <c r="AP67">
        <f t="shared" si="47"/>
        <v>105</v>
      </c>
      <c r="AQ67">
        <f t="shared" si="48"/>
        <v>94</v>
      </c>
      <c r="AR67">
        <f t="shared" si="49"/>
        <v>81</v>
      </c>
      <c r="AS67">
        <f t="shared" si="50"/>
        <v>112</v>
      </c>
      <c r="AT67">
        <f t="shared" si="51"/>
        <v>102</v>
      </c>
      <c r="AU67">
        <f t="shared" si="52"/>
        <v>70</v>
      </c>
      <c r="AV67">
        <f t="shared" si="53"/>
        <v>63</v>
      </c>
      <c r="AW67">
        <f t="shared" si="54"/>
        <v>49</v>
      </c>
      <c r="AX67">
        <f t="shared" si="55"/>
        <v>106</v>
      </c>
      <c r="AY67">
        <f t="shared" si="56"/>
        <v>97</v>
      </c>
      <c r="AZ67">
        <f t="shared" si="57"/>
        <v>65</v>
      </c>
      <c r="BA67">
        <f t="shared" si="58"/>
        <v>58</v>
      </c>
      <c r="BB67">
        <f t="shared" si="59"/>
        <v>45</v>
      </c>
    </row>
    <row r="68" spans="1:54" x14ac:dyDescent="0.15">
      <c r="B68" t="s">
        <v>265</v>
      </c>
      <c r="C68">
        <v>41</v>
      </c>
      <c r="D68">
        <v>0</v>
      </c>
      <c r="E68" t="s">
        <v>266</v>
      </c>
      <c r="G68" t="s">
        <v>266</v>
      </c>
      <c r="J68" t="s">
        <v>267</v>
      </c>
      <c r="K68">
        <v>7.5</v>
      </c>
      <c r="L68">
        <v>0.8</v>
      </c>
      <c r="M68" t="s">
        <v>27</v>
      </c>
      <c r="N68" t="s">
        <v>57</v>
      </c>
      <c r="O68" t="s">
        <v>268</v>
      </c>
      <c r="P68" t="s">
        <v>269</v>
      </c>
      <c r="R68">
        <v>8</v>
      </c>
      <c r="S68">
        <v>40</v>
      </c>
      <c r="T68">
        <v>45</v>
      </c>
      <c r="U68">
        <v>35</v>
      </c>
      <c r="V68">
        <v>30</v>
      </c>
      <c r="W68">
        <v>40</v>
      </c>
      <c r="X68">
        <v>55</v>
      </c>
      <c r="Y68">
        <f t="shared" si="30"/>
        <v>147</v>
      </c>
      <c r="Z68">
        <f t="shared" si="31"/>
        <v>147</v>
      </c>
      <c r="AA68">
        <f t="shared" si="32"/>
        <v>115</v>
      </c>
      <c r="AB68">
        <f t="shared" si="33"/>
        <v>115</v>
      </c>
      <c r="AC68">
        <f t="shared" si="34"/>
        <v>100</v>
      </c>
      <c r="AD68">
        <f t="shared" si="35"/>
        <v>106</v>
      </c>
      <c r="AE68">
        <f t="shared" si="36"/>
        <v>97</v>
      </c>
      <c r="AF68">
        <f t="shared" si="37"/>
        <v>65</v>
      </c>
      <c r="AG68">
        <f t="shared" si="38"/>
        <v>58</v>
      </c>
      <c r="AH68">
        <f t="shared" si="39"/>
        <v>45</v>
      </c>
      <c r="AI68">
        <f t="shared" si="40"/>
        <v>95</v>
      </c>
      <c r="AJ68">
        <f t="shared" si="41"/>
        <v>87</v>
      </c>
      <c r="AK68">
        <f t="shared" si="42"/>
        <v>55</v>
      </c>
      <c r="AL68">
        <f t="shared" si="43"/>
        <v>49</v>
      </c>
      <c r="AM68">
        <f t="shared" si="44"/>
        <v>36</v>
      </c>
      <c r="AN68">
        <f t="shared" si="45"/>
        <v>90</v>
      </c>
      <c r="AO68">
        <f t="shared" si="46"/>
        <v>82</v>
      </c>
      <c r="AP68">
        <f t="shared" si="47"/>
        <v>50</v>
      </c>
      <c r="AQ68">
        <f t="shared" si="48"/>
        <v>45</v>
      </c>
      <c r="AR68">
        <f t="shared" si="49"/>
        <v>31</v>
      </c>
      <c r="AS68">
        <f t="shared" si="50"/>
        <v>101</v>
      </c>
      <c r="AT68">
        <f t="shared" si="51"/>
        <v>92</v>
      </c>
      <c r="AU68">
        <f t="shared" si="52"/>
        <v>60</v>
      </c>
      <c r="AV68">
        <f t="shared" si="53"/>
        <v>54</v>
      </c>
      <c r="AW68">
        <f t="shared" si="54"/>
        <v>40</v>
      </c>
      <c r="AX68">
        <f t="shared" si="55"/>
        <v>117</v>
      </c>
      <c r="AY68">
        <f t="shared" si="56"/>
        <v>107</v>
      </c>
      <c r="AZ68">
        <f t="shared" si="57"/>
        <v>75</v>
      </c>
      <c r="BA68">
        <f t="shared" si="58"/>
        <v>67</v>
      </c>
      <c r="BB68">
        <f t="shared" si="59"/>
        <v>54</v>
      </c>
    </row>
    <row r="69" spans="1:54" x14ac:dyDescent="0.15">
      <c r="B69" t="s">
        <v>270</v>
      </c>
      <c r="C69">
        <v>42</v>
      </c>
      <c r="D69">
        <v>0</v>
      </c>
      <c r="E69" t="s">
        <v>271</v>
      </c>
      <c r="G69" t="s">
        <v>271</v>
      </c>
      <c r="J69" t="s">
        <v>267</v>
      </c>
      <c r="K69">
        <v>55</v>
      </c>
      <c r="L69">
        <v>1.6</v>
      </c>
      <c r="M69" t="s">
        <v>27</v>
      </c>
      <c r="N69" t="s">
        <v>57</v>
      </c>
      <c r="O69" t="s">
        <v>268</v>
      </c>
      <c r="P69" t="s">
        <v>269</v>
      </c>
      <c r="R69">
        <v>8</v>
      </c>
      <c r="S69">
        <v>75</v>
      </c>
      <c r="T69">
        <v>80</v>
      </c>
      <c r="U69">
        <v>70</v>
      </c>
      <c r="V69">
        <v>65</v>
      </c>
      <c r="W69">
        <v>75</v>
      </c>
      <c r="X69">
        <v>90</v>
      </c>
      <c r="Y69">
        <f t="shared" si="30"/>
        <v>182</v>
      </c>
      <c r="Z69">
        <f t="shared" si="31"/>
        <v>182</v>
      </c>
      <c r="AA69">
        <f t="shared" si="32"/>
        <v>150</v>
      </c>
      <c r="AB69">
        <f t="shared" si="33"/>
        <v>150</v>
      </c>
      <c r="AC69">
        <f t="shared" si="34"/>
        <v>135</v>
      </c>
      <c r="AD69">
        <f t="shared" si="35"/>
        <v>145</v>
      </c>
      <c r="AE69">
        <f t="shared" si="36"/>
        <v>132</v>
      </c>
      <c r="AF69">
        <f t="shared" si="37"/>
        <v>100</v>
      </c>
      <c r="AG69">
        <f t="shared" si="38"/>
        <v>90</v>
      </c>
      <c r="AH69">
        <f t="shared" si="39"/>
        <v>76</v>
      </c>
      <c r="AI69">
        <f t="shared" si="40"/>
        <v>134</v>
      </c>
      <c r="AJ69">
        <f t="shared" si="41"/>
        <v>122</v>
      </c>
      <c r="AK69">
        <f t="shared" si="42"/>
        <v>90</v>
      </c>
      <c r="AL69">
        <f t="shared" si="43"/>
        <v>81</v>
      </c>
      <c r="AM69">
        <f t="shared" si="44"/>
        <v>67</v>
      </c>
      <c r="AN69">
        <f t="shared" si="45"/>
        <v>128</v>
      </c>
      <c r="AO69">
        <f t="shared" si="46"/>
        <v>117</v>
      </c>
      <c r="AP69">
        <f t="shared" si="47"/>
        <v>85</v>
      </c>
      <c r="AQ69">
        <f t="shared" si="48"/>
        <v>76</v>
      </c>
      <c r="AR69">
        <f t="shared" si="49"/>
        <v>63</v>
      </c>
      <c r="AS69">
        <f t="shared" si="50"/>
        <v>139</v>
      </c>
      <c r="AT69">
        <f t="shared" si="51"/>
        <v>127</v>
      </c>
      <c r="AU69">
        <f t="shared" si="52"/>
        <v>95</v>
      </c>
      <c r="AV69">
        <f t="shared" si="53"/>
        <v>85</v>
      </c>
      <c r="AW69">
        <f t="shared" si="54"/>
        <v>72</v>
      </c>
      <c r="AX69">
        <f t="shared" si="55"/>
        <v>156</v>
      </c>
      <c r="AY69">
        <f t="shared" si="56"/>
        <v>142</v>
      </c>
      <c r="AZ69">
        <f t="shared" si="57"/>
        <v>110</v>
      </c>
      <c r="BA69">
        <f t="shared" si="58"/>
        <v>99</v>
      </c>
      <c r="BB69">
        <f t="shared" si="59"/>
        <v>85</v>
      </c>
    </row>
    <row r="70" spans="1:54" x14ac:dyDescent="0.15">
      <c r="A70">
        <v>36</v>
      </c>
      <c r="B70" t="s">
        <v>272</v>
      </c>
      <c r="C70">
        <v>43</v>
      </c>
      <c r="D70">
        <v>0</v>
      </c>
      <c r="E70" t="s">
        <v>273</v>
      </c>
      <c r="G70" t="s">
        <v>273</v>
      </c>
      <c r="H70" t="s">
        <v>274</v>
      </c>
      <c r="J70" t="s">
        <v>275</v>
      </c>
      <c r="K70">
        <v>5.4</v>
      </c>
      <c r="L70">
        <v>0.5</v>
      </c>
      <c r="M70" t="s">
        <v>26</v>
      </c>
      <c r="N70" t="s">
        <v>27</v>
      </c>
      <c r="O70" t="s">
        <v>29</v>
      </c>
      <c r="P70" t="s">
        <v>92</v>
      </c>
      <c r="R70">
        <v>9</v>
      </c>
      <c r="S70">
        <v>45</v>
      </c>
      <c r="T70">
        <v>50</v>
      </c>
      <c r="U70">
        <v>55</v>
      </c>
      <c r="V70">
        <v>75</v>
      </c>
      <c r="W70">
        <v>65</v>
      </c>
      <c r="X70">
        <v>30</v>
      </c>
      <c r="Y70">
        <f t="shared" si="30"/>
        <v>152</v>
      </c>
      <c r="Z70">
        <f t="shared" si="31"/>
        <v>152</v>
      </c>
      <c r="AA70">
        <f t="shared" si="32"/>
        <v>120</v>
      </c>
      <c r="AB70">
        <f t="shared" si="33"/>
        <v>120</v>
      </c>
      <c r="AC70">
        <f t="shared" si="34"/>
        <v>105</v>
      </c>
      <c r="AD70">
        <f t="shared" si="35"/>
        <v>112</v>
      </c>
      <c r="AE70">
        <f t="shared" si="36"/>
        <v>102</v>
      </c>
      <c r="AF70">
        <f t="shared" si="37"/>
        <v>70</v>
      </c>
      <c r="AG70">
        <f t="shared" si="38"/>
        <v>63</v>
      </c>
      <c r="AH70">
        <f t="shared" si="39"/>
        <v>49</v>
      </c>
      <c r="AI70">
        <f t="shared" si="40"/>
        <v>117</v>
      </c>
      <c r="AJ70">
        <f t="shared" si="41"/>
        <v>107</v>
      </c>
      <c r="AK70">
        <f t="shared" si="42"/>
        <v>75</v>
      </c>
      <c r="AL70">
        <f t="shared" si="43"/>
        <v>67</v>
      </c>
      <c r="AM70">
        <f t="shared" si="44"/>
        <v>54</v>
      </c>
      <c r="AN70">
        <f t="shared" si="45"/>
        <v>139</v>
      </c>
      <c r="AO70">
        <f t="shared" si="46"/>
        <v>127</v>
      </c>
      <c r="AP70">
        <f t="shared" si="47"/>
        <v>95</v>
      </c>
      <c r="AQ70">
        <f t="shared" si="48"/>
        <v>85</v>
      </c>
      <c r="AR70">
        <f t="shared" si="49"/>
        <v>72</v>
      </c>
      <c r="AS70">
        <f t="shared" si="50"/>
        <v>128</v>
      </c>
      <c r="AT70">
        <f t="shared" si="51"/>
        <v>117</v>
      </c>
      <c r="AU70">
        <f t="shared" si="52"/>
        <v>85</v>
      </c>
      <c r="AV70">
        <f t="shared" si="53"/>
        <v>76</v>
      </c>
      <c r="AW70">
        <f t="shared" si="54"/>
        <v>63</v>
      </c>
      <c r="AX70">
        <f t="shared" si="55"/>
        <v>90</v>
      </c>
      <c r="AY70">
        <f t="shared" si="56"/>
        <v>82</v>
      </c>
      <c r="AZ70">
        <f t="shared" si="57"/>
        <v>50</v>
      </c>
      <c r="BA70">
        <f t="shared" si="58"/>
        <v>45</v>
      </c>
      <c r="BB70">
        <f t="shared" si="59"/>
        <v>31</v>
      </c>
    </row>
    <row r="71" spans="1:54" x14ac:dyDescent="0.15">
      <c r="A71">
        <v>37</v>
      </c>
      <c r="B71" t="s">
        <v>276</v>
      </c>
      <c r="C71">
        <v>44</v>
      </c>
      <c r="D71">
        <v>0</v>
      </c>
      <c r="E71" t="s">
        <v>277</v>
      </c>
      <c r="G71" t="s">
        <v>277</v>
      </c>
      <c r="H71" t="s">
        <v>278</v>
      </c>
      <c r="J71" t="s">
        <v>275</v>
      </c>
      <c r="K71">
        <v>8.6</v>
      </c>
      <c r="L71">
        <v>0.8</v>
      </c>
      <c r="M71" t="s">
        <v>26</v>
      </c>
      <c r="N71" t="s">
        <v>27</v>
      </c>
      <c r="O71" t="s">
        <v>29</v>
      </c>
      <c r="P71" t="s">
        <v>279</v>
      </c>
      <c r="R71">
        <v>9</v>
      </c>
      <c r="S71">
        <v>60</v>
      </c>
      <c r="T71">
        <v>65</v>
      </c>
      <c r="U71">
        <v>70</v>
      </c>
      <c r="V71">
        <v>85</v>
      </c>
      <c r="W71">
        <v>75</v>
      </c>
      <c r="X71">
        <v>40</v>
      </c>
      <c r="Y71">
        <f t="shared" si="30"/>
        <v>167</v>
      </c>
      <c r="Z71">
        <f t="shared" si="31"/>
        <v>167</v>
      </c>
      <c r="AA71">
        <f t="shared" si="32"/>
        <v>135</v>
      </c>
      <c r="AB71">
        <f t="shared" si="33"/>
        <v>135</v>
      </c>
      <c r="AC71">
        <f t="shared" si="34"/>
        <v>120</v>
      </c>
      <c r="AD71">
        <f t="shared" si="35"/>
        <v>128</v>
      </c>
      <c r="AE71">
        <f t="shared" si="36"/>
        <v>117</v>
      </c>
      <c r="AF71">
        <f t="shared" si="37"/>
        <v>85</v>
      </c>
      <c r="AG71">
        <f t="shared" si="38"/>
        <v>76</v>
      </c>
      <c r="AH71">
        <f t="shared" si="39"/>
        <v>63</v>
      </c>
      <c r="AI71">
        <f t="shared" si="40"/>
        <v>134</v>
      </c>
      <c r="AJ71">
        <f t="shared" si="41"/>
        <v>122</v>
      </c>
      <c r="AK71">
        <f t="shared" si="42"/>
        <v>90</v>
      </c>
      <c r="AL71">
        <f t="shared" si="43"/>
        <v>81</v>
      </c>
      <c r="AM71">
        <f t="shared" si="44"/>
        <v>67</v>
      </c>
      <c r="AN71">
        <f t="shared" si="45"/>
        <v>150</v>
      </c>
      <c r="AO71">
        <f t="shared" si="46"/>
        <v>137</v>
      </c>
      <c r="AP71">
        <f t="shared" si="47"/>
        <v>105</v>
      </c>
      <c r="AQ71">
        <f t="shared" si="48"/>
        <v>94</v>
      </c>
      <c r="AR71">
        <f t="shared" si="49"/>
        <v>81</v>
      </c>
      <c r="AS71">
        <f t="shared" si="50"/>
        <v>139</v>
      </c>
      <c r="AT71">
        <f t="shared" si="51"/>
        <v>127</v>
      </c>
      <c r="AU71">
        <f t="shared" si="52"/>
        <v>95</v>
      </c>
      <c r="AV71">
        <f t="shared" si="53"/>
        <v>85</v>
      </c>
      <c r="AW71">
        <f t="shared" si="54"/>
        <v>72</v>
      </c>
      <c r="AX71">
        <f t="shared" si="55"/>
        <v>101</v>
      </c>
      <c r="AY71">
        <f t="shared" si="56"/>
        <v>92</v>
      </c>
      <c r="AZ71">
        <f t="shared" si="57"/>
        <v>60</v>
      </c>
      <c r="BA71">
        <f t="shared" si="58"/>
        <v>54</v>
      </c>
      <c r="BB71">
        <f t="shared" si="59"/>
        <v>40</v>
      </c>
    </row>
    <row r="72" spans="1:54" x14ac:dyDescent="0.15">
      <c r="A72">
        <v>38</v>
      </c>
      <c r="B72" t="s">
        <v>280</v>
      </c>
      <c r="C72">
        <v>45</v>
      </c>
      <c r="D72">
        <v>0</v>
      </c>
      <c r="E72" t="s">
        <v>281</v>
      </c>
      <c r="G72" t="s">
        <v>281</v>
      </c>
      <c r="H72" t="s">
        <v>282</v>
      </c>
      <c r="J72" t="s">
        <v>283</v>
      </c>
      <c r="K72">
        <v>18.600000000000001</v>
      </c>
      <c r="L72">
        <v>1.2</v>
      </c>
      <c r="M72" t="s">
        <v>26</v>
      </c>
      <c r="N72" t="s">
        <v>27</v>
      </c>
      <c r="O72" t="s">
        <v>29</v>
      </c>
      <c r="P72" t="s">
        <v>284</v>
      </c>
      <c r="R72">
        <v>9</v>
      </c>
      <c r="S72">
        <v>75</v>
      </c>
      <c r="T72">
        <v>80</v>
      </c>
      <c r="U72">
        <v>85</v>
      </c>
      <c r="V72">
        <v>110</v>
      </c>
      <c r="W72">
        <v>90</v>
      </c>
      <c r="X72">
        <v>50</v>
      </c>
      <c r="Y72">
        <f t="shared" si="30"/>
        <v>182</v>
      </c>
      <c r="Z72">
        <f t="shared" si="31"/>
        <v>182</v>
      </c>
      <c r="AA72">
        <f t="shared" si="32"/>
        <v>150</v>
      </c>
      <c r="AB72">
        <f t="shared" si="33"/>
        <v>150</v>
      </c>
      <c r="AC72">
        <f t="shared" si="34"/>
        <v>135</v>
      </c>
      <c r="AD72">
        <f t="shared" si="35"/>
        <v>145</v>
      </c>
      <c r="AE72">
        <f t="shared" si="36"/>
        <v>132</v>
      </c>
      <c r="AF72">
        <f t="shared" si="37"/>
        <v>100</v>
      </c>
      <c r="AG72">
        <f t="shared" si="38"/>
        <v>90</v>
      </c>
      <c r="AH72">
        <f t="shared" si="39"/>
        <v>76</v>
      </c>
      <c r="AI72">
        <f t="shared" si="40"/>
        <v>150</v>
      </c>
      <c r="AJ72">
        <f t="shared" si="41"/>
        <v>137</v>
      </c>
      <c r="AK72">
        <f t="shared" si="42"/>
        <v>105</v>
      </c>
      <c r="AL72">
        <f t="shared" si="43"/>
        <v>94</v>
      </c>
      <c r="AM72">
        <f t="shared" si="44"/>
        <v>81</v>
      </c>
      <c r="AN72">
        <f t="shared" si="45"/>
        <v>178</v>
      </c>
      <c r="AO72">
        <f t="shared" si="46"/>
        <v>162</v>
      </c>
      <c r="AP72">
        <f t="shared" si="47"/>
        <v>130</v>
      </c>
      <c r="AQ72">
        <f t="shared" si="48"/>
        <v>117</v>
      </c>
      <c r="AR72">
        <f t="shared" si="49"/>
        <v>103</v>
      </c>
      <c r="AS72">
        <f t="shared" si="50"/>
        <v>156</v>
      </c>
      <c r="AT72">
        <f t="shared" si="51"/>
        <v>142</v>
      </c>
      <c r="AU72">
        <f t="shared" si="52"/>
        <v>110</v>
      </c>
      <c r="AV72">
        <f t="shared" si="53"/>
        <v>99</v>
      </c>
      <c r="AW72">
        <f t="shared" si="54"/>
        <v>85</v>
      </c>
      <c r="AX72">
        <f t="shared" si="55"/>
        <v>112</v>
      </c>
      <c r="AY72">
        <f t="shared" si="56"/>
        <v>102</v>
      </c>
      <c r="AZ72">
        <f t="shared" si="57"/>
        <v>70</v>
      </c>
      <c r="BA72">
        <f t="shared" si="58"/>
        <v>63</v>
      </c>
      <c r="BB72">
        <f t="shared" si="59"/>
        <v>49</v>
      </c>
    </row>
    <row r="73" spans="1:54" x14ac:dyDescent="0.15">
      <c r="B73" t="s">
        <v>285</v>
      </c>
      <c r="C73">
        <v>46</v>
      </c>
      <c r="D73">
        <v>0</v>
      </c>
      <c r="E73" t="s">
        <v>286</v>
      </c>
      <c r="G73" t="s">
        <v>286</v>
      </c>
      <c r="J73" t="s">
        <v>287</v>
      </c>
      <c r="K73">
        <v>5.4</v>
      </c>
      <c r="L73">
        <v>0.3</v>
      </c>
      <c r="M73" t="s">
        <v>90</v>
      </c>
      <c r="N73" t="s">
        <v>26</v>
      </c>
      <c r="O73" t="s">
        <v>284</v>
      </c>
      <c r="P73" t="s">
        <v>288</v>
      </c>
      <c r="Q73" t="s">
        <v>289</v>
      </c>
      <c r="R73">
        <v>8</v>
      </c>
      <c r="S73">
        <v>35</v>
      </c>
      <c r="T73">
        <v>70</v>
      </c>
      <c r="U73">
        <v>55</v>
      </c>
      <c r="V73">
        <v>45</v>
      </c>
      <c r="W73">
        <v>55</v>
      </c>
      <c r="X73">
        <v>25</v>
      </c>
      <c r="Y73">
        <f t="shared" si="30"/>
        <v>142</v>
      </c>
      <c r="Z73">
        <f t="shared" si="31"/>
        <v>142</v>
      </c>
      <c r="AA73">
        <f t="shared" si="32"/>
        <v>110</v>
      </c>
      <c r="AB73">
        <f t="shared" si="33"/>
        <v>110</v>
      </c>
      <c r="AC73">
        <f t="shared" si="34"/>
        <v>95</v>
      </c>
      <c r="AD73">
        <f t="shared" si="35"/>
        <v>134</v>
      </c>
      <c r="AE73">
        <f t="shared" si="36"/>
        <v>122</v>
      </c>
      <c r="AF73">
        <f t="shared" si="37"/>
        <v>90</v>
      </c>
      <c r="AG73">
        <f t="shared" si="38"/>
        <v>81</v>
      </c>
      <c r="AH73">
        <f t="shared" si="39"/>
        <v>67</v>
      </c>
      <c r="AI73">
        <f t="shared" si="40"/>
        <v>117</v>
      </c>
      <c r="AJ73">
        <f t="shared" si="41"/>
        <v>107</v>
      </c>
      <c r="AK73">
        <f t="shared" si="42"/>
        <v>75</v>
      </c>
      <c r="AL73">
        <f t="shared" si="43"/>
        <v>67</v>
      </c>
      <c r="AM73">
        <f t="shared" si="44"/>
        <v>54</v>
      </c>
      <c r="AN73">
        <f t="shared" si="45"/>
        <v>106</v>
      </c>
      <c r="AO73">
        <f t="shared" si="46"/>
        <v>97</v>
      </c>
      <c r="AP73">
        <f t="shared" si="47"/>
        <v>65</v>
      </c>
      <c r="AQ73">
        <f t="shared" si="48"/>
        <v>58</v>
      </c>
      <c r="AR73">
        <f t="shared" si="49"/>
        <v>45</v>
      </c>
      <c r="AS73">
        <f t="shared" si="50"/>
        <v>117</v>
      </c>
      <c r="AT73">
        <f t="shared" si="51"/>
        <v>107</v>
      </c>
      <c r="AU73">
        <f t="shared" si="52"/>
        <v>75</v>
      </c>
      <c r="AV73">
        <f t="shared" si="53"/>
        <v>67</v>
      </c>
      <c r="AW73">
        <f t="shared" si="54"/>
        <v>54</v>
      </c>
      <c r="AX73">
        <f t="shared" si="55"/>
        <v>84</v>
      </c>
      <c r="AY73">
        <f t="shared" si="56"/>
        <v>77</v>
      </c>
      <c r="AZ73">
        <f t="shared" si="57"/>
        <v>45</v>
      </c>
      <c r="BA73">
        <f t="shared" si="58"/>
        <v>40</v>
      </c>
      <c r="BB73">
        <f t="shared" si="59"/>
        <v>27</v>
      </c>
    </row>
    <row r="74" spans="1:54" x14ac:dyDescent="0.15">
      <c r="B74" t="s">
        <v>290</v>
      </c>
      <c r="C74">
        <v>47</v>
      </c>
      <c r="D74">
        <v>0</v>
      </c>
      <c r="E74" t="s">
        <v>291</v>
      </c>
      <c r="G74" t="s">
        <v>291</v>
      </c>
      <c r="J74" t="s">
        <v>287</v>
      </c>
      <c r="K74">
        <v>29.5</v>
      </c>
      <c r="L74">
        <v>1</v>
      </c>
      <c r="M74" t="s">
        <v>90</v>
      </c>
      <c r="N74" t="s">
        <v>26</v>
      </c>
      <c r="O74" t="s">
        <v>284</v>
      </c>
      <c r="P74" t="s">
        <v>288</v>
      </c>
      <c r="Q74" t="s">
        <v>289</v>
      </c>
      <c r="R74">
        <v>8</v>
      </c>
      <c r="S74">
        <v>60</v>
      </c>
      <c r="T74">
        <v>95</v>
      </c>
      <c r="U74">
        <v>80</v>
      </c>
      <c r="V74">
        <v>60</v>
      </c>
      <c r="W74">
        <v>80</v>
      </c>
      <c r="X74">
        <v>30</v>
      </c>
      <c r="Y74">
        <f t="shared" si="30"/>
        <v>167</v>
      </c>
      <c r="Z74">
        <f t="shared" si="31"/>
        <v>167</v>
      </c>
      <c r="AA74">
        <f t="shared" si="32"/>
        <v>135</v>
      </c>
      <c r="AB74">
        <f t="shared" si="33"/>
        <v>135</v>
      </c>
      <c r="AC74">
        <f t="shared" si="34"/>
        <v>120</v>
      </c>
      <c r="AD74">
        <f t="shared" si="35"/>
        <v>161</v>
      </c>
      <c r="AE74">
        <f t="shared" si="36"/>
        <v>147</v>
      </c>
      <c r="AF74">
        <f t="shared" si="37"/>
        <v>115</v>
      </c>
      <c r="AG74">
        <f t="shared" si="38"/>
        <v>103</v>
      </c>
      <c r="AH74">
        <f t="shared" si="39"/>
        <v>90</v>
      </c>
      <c r="AI74">
        <f t="shared" si="40"/>
        <v>145</v>
      </c>
      <c r="AJ74">
        <f t="shared" si="41"/>
        <v>132</v>
      </c>
      <c r="AK74">
        <f t="shared" si="42"/>
        <v>100</v>
      </c>
      <c r="AL74">
        <f t="shared" si="43"/>
        <v>90</v>
      </c>
      <c r="AM74">
        <f t="shared" si="44"/>
        <v>76</v>
      </c>
      <c r="AN74">
        <f t="shared" si="45"/>
        <v>123</v>
      </c>
      <c r="AO74">
        <f t="shared" si="46"/>
        <v>112</v>
      </c>
      <c r="AP74">
        <f t="shared" si="47"/>
        <v>80</v>
      </c>
      <c r="AQ74">
        <f t="shared" si="48"/>
        <v>72</v>
      </c>
      <c r="AR74">
        <f t="shared" si="49"/>
        <v>58</v>
      </c>
      <c r="AS74">
        <f t="shared" si="50"/>
        <v>145</v>
      </c>
      <c r="AT74">
        <f t="shared" si="51"/>
        <v>132</v>
      </c>
      <c r="AU74">
        <f t="shared" si="52"/>
        <v>100</v>
      </c>
      <c r="AV74">
        <f t="shared" si="53"/>
        <v>90</v>
      </c>
      <c r="AW74">
        <f t="shared" si="54"/>
        <v>76</v>
      </c>
      <c r="AX74">
        <f t="shared" si="55"/>
        <v>90</v>
      </c>
      <c r="AY74">
        <f t="shared" si="56"/>
        <v>82</v>
      </c>
      <c r="AZ74">
        <f t="shared" si="57"/>
        <v>50</v>
      </c>
      <c r="BA74">
        <f t="shared" si="58"/>
        <v>45</v>
      </c>
      <c r="BB74">
        <f t="shared" si="59"/>
        <v>31</v>
      </c>
    </row>
    <row r="75" spans="1:54" x14ac:dyDescent="0.15">
      <c r="A75">
        <v>39</v>
      </c>
      <c r="B75" t="s">
        <v>292</v>
      </c>
      <c r="C75">
        <v>48</v>
      </c>
      <c r="D75">
        <v>0</v>
      </c>
      <c r="E75" t="s">
        <v>293</v>
      </c>
      <c r="G75" t="s">
        <v>293</v>
      </c>
      <c r="H75" t="s">
        <v>294</v>
      </c>
      <c r="J75" t="s">
        <v>295</v>
      </c>
      <c r="K75">
        <v>30</v>
      </c>
      <c r="L75">
        <v>1</v>
      </c>
      <c r="M75" t="s">
        <v>90</v>
      </c>
      <c r="N75" t="s">
        <v>27</v>
      </c>
      <c r="O75" t="s">
        <v>100</v>
      </c>
      <c r="P75" t="s">
        <v>101</v>
      </c>
      <c r="Q75" t="s">
        <v>92</v>
      </c>
      <c r="R75">
        <v>9</v>
      </c>
      <c r="S75">
        <v>60</v>
      </c>
      <c r="T75">
        <v>55</v>
      </c>
      <c r="U75">
        <v>50</v>
      </c>
      <c r="V75">
        <v>40</v>
      </c>
      <c r="W75">
        <v>55</v>
      </c>
      <c r="X75">
        <v>45</v>
      </c>
      <c r="Y75">
        <f t="shared" si="30"/>
        <v>167</v>
      </c>
      <c r="Z75">
        <f t="shared" si="31"/>
        <v>167</v>
      </c>
      <c r="AA75">
        <f t="shared" si="32"/>
        <v>135</v>
      </c>
      <c r="AB75">
        <f t="shared" si="33"/>
        <v>135</v>
      </c>
      <c r="AC75">
        <f t="shared" si="34"/>
        <v>120</v>
      </c>
      <c r="AD75">
        <f t="shared" si="35"/>
        <v>117</v>
      </c>
      <c r="AE75">
        <f t="shared" si="36"/>
        <v>107</v>
      </c>
      <c r="AF75">
        <f t="shared" si="37"/>
        <v>75</v>
      </c>
      <c r="AG75">
        <f t="shared" si="38"/>
        <v>67</v>
      </c>
      <c r="AH75">
        <f t="shared" si="39"/>
        <v>54</v>
      </c>
      <c r="AI75">
        <f t="shared" si="40"/>
        <v>112</v>
      </c>
      <c r="AJ75">
        <f t="shared" si="41"/>
        <v>102</v>
      </c>
      <c r="AK75">
        <f t="shared" si="42"/>
        <v>70</v>
      </c>
      <c r="AL75">
        <f t="shared" si="43"/>
        <v>63</v>
      </c>
      <c r="AM75">
        <f t="shared" si="44"/>
        <v>49</v>
      </c>
      <c r="AN75">
        <f t="shared" si="45"/>
        <v>101</v>
      </c>
      <c r="AO75">
        <f t="shared" si="46"/>
        <v>92</v>
      </c>
      <c r="AP75">
        <f t="shared" si="47"/>
        <v>60</v>
      </c>
      <c r="AQ75">
        <f t="shared" si="48"/>
        <v>54</v>
      </c>
      <c r="AR75">
        <f t="shared" si="49"/>
        <v>40</v>
      </c>
      <c r="AS75">
        <f t="shared" si="50"/>
        <v>117</v>
      </c>
      <c r="AT75">
        <f t="shared" si="51"/>
        <v>107</v>
      </c>
      <c r="AU75">
        <f t="shared" si="52"/>
        <v>75</v>
      </c>
      <c r="AV75">
        <f t="shared" si="53"/>
        <v>67</v>
      </c>
      <c r="AW75">
        <f t="shared" si="54"/>
        <v>54</v>
      </c>
      <c r="AX75">
        <f t="shared" si="55"/>
        <v>106</v>
      </c>
      <c r="AY75">
        <f t="shared" si="56"/>
        <v>97</v>
      </c>
      <c r="AZ75">
        <f t="shared" si="57"/>
        <v>65</v>
      </c>
      <c r="BA75">
        <f t="shared" si="58"/>
        <v>58</v>
      </c>
      <c r="BB75">
        <f t="shared" si="59"/>
        <v>45</v>
      </c>
    </row>
    <row r="76" spans="1:54" x14ac:dyDescent="0.15">
      <c r="A76">
        <v>40</v>
      </c>
      <c r="B76" t="s">
        <v>296</v>
      </c>
      <c r="C76">
        <v>49</v>
      </c>
      <c r="D76">
        <v>0</v>
      </c>
      <c r="E76" t="s">
        <v>297</v>
      </c>
      <c r="G76" t="s">
        <v>297</v>
      </c>
      <c r="H76" t="s">
        <v>298</v>
      </c>
      <c r="J76" t="s">
        <v>299</v>
      </c>
      <c r="K76">
        <v>12.5</v>
      </c>
      <c r="L76">
        <v>1.5</v>
      </c>
      <c r="M76" t="s">
        <v>90</v>
      </c>
      <c r="N76" t="s">
        <v>27</v>
      </c>
      <c r="O76" t="s">
        <v>91</v>
      </c>
      <c r="P76" t="s">
        <v>101</v>
      </c>
      <c r="Q76" t="s">
        <v>300</v>
      </c>
      <c r="R76">
        <v>9</v>
      </c>
      <c r="S76">
        <v>70</v>
      </c>
      <c r="T76">
        <v>65</v>
      </c>
      <c r="U76">
        <v>60</v>
      </c>
      <c r="V76">
        <v>90</v>
      </c>
      <c r="W76">
        <v>75</v>
      </c>
      <c r="X76">
        <v>90</v>
      </c>
      <c r="Y76">
        <f t="shared" si="30"/>
        <v>177</v>
      </c>
      <c r="Z76">
        <f t="shared" si="31"/>
        <v>177</v>
      </c>
      <c r="AA76">
        <f t="shared" si="32"/>
        <v>145</v>
      </c>
      <c r="AB76">
        <f t="shared" si="33"/>
        <v>145</v>
      </c>
      <c r="AC76">
        <f t="shared" si="34"/>
        <v>130</v>
      </c>
      <c r="AD76">
        <f t="shared" si="35"/>
        <v>128</v>
      </c>
      <c r="AE76">
        <f t="shared" si="36"/>
        <v>117</v>
      </c>
      <c r="AF76">
        <f t="shared" si="37"/>
        <v>85</v>
      </c>
      <c r="AG76">
        <f t="shared" si="38"/>
        <v>76</v>
      </c>
      <c r="AH76">
        <f t="shared" si="39"/>
        <v>63</v>
      </c>
      <c r="AI76">
        <f t="shared" si="40"/>
        <v>123</v>
      </c>
      <c r="AJ76">
        <f t="shared" si="41"/>
        <v>112</v>
      </c>
      <c r="AK76">
        <f t="shared" si="42"/>
        <v>80</v>
      </c>
      <c r="AL76">
        <f t="shared" si="43"/>
        <v>72</v>
      </c>
      <c r="AM76">
        <f t="shared" si="44"/>
        <v>58</v>
      </c>
      <c r="AN76">
        <f t="shared" si="45"/>
        <v>156</v>
      </c>
      <c r="AO76">
        <f t="shared" si="46"/>
        <v>142</v>
      </c>
      <c r="AP76">
        <f t="shared" si="47"/>
        <v>110</v>
      </c>
      <c r="AQ76">
        <f t="shared" si="48"/>
        <v>99</v>
      </c>
      <c r="AR76">
        <f t="shared" si="49"/>
        <v>85</v>
      </c>
      <c r="AS76">
        <f t="shared" si="50"/>
        <v>139</v>
      </c>
      <c r="AT76">
        <f t="shared" si="51"/>
        <v>127</v>
      </c>
      <c r="AU76">
        <f t="shared" si="52"/>
        <v>95</v>
      </c>
      <c r="AV76">
        <f t="shared" si="53"/>
        <v>85</v>
      </c>
      <c r="AW76">
        <f t="shared" si="54"/>
        <v>72</v>
      </c>
      <c r="AX76">
        <f t="shared" si="55"/>
        <v>156</v>
      </c>
      <c r="AY76">
        <f t="shared" si="56"/>
        <v>142</v>
      </c>
      <c r="AZ76">
        <f t="shared" si="57"/>
        <v>110</v>
      </c>
      <c r="BA76">
        <f t="shared" si="58"/>
        <v>99</v>
      </c>
      <c r="BB76">
        <f t="shared" si="59"/>
        <v>85</v>
      </c>
    </row>
    <row r="77" spans="1:54" x14ac:dyDescent="0.15">
      <c r="A77">
        <v>41</v>
      </c>
      <c r="B77" t="s">
        <v>301</v>
      </c>
      <c r="C77">
        <v>50</v>
      </c>
      <c r="D77">
        <v>0</v>
      </c>
      <c r="E77" t="s">
        <v>302</v>
      </c>
      <c r="G77" t="s">
        <v>302</v>
      </c>
      <c r="H77" t="s">
        <v>303</v>
      </c>
      <c r="J77" t="s">
        <v>304</v>
      </c>
      <c r="K77">
        <v>0.8</v>
      </c>
      <c r="L77">
        <v>0.2</v>
      </c>
      <c r="M77" t="s">
        <v>196</v>
      </c>
      <c r="O77" t="s">
        <v>197</v>
      </c>
      <c r="P77" t="s">
        <v>305</v>
      </c>
      <c r="Q77" t="s">
        <v>306</v>
      </c>
      <c r="R77">
        <v>9</v>
      </c>
      <c r="S77">
        <v>10</v>
      </c>
      <c r="T77">
        <v>55</v>
      </c>
      <c r="U77">
        <v>25</v>
      </c>
      <c r="V77">
        <v>35</v>
      </c>
      <c r="W77">
        <v>45</v>
      </c>
      <c r="X77">
        <v>95</v>
      </c>
      <c r="Y77">
        <f t="shared" si="30"/>
        <v>117</v>
      </c>
      <c r="Z77">
        <f t="shared" si="31"/>
        <v>117</v>
      </c>
      <c r="AA77">
        <f t="shared" si="32"/>
        <v>85</v>
      </c>
      <c r="AB77">
        <f t="shared" si="33"/>
        <v>85</v>
      </c>
      <c r="AC77">
        <f t="shared" si="34"/>
        <v>70</v>
      </c>
      <c r="AD77">
        <f t="shared" si="35"/>
        <v>117</v>
      </c>
      <c r="AE77">
        <f t="shared" si="36"/>
        <v>107</v>
      </c>
      <c r="AF77">
        <f t="shared" si="37"/>
        <v>75</v>
      </c>
      <c r="AG77">
        <f t="shared" si="38"/>
        <v>67</v>
      </c>
      <c r="AH77">
        <f t="shared" si="39"/>
        <v>54</v>
      </c>
      <c r="AI77">
        <f t="shared" si="40"/>
        <v>84</v>
      </c>
      <c r="AJ77">
        <f t="shared" si="41"/>
        <v>77</v>
      </c>
      <c r="AK77">
        <f t="shared" si="42"/>
        <v>45</v>
      </c>
      <c r="AL77">
        <f t="shared" si="43"/>
        <v>40</v>
      </c>
      <c r="AM77">
        <f t="shared" si="44"/>
        <v>27</v>
      </c>
      <c r="AN77">
        <f t="shared" si="45"/>
        <v>95</v>
      </c>
      <c r="AO77">
        <f t="shared" si="46"/>
        <v>87</v>
      </c>
      <c r="AP77">
        <f t="shared" si="47"/>
        <v>55</v>
      </c>
      <c r="AQ77">
        <f t="shared" si="48"/>
        <v>49</v>
      </c>
      <c r="AR77">
        <f t="shared" si="49"/>
        <v>36</v>
      </c>
      <c r="AS77">
        <f t="shared" si="50"/>
        <v>106</v>
      </c>
      <c r="AT77">
        <f t="shared" si="51"/>
        <v>97</v>
      </c>
      <c r="AU77">
        <f t="shared" si="52"/>
        <v>65</v>
      </c>
      <c r="AV77">
        <f t="shared" si="53"/>
        <v>58</v>
      </c>
      <c r="AW77">
        <f t="shared" si="54"/>
        <v>45</v>
      </c>
      <c r="AX77">
        <f t="shared" si="55"/>
        <v>161</v>
      </c>
      <c r="AY77">
        <f t="shared" si="56"/>
        <v>147</v>
      </c>
      <c r="AZ77">
        <f t="shared" si="57"/>
        <v>115</v>
      </c>
      <c r="BA77">
        <f t="shared" si="58"/>
        <v>103</v>
      </c>
      <c r="BB77">
        <f t="shared" si="59"/>
        <v>90</v>
      </c>
    </row>
    <row r="78" spans="1:54" x14ac:dyDescent="0.15">
      <c r="A78">
        <v>42</v>
      </c>
      <c r="B78" t="s">
        <v>307</v>
      </c>
      <c r="C78">
        <v>50</v>
      </c>
      <c r="D78">
        <v>1</v>
      </c>
      <c r="E78" t="s">
        <v>302</v>
      </c>
      <c r="F78" t="s">
        <v>138</v>
      </c>
      <c r="G78" t="s">
        <v>308</v>
      </c>
      <c r="H78" t="s">
        <v>309</v>
      </c>
      <c r="J78" t="s">
        <v>304</v>
      </c>
      <c r="K78">
        <v>1</v>
      </c>
      <c r="L78">
        <v>0.2</v>
      </c>
      <c r="M78" t="s">
        <v>196</v>
      </c>
      <c r="N78" t="s">
        <v>203</v>
      </c>
      <c r="O78" t="s">
        <v>197</v>
      </c>
      <c r="P78" t="s">
        <v>310</v>
      </c>
      <c r="Q78" t="s">
        <v>306</v>
      </c>
      <c r="R78">
        <v>9</v>
      </c>
      <c r="S78">
        <v>10</v>
      </c>
      <c r="T78">
        <v>55</v>
      </c>
      <c r="U78">
        <v>30</v>
      </c>
      <c r="V78">
        <v>35</v>
      </c>
      <c r="W78">
        <v>45</v>
      </c>
      <c r="X78">
        <v>90</v>
      </c>
      <c r="Y78">
        <f t="shared" si="30"/>
        <v>117</v>
      </c>
      <c r="Z78">
        <f t="shared" si="31"/>
        <v>117</v>
      </c>
      <c r="AA78">
        <f t="shared" si="32"/>
        <v>85</v>
      </c>
      <c r="AB78">
        <f t="shared" si="33"/>
        <v>85</v>
      </c>
      <c r="AC78">
        <f t="shared" si="34"/>
        <v>70</v>
      </c>
      <c r="AD78">
        <f t="shared" si="35"/>
        <v>117</v>
      </c>
      <c r="AE78">
        <f t="shared" si="36"/>
        <v>107</v>
      </c>
      <c r="AF78">
        <f t="shared" si="37"/>
        <v>75</v>
      </c>
      <c r="AG78">
        <f t="shared" si="38"/>
        <v>67</v>
      </c>
      <c r="AH78">
        <f t="shared" si="39"/>
        <v>54</v>
      </c>
      <c r="AI78">
        <f t="shared" si="40"/>
        <v>90</v>
      </c>
      <c r="AJ78">
        <f t="shared" si="41"/>
        <v>82</v>
      </c>
      <c r="AK78">
        <f t="shared" si="42"/>
        <v>50</v>
      </c>
      <c r="AL78">
        <f t="shared" si="43"/>
        <v>45</v>
      </c>
      <c r="AM78">
        <f t="shared" si="44"/>
        <v>31</v>
      </c>
      <c r="AN78">
        <f t="shared" si="45"/>
        <v>95</v>
      </c>
      <c r="AO78">
        <f t="shared" si="46"/>
        <v>87</v>
      </c>
      <c r="AP78">
        <f t="shared" si="47"/>
        <v>55</v>
      </c>
      <c r="AQ78">
        <f t="shared" si="48"/>
        <v>49</v>
      </c>
      <c r="AR78">
        <f t="shared" si="49"/>
        <v>36</v>
      </c>
      <c r="AS78">
        <f t="shared" si="50"/>
        <v>106</v>
      </c>
      <c r="AT78">
        <f t="shared" si="51"/>
        <v>97</v>
      </c>
      <c r="AU78">
        <f t="shared" si="52"/>
        <v>65</v>
      </c>
      <c r="AV78">
        <f t="shared" si="53"/>
        <v>58</v>
      </c>
      <c r="AW78">
        <f t="shared" si="54"/>
        <v>45</v>
      </c>
      <c r="AX78">
        <f t="shared" si="55"/>
        <v>156</v>
      </c>
      <c r="AY78">
        <f t="shared" si="56"/>
        <v>142</v>
      </c>
      <c r="AZ78">
        <f t="shared" si="57"/>
        <v>110</v>
      </c>
      <c r="BA78">
        <f t="shared" si="58"/>
        <v>99</v>
      </c>
      <c r="BB78">
        <f t="shared" si="59"/>
        <v>85</v>
      </c>
    </row>
    <row r="79" spans="1:54" x14ac:dyDescent="0.15">
      <c r="A79">
        <v>43</v>
      </c>
      <c r="B79" t="s">
        <v>311</v>
      </c>
      <c r="C79">
        <v>51</v>
      </c>
      <c r="D79">
        <v>0</v>
      </c>
      <c r="E79" t="s">
        <v>312</v>
      </c>
      <c r="G79" t="s">
        <v>312</v>
      </c>
      <c r="H79" t="s">
        <v>313</v>
      </c>
      <c r="J79" t="s">
        <v>304</v>
      </c>
      <c r="K79">
        <v>33.299999999999997</v>
      </c>
      <c r="L79">
        <v>0.7</v>
      </c>
      <c r="M79" t="s">
        <v>196</v>
      </c>
      <c r="O79" t="s">
        <v>197</v>
      </c>
      <c r="P79" t="s">
        <v>305</v>
      </c>
      <c r="Q79" t="s">
        <v>306</v>
      </c>
      <c r="R79">
        <v>9</v>
      </c>
      <c r="S79">
        <v>35</v>
      </c>
      <c r="T79">
        <v>100</v>
      </c>
      <c r="U79">
        <v>50</v>
      </c>
      <c r="V79">
        <v>50</v>
      </c>
      <c r="W79">
        <v>70</v>
      </c>
      <c r="X79">
        <v>120</v>
      </c>
      <c r="Y79">
        <f t="shared" si="30"/>
        <v>142</v>
      </c>
      <c r="Z79">
        <f t="shared" si="31"/>
        <v>142</v>
      </c>
      <c r="AA79">
        <f t="shared" si="32"/>
        <v>110</v>
      </c>
      <c r="AB79">
        <f t="shared" si="33"/>
        <v>110</v>
      </c>
      <c r="AC79">
        <f t="shared" si="34"/>
        <v>95</v>
      </c>
      <c r="AD79">
        <f t="shared" si="35"/>
        <v>167</v>
      </c>
      <c r="AE79">
        <f t="shared" si="36"/>
        <v>152</v>
      </c>
      <c r="AF79">
        <f t="shared" si="37"/>
        <v>120</v>
      </c>
      <c r="AG79">
        <f t="shared" si="38"/>
        <v>108</v>
      </c>
      <c r="AH79">
        <f t="shared" si="39"/>
        <v>94</v>
      </c>
      <c r="AI79">
        <f t="shared" si="40"/>
        <v>112</v>
      </c>
      <c r="AJ79">
        <f t="shared" si="41"/>
        <v>102</v>
      </c>
      <c r="AK79">
        <f t="shared" si="42"/>
        <v>70</v>
      </c>
      <c r="AL79">
        <f t="shared" si="43"/>
        <v>63</v>
      </c>
      <c r="AM79">
        <f t="shared" si="44"/>
        <v>49</v>
      </c>
      <c r="AN79">
        <f t="shared" si="45"/>
        <v>112</v>
      </c>
      <c r="AO79">
        <f t="shared" si="46"/>
        <v>102</v>
      </c>
      <c r="AP79">
        <f t="shared" si="47"/>
        <v>70</v>
      </c>
      <c r="AQ79">
        <f t="shared" si="48"/>
        <v>63</v>
      </c>
      <c r="AR79">
        <f t="shared" si="49"/>
        <v>49</v>
      </c>
      <c r="AS79">
        <f t="shared" si="50"/>
        <v>134</v>
      </c>
      <c r="AT79">
        <f t="shared" si="51"/>
        <v>122</v>
      </c>
      <c r="AU79">
        <f t="shared" si="52"/>
        <v>90</v>
      </c>
      <c r="AV79">
        <f t="shared" si="53"/>
        <v>81</v>
      </c>
      <c r="AW79">
        <f t="shared" si="54"/>
        <v>67</v>
      </c>
      <c r="AX79">
        <f t="shared" si="55"/>
        <v>189</v>
      </c>
      <c r="AY79">
        <f t="shared" si="56"/>
        <v>172</v>
      </c>
      <c r="AZ79">
        <f t="shared" si="57"/>
        <v>140</v>
      </c>
      <c r="BA79">
        <f t="shared" si="58"/>
        <v>126</v>
      </c>
      <c r="BB79">
        <f t="shared" si="59"/>
        <v>112</v>
      </c>
    </row>
    <row r="80" spans="1:54" x14ac:dyDescent="0.15">
      <c r="A80">
        <v>44</v>
      </c>
      <c r="B80" t="s">
        <v>314</v>
      </c>
      <c r="C80">
        <v>51</v>
      </c>
      <c r="D80">
        <v>1</v>
      </c>
      <c r="E80" t="s">
        <v>312</v>
      </c>
      <c r="F80" t="s">
        <v>138</v>
      </c>
      <c r="G80" t="s">
        <v>315</v>
      </c>
      <c r="H80" t="s">
        <v>316</v>
      </c>
      <c r="J80" t="s">
        <v>304</v>
      </c>
      <c r="K80">
        <v>66.599999999999994</v>
      </c>
      <c r="L80">
        <v>0.7</v>
      </c>
      <c r="M80" t="s">
        <v>196</v>
      </c>
      <c r="N80" t="s">
        <v>203</v>
      </c>
      <c r="O80" t="s">
        <v>197</v>
      </c>
      <c r="P80" t="s">
        <v>310</v>
      </c>
      <c r="Q80" t="s">
        <v>306</v>
      </c>
      <c r="R80">
        <v>9</v>
      </c>
      <c r="S80">
        <v>35</v>
      </c>
      <c r="T80">
        <v>100</v>
      </c>
      <c r="U80">
        <v>60</v>
      </c>
      <c r="V80">
        <v>50</v>
      </c>
      <c r="W80">
        <v>70</v>
      </c>
      <c r="X80">
        <v>110</v>
      </c>
      <c r="Y80">
        <f t="shared" si="30"/>
        <v>142</v>
      </c>
      <c r="Z80">
        <f t="shared" si="31"/>
        <v>142</v>
      </c>
      <c r="AA80">
        <f t="shared" si="32"/>
        <v>110</v>
      </c>
      <c r="AB80">
        <f t="shared" si="33"/>
        <v>110</v>
      </c>
      <c r="AC80">
        <f t="shared" si="34"/>
        <v>95</v>
      </c>
      <c r="AD80">
        <f t="shared" si="35"/>
        <v>167</v>
      </c>
      <c r="AE80">
        <f t="shared" si="36"/>
        <v>152</v>
      </c>
      <c r="AF80">
        <f t="shared" si="37"/>
        <v>120</v>
      </c>
      <c r="AG80">
        <f t="shared" si="38"/>
        <v>108</v>
      </c>
      <c r="AH80">
        <f t="shared" si="39"/>
        <v>94</v>
      </c>
      <c r="AI80">
        <f t="shared" si="40"/>
        <v>123</v>
      </c>
      <c r="AJ80">
        <f t="shared" si="41"/>
        <v>112</v>
      </c>
      <c r="AK80">
        <f t="shared" si="42"/>
        <v>80</v>
      </c>
      <c r="AL80">
        <f t="shared" si="43"/>
        <v>72</v>
      </c>
      <c r="AM80">
        <f t="shared" si="44"/>
        <v>58</v>
      </c>
      <c r="AN80">
        <f t="shared" si="45"/>
        <v>112</v>
      </c>
      <c r="AO80">
        <f t="shared" si="46"/>
        <v>102</v>
      </c>
      <c r="AP80">
        <f t="shared" si="47"/>
        <v>70</v>
      </c>
      <c r="AQ80">
        <f t="shared" si="48"/>
        <v>63</v>
      </c>
      <c r="AR80">
        <f t="shared" si="49"/>
        <v>49</v>
      </c>
      <c r="AS80">
        <f t="shared" si="50"/>
        <v>134</v>
      </c>
      <c r="AT80">
        <f t="shared" si="51"/>
        <v>122</v>
      </c>
      <c r="AU80">
        <f t="shared" si="52"/>
        <v>90</v>
      </c>
      <c r="AV80">
        <f t="shared" si="53"/>
        <v>81</v>
      </c>
      <c r="AW80">
        <f t="shared" si="54"/>
        <v>67</v>
      </c>
      <c r="AX80">
        <f t="shared" si="55"/>
        <v>178</v>
      </c>
      <c r="AY80">
        <f t="shared" si="56"/>
        <v>162</v>
      </c>
      <c r="AZ80">
        <f t="shared" si="57"/>
        <v>130</v>
      </c>
      <c r="BA80">
        <f t="shared" si="58"/>
        <v>117</v>
      </c>
      <c r="BB80">
        <f t="shared" si="59"/>
        <v>103</v>
      </c>
    </row>
    <row r="81" spans="1:54" x14ac:dyDescent="0.15">
      <c r="A81">
        <v>45</v>
      </c>
      <c r="B81" t="s">
        <v>317</v>
      </c>
      <c r="C81">
        <v>52</v>
      </c>
      <c r="D81">
        <v>0</v>
      </c>
      <c r="E81" t="s">
        <v>318</v>
      </c>
      <c r="G81" t="s">
        <v>318</v>
      </c>
      <c r="H81" t="s">
        <v>319</v>
      </c>
      <c r="J81" t="s">
        <v>320</v>
      </c>
      <c r="K81">
        <v>4.2</v>
      </c>
      <c r="L81">
        <v>0.4</v>
      </c>
      <c r="M81" t="s">
        <v>120</v>
      </c>
      <c r="O81" t="s">
        <v>321</v>
      </c>
      <c r="P81" t="s">
        <v>322</v>
      </c>
      <c r="Q81" t="s">
        <v>156</v>
      </c>
      <c r="R81">
        <v>9</v>
      </c>
      <c r="S81">
        <v>40</v>
      </c>
      <c r="T81">
        <v>45</v>
      </c>
      <c r="U81">
        <v>35</v>
      </c>
      <c r="V81">
        <v>40</v>
      </c>
      <c r="W81">
        <v>40</v>
      </c>
      <c r="X81">
        <v>90</v>
      </c>
      <c r="Y81">
        <f t="shared" si="30"/>
        <v>147</v>
      </c>
      <c r="Z81">
        <f t="shared" si="31"/>
        <v>147</v>
      </c>
      <c r="AA81">
        <f t="shared" si="32"/>
        <v>115</v>
      </c>
      <c r="AB81">
        <f t="shared" si="33"/>
        <v>115</v>
      </c>
      <c r="AC81">
        <f t="shared" si="34"/>
        <v>100</v>
      </c>
      <c r="AD81">
        <f t="shared" si="35"/>
        <v>106</v>
      </c>
      <c r="AE81">
        <f t="shared" si="36"/>
        <v>97</v>
      </c>
      <c r="AF81">
        <f t="shared" si="37"/>
        <v>65</v>
      </c>
      <c r="AG81">
        <f t="shared" si="38"/>
        <v>58</v>
      </c>
      <c r="AH81">
        <f t="shared" si="39"/>
        <v>45</v>
      </c>
      <c r="AI81">
        <f t="shared" si="40"/>
        <v>95</v>
      </c>
      <c r="AJ81">
        <f t="shared" si="41"/>
        <v>87</v>
      </c>
      <c r="AK81">
        <f t="shared" si="42"/>
        <v>55</v>
      </c>
      <c r="AL81">
        <f t="shared" si="43"/>
        <v>49</v>
      </c>
      <c r="AM81">
        <f t="shared" si="44"/>
        <v>36</v>
      </c>
      <c r="AN81">
        <f t="shared" si="45"/>
        <v>101</v>
      </c>
      <c r="AO81">
        <f t="shared" si="46"/>
        <v>92</v>
      </c>
      <c r="AP81">
        <f t="shared" si="47"/>
        <v>60</v>
      </c>
      <c r="AQ81">
        <f t="shared" si="48"/>
        <v>54</v>
      </c>
      <c r="AR81">
        <f t="shared" si="49"/>
        <v>40</v>
      </c>
      <c r="AS81">
        <f t="shared" si="50"/>
        <v>101</v>
      </c>
      <c r="AT81">
        <f t="shared" si="51"/>
        <v>92</v>
      </c>
      <c r="AU81">
        <f t="shared" si="52"/>
        <v>60</v>
      </c>
      <c r="AV81">
        <f t="shared" si="53"/>
        <v>54</v>
      </c>
      <c r="AW81">
        <f t="shared" si="54"/>
        <v>40</v>
      </c>
      <c r="AX81">
        <f t="shared" si="55"/>
        <v>156</v>
      </c>
      <c r="AY81">
        <f t="shared" si="56"/>
        <v>142</v>
      </c>
      <c r="AZ81">
        <f t="shared" si="57"/>
        <v>110</v>
      </c>
      <c r="BA81">
        <f t="shared" si="58"/>
        <v>99</v>
      </c>
      <c r="BB81">
        <f t="shared" si="59"/>
        <v>85</v>
      </c>
    </row>
    <row r="82" spans="1:54" x14ac:dyDescent="0.15">
      <c r="A82">
        <v>46</v>
      </c>
      <c r="B82" t="s">
        <v>323</v>
      </c>
      <c r="C82">
        <v>52</v>
      </c>
      <c r="D82">
        <v>1</v>
      </c>
      <c r="E82" t="s">
        <v>318</v>
      </c>
      <c r="F82" t="s">
        <v>138</v>
      </c>
      <c r="G82" t="s">
        <v>324</v>
      </c>
      <c r="H82" t="s">
        <v>325</v>
      </c>
      <c r="J82" t="s">
        <v>320</v>
      </c>
      <c r="K82">
        <v>4.2</v>
      </c>
      <c r="L82">
        <v>0.4</v>
      </c>
      <c r="M82" t="s">
        <v>140</v>
      </c>
      <c r="O82" t="s">
        <v>321</v>
      </c>
      <c r="P82" t="s">
        <v>322</v>
      </c>
      <c r="Q82" t="s">
        <v>156</v>
      </c>
      <c r="R82">
        <v>9</v>
      </c>
      <c r="S82">
        <v>40</v>
      </c>
      <c r="T82">
        <v>35</v>
      </c>
      <c r="U82">
        <v>35</v>
      </c>
      <c r="V82">
        <v>50</v>
      </c>
      <c r="W82">
        <v>40</v>
      </c>
      <c r="X82">
        <v>90</v>
      </c>
      <c r="Y82">
        <f t="shared" si="30"/>
        <v>147</v>
      </c>
      <c r="Z82">
        <f t="shared" si="31"/>
        <v>147</v>
      </c>
      <c r="AA82">
        <f t="shared" si="32"/>
        <v>115</v>
      </c>
      <c r="AB82">
        <f t="shared" si="33"/>
        <v>115</v>
      </c>
      <c r="AC82">
        <f t="shared" si="34"/>
        <v>100</v>
      </c>
      <c r="AD82">
        <f t="shared" si="35"/>
        <v>95</v>
      </c>
      <c r="AE82">
        <f t="shared" si="36"/>
        <v>87</v>
      </c>
      <c r="AF82">
        <f t="shared" si="37"/>
        <v>55</v>
      </c>
      <c r="AG82">
        <f t="shared" si="38"/>
        <v>49</v>
      </c>
      <c r="AH82">
        <f t="shared" si="39"/>
        <v>36</v>
      </c>
      <c r="AI82">
        <f t="shared" si="40"/>
        <v>95</v>
      </c>
      <c r="AJ82">
        <f t="shared" si="41"/>
        <v>87</v>
      </c>
      <c r="AK82">
        <f t="shared" si="42"/>
        <v>55</v>
      </c>
      <c r="AL82">
        <f t="shared" si="43"/>
        <v>49</v>
      </c>
      <c r="AM82">
        <f t="shared" si="44"/>
        <v>36</v>
      </c>
      <c r="AN82">
        <f t="shared" si="45"/>
        <v>112</v>
      </c>
      <c r="AO82">
        <f t="shared" si="46"/>
        <v>102</v>
      </c>
      <c r="AP82">
        <f t="shared" si="47"/>
        <v>70</v>
      </c>
      <c r="AQ82">
        <f t="shared" si="48"/>
        <v>63</v>
      </c>
      <c r="AR82">
        <f t="shared" si="49"/>
        <v>49</v>
      </c>
      <c r="AS82">
        <f t="shared" si="50"/>
        <v>101</v>
      </c>
      <c r="AT82">
        <f t="shared" si="51"/>
        <v>92</v>
      </c>
      <c r="AU82">
        <f t="shared" si="52"/>
        <v>60</v>
      </c>
      <c r="AV82">
        <f t="shared" si="53"/>
        <v>54</v>
      </c>
      <c r="AW82">
        <f t="shared" si="54"/>
        <v>40</v>
      </c>
      <c r="AX82">
        <f t="shared" si="55"/>
        <v>156</v>
      </c>
      <c r="AY82">
        <f t="shared" si="56"/>
        <v>142</v>
      </c>
      <c r="AZ82">
        <f t="shared" si="57"/>
        <v>110</v>
      </c>
      <c r="BA82">
        <f t="shared" si="58"/>
        <v>99</v>
      </c>
      <c r="BB82">
        <f t="shared" si="59"/>
        <v>85</v>
      </c>
    </row>
    <row r="83" spans="1:54" x14ac:dyDescent="0.15">
      <c r="A83">
        <v>47</v>
      </c>
      <c r="B83" t="s">
        <v>326</v>
      </c>
      <c r="C83">
        <v>52</v>
      </c>
      <c r="D83">
        <v>2</v>
      </c>
      <c r="E83" t="s">
        <v>318</v>
      </c>
      <c r="F83" t="s">
        <v>327</v>
      </c>
      <c r="G83" t="s">
        <v>328</v>
      </c>
      <c r="H83" t="s">
        <v>329</v>
      </c>
      <c r="J83" t="s">
        <v>320</v>
      </c>
      <c r="K83">
        <v>7.5</v>
      </c>
      <c r="L83">
        <v>0.4</v>
      </c>
      <c r="M83" t="s">
        <v>203</v>
      </c>
      <c r="O83" t="s">
        <v>321</v>
      </c>
      <c r="P83" t="s">
        <v>61</v>
      </c>
      <c r="Q83" t="s">
        <v>156</v>
      </c>
      <c r="R83">
        <v>9</v>
      </c>
      <c r="S83">
        <v>50</v>
      </c>
      <c r="T83">
        <v>65</v>
      </c>
      <c r="U83">
        <v>55</v>
      </c>
      <c r="V83">
        <v>40</v>
      </c>
      <c r="W83">
        <v>40</v>
      </c>
      <c r="X83">
        <v>40</v>
      </c>
      <c r="Y83">
        <f t="shared" si="30"/>
        <v>157</v>
      </c>
      <c r="Z83">
        <f t="shared" si="31"/>
        <v>157</v>
      </c>
      <c r="AA83">
        <f t="shared" si="32"/>
        <v>125</v>
      </c>
      <c r="AB83">
        <f t="shared" si="33"/>
        <v>125</v>
      </c>
      <c r="AC83">
        <f t="shared" si="34"/>
        <v>110</v>
      </c>
      <c r="AD83">
        <f t="shared" si="35"/>
        <v>128</v>
      </c>
      <c r="AE83">
        <f t="shared" si="36"/>
        <v>117</v>
      </c>
      <c r="AF83">
        <f t="shared" si="37"/>
        <v>85</v>
      </c>
      <c r="AG83">
        <f t="shared" si="38"/>
        <v>76</v>
      </c>
      <c r="AH83">
        <f t="shared" si="39"/>
        <v>63</v>
      </c>
      <c r="AI83">
        <f t="shared" si="40"/>
        <v>117</v>
      </c>
      <c r="AJ83">
        <f t="shared" si="41"/>
        <v>107</v>
      </c>
      <c r="AK83">
        <f t="shared" si="42"/>
        <v>75</v>
      </c>
      <c r="AL83">
        <f t="shared" si="43"/>
        <v>67</v>
      </c>
      <c r="AM83">
        <f t="shared" si="44"/>
        <v>54</v>
      </c>
      <c r="AN83">
        <f t="shared" si="45"/>
        <v>101</v>
      </c>
      <c r="AO83">
        <f t="shared" si="46"/>
        <v>92</v>
      </c>
      <c r="AP83">
        <f t="shared" si="47"/>
        <v>60</v>
      </c>
      <c r="AQ83">
        <f t="shared" si="48"/>
        <v>54</v>
      </c>
      <c r="AR83">
        <f t="shared" si="49"/>
        <v>40</v>
      </c>
      <c r="AS83">
        <f t="shared" si="50"/>
        <v>101</v>
      </c>
      <c r="AT83">
        <f t="shared" si="51"/>
        <v>92</v>
      </c>
      <c r="AU83">
        <f t="shared" si="52"/>
        <v>60</v>
      </c>
      <c r="AV83">
        <f t="shared" si="53"/>
        <v>54</v>
      </c>
      <c r="AW83">
        <f t="shared" si="54"/>
        <v>40</v>
      </c>
      <c r="AX83">
        <f t="shared" si="55"/>
        <v>101</v>
      </c>
      <c r="AY83">
        <f t="shared" si="56"/>
        <v>92</v>
      </c>
      <c r="AZ83">
        <f t="shared" si="57"/>
        <v>60</v>
      </c>
      <c r="BA83">
        <f t="shared" si="58"/>
        <v>54</v>
      </c>
      <c r="BB83">
        <f t="shared" si="59"/>
        <v>40</v>
      </c>
    </row>
    <row r="84" spans="1:54" x14ac:dyDescent="0.15">
      <c r="B84" t="s">
        <v>330</v>
      </c>
      <c r="C84">
        <v>52</v>
      </c>
      <c r="D84">
        <v>999</v>
      </c>
      <c r="E84" t="s">
        <v>318</v>
      </c>
      <c r="F84" t="s">
        <v>40</v>
      </c>
      <c r="G84" t="s">
        <v>331</v>
      </c>
      <c r="J84" t="s">
        <v>42</v>
      </c>
      <c r="K84">
        <v>9999.9</v>
      </c>
      <c r="L84">
        <v>33</v>
      </c>
      <c r="M84" t="s">
        <v>120</v>
      </c>
      <c r="O84" t="s">
        <v>321</v>
      </c>
      <c r="P84" t="s">
        <v>322</v>
      </c>
      <c r="Q84" t="s">
        <v>156</v>
      </c>
      <c r="R84">
        <v>8</v>
      </c>
      <c r="S84">
        <v>40</v>
      </c>
      <c r="T84">
        <v>45</v>
      </c>
      <c r="U84">
        <v>35</v>
      </c>
      <c r="V84">
        <v>40</v>
      </c>
      <c r="W84">
        <v>40</v>
      </c>
      <c r="X84">
        <v>90</v>
      </c>
      <c r="Y84">
        <f t="shared" si="30"/>
        <v>147</v>
      </c>
      <c r="Z84">
        <f t="shared" si="31"/>
        <v>147</v>
      </c>
      <c r="AA84">
        <f t="shared" si="32"/>
        <v>115</v>
      </c>
      <c r="AB84">
        <f t="shared" si="33"/>
        <v>115</v>
      </c>
      <c r="AC84">
        <f t="shared" si="34"/>
        <v>100</v>
      </c>
      <c r="AD84">
        <f t="shared" si="35"/>
        <v>106</v>
      </c>
      <c r="AE84">
        <f t="shared" si="36"/>
        <v>97</v>
      </c>
      <c r="AF84">
        <f t="shared" si="37"/>
        <v>65</v>
      </c>
      <c r="AG84">
        <f t="shared" si="38"/>
        <v>58</v>
      </c>
      <c r="AH84">
        <f t="shared" si="39"/>
        <v>45</v>
      </c>
      <c r="AI84">
        <f t="shared" si="40"/>
        <v>95</v>
      </c>
      <c r="AJ84">
        <f t="shared" si="41"/>
        <v>87</v>
      </c>
      <c r="AK84">
        <f t="shared" si="42"/>
        <v>55</v>
      </c>
      <c r="AL84">
        <f t="shared" si="43"/>
        <v>49</v>
      </c>
      <c r="AM84">
        <f t="shared" si="44"/>
        <v>36</v>
      </c>
      <c r="AN84">
        <f t="shared" si="45"/>
        <v>101</v>
      </c>
      <c r="AO84">
        <f t="shared" si="46"/>
        <v>92</v>
      </c>
      <c r="AP84">
        <f t="shared" si="47"/>
        <v>60</v>
      </c>
      <c r="AQ84">
        <f t="shared" si="48"/>
        <v>54</v>
      </c>
      <c r="AR84">
        <f t="shared" si="49"/>
        <v>40</v>
      </c>
      <c r="AS84">
        <f t="shared" si="50"/>
        <v>101</v>
      </c>
      <c r="AT84">
        <f t="shared" si="51"/>
        <v>92</v>
      </c>
      <c r="AU84">
        <f t="shared" si="52"/>
        <v>60</v>
      </c>
      <c r="AV84">
        <f t="shared" si="53"/>
        <v>54</v>
      </c>
      <c r="AW84">
        <f t="shared" si="54"/>
        <v>40</v>
      </c>
      <c r="AX84">
        <f t="shared" si="55"/>
        <v>156</v>
      </c>
      <c r="AY84">
        <f t="shared" si="56"/>
        <v>142</v>
      </c>
      <c r="AZ84">
        <f t="shared" si="57"/>
        <v>110</v>
      </c>
      <c r="BA84">
        <f t="shared" si="58"/>
        <v>99</v>
      </c>
      <c r="BB84">
        <f t="shared" si="59"/>
        <v>85</v>
      </c>
    </row>
    <row r="85" spans="1:54" x14ac:dyDescent="0.15">
      <c r="A85">
        <v>48</v>
      </c>
      <c r="B85" t="s">
        <v>332</v>
      </c>
      <c r="C85">
        <v>53</v>
      </c>
      <c r="D85">
        <v>0</v>
      </c>
      <c r="E85" t="s">
        <v>333</v>
      </c>
      <c r="G85" t="s">
        <v>333</v>
      </c>
      <c r="H85" t="s">
        <v>334</v>
      </c>
      <c r="J85" t="s">
        <v>335</v>
      </c>
      <c r="K85">
        <v>32</v>
      </c>
      <c r="L85">
        <v>1</v>
      </c>
      <c r="M85" t="s">
        <v>120</v>
      </c>
      <c r="O85" t="s">
        <v>336</v>
      </c>
      <c r="P85" t="s">
        <v>322</v>
      </c>
      <c r="Q85" t="s">
        <v>156</v>
      </c>
      <c r="R85">
        <v>9</v>
      </c>
      <c r="S85">
        <v>65</v>
      </c>
      <c r="T85">
        <v>70</v>
      </c>
      <c r="U85">
        <v>60</v>
      </c>
      <c r="V85">
        <v>65</v>
      </c>
      <c r="W85">
        <v>65</v>
      </c>
      <c r="X85">
        <v>115</v>
      </c>
      <c r="Y85">
        <f t="shared" si="30"/>
        <v>172</v>
      </c>
      <c r="Z85">
        <f t="shared" si="31"/>
        <v>172</v>
      </c>
      <c r="AA85">
        <f t="shared" si="32"/>
        <v>140</v>
      </c>
      <c r="AB85">
        <f t="shared" si="33"/>
        <v>140</v>
      </c>
      <c r="AC85">
        <f t="shared" si="34"/>
        <v>125</v>
      </c>
      <c r="AD85">
        <f t="shared" si="35"/>
        <v>134</v>
      </c>
      <c r="AE85">
        <f t="shared" si="36"/>
        <v>122</v>
      </c>
      <c r="AF85">
        <f t="shared" si="37"/>
        <v>90</v>
      </c>
      <c r="AG85">
        <f t="shared" si="38"/>
        <v>81</v>
      </c>
      <c r="AH85">
        <f t="shared" si="39"/>
        <v>67</v>
      </c>
      <c r="AI85">
        <f t="shared" si="40"/>
        <v>123</v>
      </c>
      <c r="AJ85">
        <f t="shared" si="41"/>
        <v>112</v>
      </c>
      <c r="AK85">
        <f t="shared" si="42"/>
        <v>80</v>
      </c>
      <c r="AL85">
        <f t="shared" si="43"/>
        <v>72</v>
      </c>
      <c r="AM85">
        <f t="shared" si="44"/>
        <v>58</v>
      </c>
      <c r="AN85">
        <f t="shared" si="45"/>
        <v>128</v>
      </c>
      <c r="AO85">
        <f t="shared" si="46"/>
        <v>117</v>
      </c>
      <c r="AP85">
        <f t="shared" si="47"/>
        <v>85</v>
      </c>
      <c r="AQ85">
        <f t="shared" si="48"/>
        <v>76</v>
      </c>
      <c r="AR85">
        <f t="shared" si="49"/>
        <v>63</v>
      </c>
      <c r="AS85">
        <f t="shared" si="50"/>
        <v>128</v>
      </c>
      <c r="AT85">
        <f t="shared" si="51"/>
        <v>117</v>
      </c>
      <c r="AU85">
        <f t="shared" si="52"/>
        <v>85</v>
      </c>
      <c r="AV85">
        <f t="shared" si="53"/>
        <v>76</v>
      </c>
      <c r="AW85">
        <f t="shared" si="54"/>
        <v>63</v>
      </c>
      <c r="AX85">
        <f t="shared" si="55"/>
        <v>183</v>
      </c>
      <c r="AY85">
        <f t="shared" si="56"/>
        <v>167</v>
      </c>
      <c r="AZ85">
        <f t="shared" si="57"/>
        <v>135</v>
      </c>
      <c r="BA85">
        <f t="shared" si="58"/>
        <v>121</v>
      </c>
      <c r="BB85">
        <f t="shared" si="59"/>
        <v>108</v>
      </c>
    </row>
    <row r="86" spans="1:54" x14ac:dyDescent="0.15">
      <c r="A86">
        <v>49</v>
      </c>
      <c r="B86" t="s">
        <v>337</v>
      </c>
      <c r="C86">
        <v>53</v>
      </c>
      <c r="D86">
        <v>1</v>
      </c>
      <c r="E86" t="s">
        <v>333</v>
      </c>
      <c r="F86" t="s">
        <v>138</v>
      </c>
      <c r="G86" t="s">
        <v>338</v>
      </c>
      <c r="H86" t="s">
        <v>339</v>
      </c>
      <c r="J86" t="s">
        <v>335</v>
      </c>
      <c r="K86">
        <v>33</v>
      </c>
      <c r="L86">
        <v>1.1000000000000001</v>
      </c>
      <c r="M86" t="s">
        <v>140</v>
      </c>
      <c r="O86" t="s">
        <v>340</v>
      </c>
      <c r="P86" t="s">
        <v>322</v>
      </c>
      <c r="Q86" t="s">
        <v>156</v>
      </c>
      <c r="R86">
        <v>9</v>
      </c>
      <c r="S86">
        <v>65</v>
      </c>
      <c r="T86">
        <v>60</v>
      </c>
      <c r="U86">
        <v>60</v>
      </c>
      <c r="V86">
        <v>75</v>
      </c>
      <c r="W86">
        <v>65</v>
      </c>
      <c r="X86">
        <v>115</v>
      </c>
      <c r="Y86">
        <f t="shared" si="30"/>
        <v>172</v>
      </c>
      <c r="Z86">
        <f t="shared" si="31"/>
        <v>172</v>
      </c>
      <c r="AA86">
        <f t="shared" si="32"/>
        <v>140</v>
      </c>
      <c r="AB86">
        <f t="shared" si="33"/>
        <v>140</v>
      </c>
      <c r="AC86">
        <f t="shared" si="34"/>
        <v>125</v>
      </c>
      <c r="AD86">
        <f t="shared" si="35"/>
        <v>123</v>
      </c>
      <c r="AE86">
        <f t="shared" si="36"/>
        <v>112</v>
      </c>
      <c r="AF86">
        <f t="shared" si="37"/>
        <v>80</v>
      </c>
      <c r="AG86">
        <f t="shared" si="38"/>
        <v>72</v>
      </c>
      <c r="AH86">
        <f t="shared" si="39"/>
        <v>58</v>
      </c>
      <c r="AI86">
        <f t="shared" si="40"/>
        <v>123</v>
      </c>
      <c r="AJ86">
        <f t="shared" si="41"/>
        <v>112</v>
      </c>
      <c r="AK86">
        <f t="shared" si="42"/>
        <v>80</v>
      </c>
      <c r="AL86">
        <f t="shared" si="43"/>
        <v>72</v>
      </c>
      <c r="AM86">
        <f t="shared" si="44"/>
        <v>58</v>
      </c>
      <c r="AN86">
        <f t="shared" si="45"/>
        <v>139</v>
      </c>
      <c r="AO86">
        <f t="shared" si="46"/>
        <v>127</v>
      </c>
      <c r="AP86">
        <f t="shared" si="47"/>
        <v>95</v>
      </c>
      <c r="AQ86">
        <f t="shared" si="48"/>
        <v>85</v>
      </c>
      <c r="AR86">
        <f t="shared" si="49"/>
        <v>72</v>
      </c>
      <c r="AS86">
        <f t="shared" si="50"/>
        <v>128</v>
      </c>
      <c r="AT86">
        <f t="shared" si="51"/>
        <v>117</v>
      </c>
      <c r="AU86">
        <f t="shared" si="52"/>
        <v>85</v>
      </c>
      <c r="AV86">
        <f t="shared" si="53"/>
        <v>76</v>
      </c>
      <c r="AW86">
        <f t="shared" si="54"/>
        <v>63</v>
      </c>
      <c r="AX86">
        <f t="shared" si="55"/>
        <v>183</v>
      </c>
      <c r="AY86">
        <f t="shared" si="56"/>
        <v>167</v>
      </c>
      <c r="AZ86">
        <f t="shared" si="57"/>
        <v>135</v>
      </c>
      <c r="BA86">
        <f t="shared" si="58"/>
        <v>121</v>
      </c>
      <c r="BB86">
        <f t="shared" si="59"/>
        <v>108</v>
      </c>
    </row>
    <row r="87" spans="1:54" x14ac:dyDescent="0.15">
      <c r="A87">
        <v>50</v>
      </c>
      <c r="B87" t="s">
        <v>341</v>
      </c>
      <c r="C87">
        <v>54</v>
      </c>
      <c r="D87">
        <v>0</v>
      </c>
      <c r="E87" t="s">
        <v>342</v>
      </c>
      <c r="G87" t="s">
        <v>342</v>
      </c>
      <c r="H87" t="s">
        <v>343</v>
      </c>
      <c r="J87" t="s">
        <v>344</v>
      </c>
      <c r="K87">
        <v>19.600000000000001</v>
      </c>
      <c r="L87">
        <v>0.8</v>
      </c>
      <c r="M87" t="s">
        <v>71</v>
      </c>
      <c r="O87" t="s">
        <v>289</v>
      </c>
      <c r="P87" t="s">
        <v>345</v>
      </c>
      <c r="Q87" t="s">
        <v>346</v>
      </c>
      <c r="R87">
        <v>9</v>
      </c>
      <c r="S87">
        <v>50</v>
      </c>
      <c r="T87">
        <v>52</v>
      </c>
      <c r="U87">
        <v>48</v>
      </c>
      <c r="V87">
        <v>65</v>
      </c>
      <c r="W87">
        <v>50</v>
      </c>
      <c r="X87">
        <v>55</v>
      </c>
      <c r="Y87">
        <f t="shared" si="30"/>
        <v>157</v>
      </c>
      <c r="Z87">
        <f t="shared" si="31"/>
        <v>157</v>
      </c>
      <c r="AA87">
        <f t="shared" si="32"/>
        <v>125</v>
      </c>
      <c r="AB87">
        <f t="shared" si="33"/>
        <v>125</v>
      </c>
      <c r="AC87">
        <f t="shared" si="34"/>
        <v>110</v>
      </c>
      <c r="AD87">
        <f t="shared" si="35"/>
        <v>114</v>
      </c>
      <c r="AE87">
        <f t="shared" si="36"/>
        <v>104</v>
      </c>
      <c r="AF87">
        <f t="shared" si="37"/>
        <v>72</v>
      </c>
      <c r="AG87">
        <f t="shared" si="38"/>
        <v>64</v>
      </c>
      <c r="AH87">
        <f t="shared" si="39"/>
        <v>51</v>
      </c>
      <c r="AI87">
        <f t="shared" si="40"/>
        <v>110</v>
      </c>
      <c r="AJ87">
        <f t="shared" si="41"/>
        <v>100</v>
      </c>
      <c r="AK87">
        <f t="shared" si="42"/>
        <v>68</v>
      </c>
      <c r="AL87">
        <f t="shared" si="43"/>
        <v>61</v>
      </c>
      <c r="AM87">
        <f t="shared" si="44"/>
        <v>47</v>
      </c>
      <c r="AN87">
        <f t="shared" si="45"/>
        <v>128</v>
      </c>
      <c r="AO87">
        <f t="shared" si="46"/>
        <v>117</v>
      </c>
      <c r="AP87">
        <f t="shared" si="47"/>
        <v>85</v>
      </c>
      <c r="AQ87">
        <f t="shared" si="48"/>
        <v>76</v>
      </c>
      <c r="AR87">
        <f t="shared" si="49"/>
        <v>63</v>
      </c>
      <c r="AS87">
        <f t="shared" si="50"/>
        <v>112</v>
      </c>
      <c r="AT87">
        <f t="shared" si="51"/>
        <v>102</v>
      </c>
      <c r="AU87">
        <f t="shared" si="52"/>
        <v>70</v>
      </c>
      <c r="AV87">
        <f t="shared" si="53"/>
        <v>63</v>
      </c>
      <c r="AW87">
        <f t="shared" si="54"/>
        <v>49</v>
      </c>
      <c r="AX87">
        <f t="shared" si="55"/>
        <v>117</v>
      </c>
      <c r="AY87">
        <f t="shared" si="56"/>
        <v>107</v>
      </c>
      <c r="AZ87">
        <f t="shared" si="57"/>
        <v>75</v>
      </c>
      <c r="BA87">
        <f t="shared" si="58"/>
        <v>67</v>
      </c>
      <c r="BB87">
        <f t="shared" si="59"/>
        <v>54</v>
      </c>
    </row>
    <row r="88" spans="1:54" x14ac:dyDescent="0.15">
      <c r="A88">
        <v>51</v>
      </c>
      <c r="B88" t="s">
        <v>347</v>
      </c>
      <c r="C88">
        <v>55</v>
      </c>
      <c r="D88">
        <v>0</v>
      </c>
      <c r="E88" t="s">
        <v>348</v>
      </c>
      <c r="G88" t="s">
        <v>348</v>
      </c>
      <c r="H88" t="s">
        <v>349</v>
      </c>
      <c r="J88" t="s">
        <v>344</v>
      </c>
      <c r="K88">
        <v>76.599999999999994</v>
      </c>
      <c r="L88">
        <v>1.7</v>
      </c>
      <c r="M88" t="s">
        <v>71</v>
      </c>
      <c r="O88" t="s">
        <v>289</v>
      </c>
      <c r="P88" t="s">
        <v>345</v>
      </c>
      <c r="Q88" t="s">
        <v>346</v>
      </c>
      <c r="R88">
        <v>9</v>
      </c>
      <c r="S88">
        <v>80</v>
      </c>
      <c r="T88">
        <v>82</v>
      </c>
      <c r="U88">
        <v>78</v>
      </c>
      <c r="V88">
        <v>95</v>
      </c>
      <c r="W88">
        <v>80</v>
      </c>
      <c r="X88">
        <v>85</v>
      </c>
      <c r="Y88">
        <f t="shared" si="30"/>
        <v>187</v>
      </c>
      <c r="Z88">
        <f t="shared" si="31"/>
        <v>187</v>
      </c>
      <c r="AA88">
        <f t="shared" si="32"/>
        <v>155</v>
      </c>
      <c r="AB88">
        <f t="shared" si="33"/>
        <v>155</v>
      </c>
      <c r="AC88">
        <f t="shared" si="34"/>
        <v>140</v>
      </c>
      <c r="AD88">
        <f t="shared" si="35"/>
        <v>147</v>
      </c>
      <c r="AE88">
        <f t="shared" si="36"/>
        <v>134</v>
      </c>
      <c r="AF88">
        <f t="shared" si="37"/>
        <v>102</v>
      </c>
      <c r="AG88">
        <f t="shared" si="38"/>
        <v>91</v>
      </c>
      <c r="AH88">
        <f t="shared" si="39"/>
        <v>78</v>
      </c>
      <c r="AI88">
        <f t="shared" si="40"/>
        <v>143</v>
      </c>
      <c r="AJ88">
        <f t="shared" si="41"/>
        <v>130</v>
      </c>
      <c r="AK88">
        <f t="shared" si="42"/>
        <v>98</v>
      </c>
      <c r="AL88">
        <f t="shared" si="43"/>
        <v>88</v>
      </c>
      <c r="AM88">
        <f t="shared" si="44"/>
        <v>74</v>
      </c>
      <c r="AN88">
        <f t="shared" si="45"/>
        <v>161</v>
      </c>
      <c r="AO88">
        <f t="shared" si="46"/>
        <v>147</v>
      </c>
      <c r="AP88">
        <f t="shared" si="47"/>
        <v>115</v>
      </c>
      <c r="AQ88">
        <f t="shared" si="48"/>
        <v>103</v>
      </c>
      <c r="AR88">
        <f t="shared" si="49"/>
        <v>90</v>
      </c>
      <c r="AS88">
        <f t="shared" si="50"/>
        <v>145</v>
      </c>
      <c r="AT88">
        <f t="shared" si="51"/>
        <v>132</v>
      </c>
      <c r="AU88">
        <f t="shared" si="52"/>
        <v>100</v>
      </c>
      <c r="AV88">
        <f t="shared" si="53"/>
        <v>90</v>
      </c>
      <c r="AW88">
        <f t="shared" si="54"/>
        <v>76</v>
      </c>
      <c r="AX88">
        <f t="shared" si="55"/>
        <v>150</v>
      </c>
      <c r="AY88">
        <f t="shared" si="56"/>
        <v>137</v>
      </c>
      <c r="AZ88">
        <f t="shared" si="57"/>
        <v>105</v>
      </c>
      <c r="BA88">
        <f t="shared" si="58"/>
        <v>94</v>
      </c>
      <c r="BB88">
        <f t="shared" si="59"/>
        <v>81</v>
      </c>
    </row>
    <row r="89" spans="1:54" x14ac:dyDescent="0.15">
      <c r="A89">
        <v>52</v>
      </c>
      <c r="B89" t="s">
        <v>350</v>
      </c>
      <c r="C89">
        <v>56</v>
      </c>
      <c r="D89">
        <v>0</v>
      </c>
      <c r="E89" t="s">
        <v>351</v>
      </c>
      <c r="G89" t="s">
        <v>351</v>
      </c>
      <c r="H89" t="s">
        <v>352</v>
      </c>
      <c r="J89" t="s">
        <v>353</v>
      </c>
      <c r="K89">
        <v>28</v>
      </c>
      <c r="L89">
        <v>0.5</v>
      </c>
      <c r="M89" t="s">
        <v>354</v>
      </c>
      <c r="O89" t="s">
        <v>355</v>
      </c>
      <c r="P89" t="s">
        <v>356</v>
      </c>
      <c r="Q89" t="s">
        <v>357</v>
      </c>
      <c r="R89">
        <v>9</v>
      </c>
      <c r="S89">
        <v>40</v>
      </c>
      <c r="T89">
        <v>80</v>
      </c>
      <c r="U89">
        <v>35</v>
      </c>
      <c r="V89">
        <v>35</v>
      </c>
      <c r="W89">
        <v>45</v>
      </c>
      <c r="X89">
        <v>70</v>
      </c>
      <c r="Y89">
        <f t="shared" si="30"/>
        <v>147</v>
      </c>
      <c r="Z89">
        <f t="shared" si="31"/>
        <v>147</v>
      </c>
      <c r="AA89">
        <f t="shared" si="32"/>
        <v>115</v>
      </c>
      <c r="AB89">
        <f t="shared" si="33"/>
        <v>115</v>
      </c>
      <c r="AC89">
        <f t="shared" si="34"/>
        <v>100</v>
      </c>
      <c r="AD89">
        <f t="shared" si="35"/>
        <v>145</v>
      </c>
      <c r="AE89">
        <f t="shared" si="36"/>
        <v>132</v>
      </c>
      <c r="AF89">
        <f t="shared" si="37"/>
        <v>100</v>
      </c>
      <c r="AG89">
        <f t="shared" si="38"/>
        <v>90</v>
      </c>
      <c r="AH89">
        <f t="shared" si="39"/>
        <v>76</v>
      </c>
      <c r="AI89">
        <f t="shared" si="40"/>
        <v>95</v>
      </c>
      <c r="AJ89">
        <f t="shared" si="41"/>
        <v>87</v>
      </c>
      <c r="AK89">
        <f t="shared" si="42"/>
        <v>55</v>
      </c>
      <c r="AL89">
        <f t="shared" si="43"/>
        <v>49</v>
      </c>
      <c r="AM89">
        <f t="shared" si="44"/>
        <v>36</v>
      </c>
      <c r="AN89">
        <f t="shared" si="45"/>
        <v>95</v>
      </c>
      <c r="AO89">
        <f t="shared" si="46"/>
        <v>87</v>
      </c>
      <c r="AP89">
        <f t="shared" si="47"/>
        <v>55</v>
      </c>
      <c r="AQ89">
        <f t="shared" si="48"/>
        <v>49</v>
      </c>
      <c r="AR89">
        <f t="shared" si="49"/>
        <v>36</v>
      </c>
      <c r="AS89">
        <f t="shared" si="50"/>
        <v>106</v>
      </c>
      <c r="AT89">
        <f t="shared" si="51"/>
        <v>97</v>
      </c>
      <c r="AU89">
        <f t="shared" si="52"/>
        <v>65</v>
      </c>
      <c r="AV89">
        <f t="shared" si="53"/>
        <v>58</v>
      </c>
      <c r="AW89">
        <f t="shared" si="54"/>
        <v>45</v>
      </c>
      <c r="AX89">
        <f t="shared" si="55"/>
        <v>134</v>
      </c>
      <c r="AY89">
        <f t="shared" si="56"/>
        <v>122</v>
      </c>
      <c r="AZ89">
        <f t="shared" si="57"/>
        <v>90</v>
      </c>
      <c r="BA89">
        <f t="shared" si="58"/>
        <v>81</v>
      </c>
      <c r="BB89">
        <f t="shared" si="59"/>
        <v>67</v>
      </c>
    </row>
    <row r="90" spans="1:54" x14ac:dyDescent="0.15">
      <c r="A90">
        <v>53</v>
      </c>
      <c r="B90" t="s">
        <v>358</v>
      </c>
      <c r="C90">
        <v>57</v>
      </c>
      <c r="D90">
        <v>0</v>
      </c>
      <c r="E90" t="s">
        <v>359</v>
      </c>
      <c r="G90" t="s">
        <v>359</v>
      </c>
      <c r="H90" t="s">
        <v>360</v>
      </c>
      <c r="J90" t="s">
        <v>353</v>
      </c>
      <c r="K90">
        <v>32</v>
      </c>
      <c r="L90">
        <v>1</v>
      </c>
      <c r="M90" t="s">
        <v>354</v>
      </c>
      <c r="O90" t="s">
        <v>355</v>
      </c>
      <c r="P90" t="s">
        <v>356</v>
      </c>
      <c r="Q90" t="s">
        <v>357</v>
      </c>
      <c r="R90">
        <v>9</v>
      </c>
      <c r="S90">
        <v>65</v>
      </c>
      <c r="T90">
        <v>105</v>
      </c>
      <c r="U90">
        <v>60</v>
      </c>
      <c r="V90">
        <v>60</v>
      </c>
      <c r="W90">
        <v>70</v>
      </c>
      <c r="X90">
        <v>95</v>
      </c>
      <c r="Y90">
        <f t="shared" si="30"/>
        <v>172</v>
      </c>
      <c r="Z90">
        <f t="shared" si="31"/>
        <v>172</v>
      </c>
      <c r="AA90">
        <f t="shared" si="32"/>
        <v>140</v>
      </c>
      <c r="AB90">
        <f t="shared" si="33"/>
        <v>140</v>
      </c>
      <c r="AC90">
        <f t="shared" si="34"/>
        <v>125</v>
      </c>
      <c r="AD90">
        <f t="shared" si="35"/>
        <v>172</v>
      </c>
      <c r="AE90">
        <f t="shared" si="36"/>
        <v>157</v>
      </c>
      <c r="AF90">
        <f t="shared" si="37"/>
        <v>125</v>
      </c>
      <c r="AG90">
        <f t="shared" si="38"/>
        <v>112</v>
      </c>
      <c r="AH90">
        <f t="shared" si="39"/>
        <v>99</v>
      </c>
      <c r="AI90">
        <f t="shared" si="40"/>
        <v>123</v>
      </c>
      <c r="AJ90">
        <f t="shared" si="41"/>
        <v>112</v>
      </c>
      <c r="AK90">
        <f t="shared" si="42"/>
        <v>80</v>
      </c>
      <c r="AL90">
        <f t="shared" si="43"/>
        <v>72</v>
      </c>
      <c r="AM90">
        <f t="shared" si="44"/>
        <v>58</v>
      </c>
      <c r="AN90">
        <f t="shared" si="45"/>
        <v>123</v>
      </c>
      <c r="AO90">
        <f t="shared" si="46"/>
        <v>112</v>
      </c>
      <c r="AP90">
        <f t="shared" si="47"/>
        <v>80</v>
      </c>
      <c r="AQ90">
        <f t="shared" si="48"/>
        <v>72</v>
      </c>
      <c r="AR90">
        <f t="shared" si="49"/>
        <v>58</v>
      </c>
      <c r="AS90">
        <f t="shared" si="50"/>
        <v>134</v>
      </c>
      <c r="AT90">
        <f t="shared" si="51"/>
        <v>122</v>
      </c>
      <c r="AU90">
        <f t="shared" si="52"/>
        <v>90</v>
      </c>
      <c r="AV90">
        <f t="shared" si="53"/>
        <v>81</v>
      </c>
      <c r="AW90">
        <f t="shared" si="54"/>
        <v>67</v>
      </c>
      <c r="AX90">
        <f t="shared" si="55"/>
        <v>161</v>
      </c>
      <c r="AY90">
        <f t="shared" si="56"/>
        <v>147</v>
      </c>
      <c r="AZ90">
        <f t="shared" si="57"/>
        <v>115</v>
      </c>
      <c r="BA90">
        <f t="shared" si="58"/>
        <v>103</v>
      </c>
      <c r="BB90">
        <f t="shared" si="59"/>
        <v>90</v>
      </c>
    </row>
    <row r="91" spans="1:54" x14ac:dyDescent="0.15">
      <c r="A91">
        <v>54</v>
      </c>
      <c r="B91" t="s">
        <v>361</v>
      </c>
      <c r="C91">
        <v>58</v>
      </c>
      <c r="D91">
        <v>0</v>
      </c>
      <c r="E91" t="s">
        <v>362</v>
      </c>
      <c r="G91" t="s">
        <v>362</v>
      </c>
      <c r="H91" t="s">
        <v>363</v>
      </c>
      <c r="J91" t="s">
        <v>364</v>
      </c>
      <c r="K91">
        <v>19</v>
      </c>
      <c r="L91">
        <v>0.7</v>
      </c>
      <c r="M91" t="s">
        <v>47</v>
      </c>
      <c r="O91" t="s">
        <v>155</v>
      </c>
      <c r="P91" t="s">
        <v>245</v>
      </c>
      <c r="Q91" t="s">
        <v>365</v>
      </c>
      <c r="R91">
        <v>9</v>
      </c>
      <c r="S91">
        <v>55</v>
      </c>
      <c r="T91">
        <v>70</v>
      </c>
      <c r="U91">
        <v>45</v>
      </c>
      <c r="V91">
        <v>70</v>
      </c>
      <c r="W91">
        <v>50</v>
      </c>
      <c r="X91">
        <v>60</v>
      </c>
      <c r="Y91">
        <f t="shared" si="30"/>
        <v>162</v>
      </c>
      <c r="Z91">
        <f t="shared" si="31"/>
        <v>162</v>
      </c>
      <c r="AA91">
        <f t="shared" si="32"/>
        <v>130</v>
      </c>
      <c r="AB91">
        <f t="shared" si="33"/>
        <v>130</v>
      </c>
      <c r="AC91">
        <f t="shared" si="34"/>
        <v>115</v>
      </c>
      <c r="AD91">
        <f t="shared" si="35"/>
        <v>134</v>
      </c>
      <c r="AE91">
        <f t="shared" si="36"/>
        <v>122</v>
      </c>
      <c r="AF91">
        <f t="shared" si="37"/>
        <v>90</v>
      </c>
      <c r="AG91">
        <f t="shared" si="38"/>
        <v>81</v>
      </c>
      <c r="AH91">
        <f t="shared" si="39"/>
        <v>67</v>
      </c>
      <c r="AI91">
        <f t="shared" si="40"/>
        <v>106</v>
      </c>
      <c r="AJ91">
        <f t="shared" si="41"/>
        <v>97</v>
      </c>
      <c r="AK91">
        <f t="shared" si="42"/>
        <v>65</v>
      </c>
      <c r="AL91">
        <f t="shared" si="43"/>
        <v>58</v>
      </c>
      <c r="AM91">
        <f t="shared" si="44"/>
        <v>45</v>
      </c>
      <c r="AN91">
        <f t="shared" si="45"/>
        <v>134</v>
      </c>
      <c r="AO91">
        <f t="shared" si="46"/>
        <v>122</v>
      </c>
      <c r="AP91">
        <f t="shared" si="47"/>
        <v>90</v>
      </c>
      <c r="AQ91">
        <f t="shared" si="48"/>
        <v>81</v>
      </c>
      <c r="AR91">
        <f t="shared" si="49"/>
        <v>67</v>
      </c>
      <c r="AS91">
        <f t="shared" si="50"/>
        <v>112</v>
      </c>
      <c r="AT91">
        <f t="shared" si="51"/>
        <v>102</v>
      </c>
      <c r="AU91">
        <f t="shared" si="52"/>
        <v>70</v>
      </c>
      <c r="AV91">
        <f t="shared" si="53"/>
        <v>63</v>
      </c>
      <c r="AW91">
        <f t="shared" si="54"/>
        <v>49</v>
      </c>
      <c r="AX91">
        <f t="shared" si="55"/>
        <v>123</v>
      </c>
      <c r="AY91">
        <f t="shared" si="56"/>
        <v>112</v>
      </c>
      <c r="AZ91">
        <f t="shared" si="57"/>
        <v>80</v>
      </c>
      <c r="BA91">
        <f t="shared" si="58"/>
        <v>72</v>
      </c>
      <c r="BB91">
        <f t="shared" si="59"/>
        <v>58</v>
      </c>
    </row>
    <row r="92" spans="1:54" x14ac:dyDescent="0.15">
      <c r="A92">
        <v>55</v>
      </c>
      <c r="B92" t="s">
        <v>366</v>
      </c>
      <c r="C92">
        <v>58</v>
      </c>
      <c r="D92">
        <v>1</v>
      </c>
      <c r="E92" t="s">
        <v>362</v>
      </c>
      <c r="F92" t="s">
        <v>367</v>
      </c>
      <c r="G92" t="s">
        <v>368</v>
      </c>
      <c r="H92" t="s">
        <v>369</v>
      </c>
      <c r="J92" t="s">
        <v>370</v>
      </c>
      <c r="K92">
        <v>22.7</v>
      </c>
      <c r="L92">
        <v>0.8</v>
      </c>
      <c r="M92" t="s">
        <v>47</v>
      </c>
      <c r="N92" t="s">
        <v>371</v>
      </c>
      <c r="O92" t="s">
        <v>155</v>
      </c>
      <c r="P92" t="s">
        <v>245</v>
      </c>
      <c r="Q92" t="s">
        <v>365</v>
      </c>
      <c r="R92">
        <v>9</v>
      </c>
      <c r="S92">
        <v>60</v>
      </c>
      <c r="T92">
        <v>75</v>
      </c>
      <c r="U92">
        <v>45</v>
      </c>
      <c r="V92">
        <v>65</v>
      </c>
      <c r="W92">
        <v>50</v>
      </c>
      <c r="X92">
        <v>55</v>
      </c>
      <c r="Y92">
        <f t="shared" si="30"/>
        <v>167</v>
      </c>
      <c r="Z92">
        <f t="shared" si="31"/>
        <v>167</v>
      </c>
      <c r="AA92">
        <f t="shared" si="32"/>
        <v>135</v>
      </c>
      <c r="AB92">
        <f t="shared" si="33"/>
        <v>135</v>
      </c>
      <c r="AC92">
        <f t="shared" si="34"/>
        <v>120</v>
      </c>
      <c r="AD92">
        <f t="shared" si="35"/>
        <v>139</v>
      </c>
      <c r="AE92">
        <f t="shared" si="36"/>
        <v>127</v>
      </c>
      <c r="AF92">
        <f t="shared" si="37"/>
        <v>95</v>
      </c>
      <c r="AG92">
        <f t="shared" si="38"/>
        <v>85</v>
      </c>
      <c r="AH92">
        <f t="shared" si="39"/>
        <v>72</v>
      </c>
      <c r="AI92">
        <f t="shared" si="40"/>
        <v>106</v>
      </c>
      <c r="AJ92">
        <f t="shared" si="41"/>
        <v>97</v>
      </c>
      <c r="AK92">
        <f t="shared" si="42"/>
        <v>65</v>
      </c>
      <c r="AL92">
        <f t="shared" si="43"/>
        <v>58</v>
      </c>
      <c r="AM92">
        <f t="shared" si="44"/>
        <v>45</v>
      </c>
      <c r="AN92">
        <f t="shared" si="45"/>
        <v>128</v>
      </c>
      <c r="AO92">
        <f t="shared" si="46"/>
        <v>117</v>
      </c>
      <c r="AP92">
        <f t="shared" si="47"/>
        <v>85</v>
      </c>
      <c r="AQ92">
        <f t="shared" si="48"/>
        <v>76</v>
      </c>
      <c r="AR92">
        <f t="shared" si="49"/>
        <v>63</v>
      </c>
      <c r="AS92">
        <f t="shared" si="50"/>
        <v>112</v>
      </c>
      <c r="AT92">
        <f t="shared" si="51"/>
        <v>102</v>
      </c>
      <c r="AU92">
        <f t="shared" si="52"/>
        <v>70</v>
      </c>
      <c r="AV92">
        <f t="shared" si="53"/>
        <v>63</v>
      </c>
      <c r="AW92">
        <f t="shared" si="54"/>
        <v>49</v>
      </c>
      <c r="AX92">
        <f t="shared" si="55"/>
        <v>117</v>
      </c>
      <c r="AY92">
        <f t="shared" si="56"/>
        <v>107</v>
      </c>
      <c r="AZ92">
        <f t="shared" si="57"/>
        <v>75</v>
      </c>
      <c r="BA92">
        <f t="shared" si="58"/>
        <v>67</v>
      </c>
      <c r="BB92">
        <f t="shared" si="59"/>
        <v>54</v>
      </c>
    </row>
    <row r="93" spans="1:54" x14ac:dyDescent="0.15">
      <c r="A93">
        <v>56</v>
      </c>
      <c r="B93" t="s">
        <v>372</v>
      </c>
      <c r="C93">
        <v>59</v>
      </c>
      <c r="D93">
        <v>0</v>
      </c>
      <c r="E93" t="s">
        <v>373</v>
      </c>
      <c r="G93" t="s">
        <v>373</v>
      </c>
      <c r="H93" t="s">
        <v>374</v>
      </c>
      <c r="J93" t="s">
        <v>375</v>
      </c>
      <c r="K93">
        <v>155</v>
      </c>
      <c r="L93">
        <v>1.9</v>
      </c>
      <c r="M93" t="s">
        <v>47</v>
      </c>
      <c r="O93" t="s">
        <v>155</v>
      </c>
      <c r="P93" t="s">
        <v>245</v>
      </c>
      <c r="Q93" t="s">
        <v>365</v>
      </c>
      <c r="R93">
        <v>9</v>
      </c>
      <c r="S93">
        <v>90</v>
      </c>
      <c r="T93">
        <v>110</v>
      </c>
      <c r="U93">
        <v>80</v>
      </c>
      <c r="V93">
        <v>100</v>
      </c>
      <c r="W93">
        <v>80</v>
      </c>
      <c r="X93">
        <v>95</v>
      </c>
      <c r="Y93">
        <f t="shared" si="30"/>
        <v>197</v>
      </c>
      <c r="Z93">
        <f t="shared" si="31"/>
        <v>197</v>
      </c>
      <c r="AA93">
        <f t="shared" si="32"/>
        <v>165</v>
      </c>
      <c r="AB93">
        <f t="shared" si="33"/>
        <v>165</v>
      </c>
      <c r="AC93">
        <f t="shared" si="34"/>
        <v>150</v>
      </c>
      <c r="AD93">
        <f t="shared" si="35"/>
        <v>178</v>
      </c>
      <c r="AE93">
        <f t="shared" si="36"/>
        <v>162</v>
      </c>
      <c r="AF93">
        <f t="shared" si="37"/>
        <v>130</v>
      </c>
      <c r="AG93">
        <f t="shared" si="38"/>
        <v>117</v>
      </c>
      <c r="AH93">
        <f t="shared" si="39"/>
        <v>103</v>
      </c>
      <c r="AI93">
        <f t="shared" si="40"/>
        <v>145</v>
      </c>
      <c r="AJ93">
        <f t="shared" si="41"/>
        <v>132</v>
      </c>
      <c r="AK93">
        <f t="shared" si="42"/>
        <v>100</v>
      </c>
      <c r="AL93">
        <f t="shared" si="43"/>
        <v>90</v>
      </c>
      <c r="AM93">
        <f t="shared" si="44"/>
        <v>76</v>
      </c>
      <c r="AN93">
        <f t="shared" si="45"/>
        <v>167</v>
      </c>
      <c r="AO93">
        <f t="shared" si="46"/>
        <v>152</v>
      </c>
      <c r="AP93">
        <f t="shared" si="47"/>
        <v>120</v>
      </c>
      <c r="AQ93">
        <f t="shared" si="48"/>
        <v>108</v>
      </c>
      <c r="AR93">
        <f t="shared" si="49"/>
        <v>94</v>
      </c>
      <c r="AS93">
        <f t="shared" si="50"/>
        <v>145</v>
      </c>
      <c r="AT93">
        <f t="shared" si="51"/>
        <v>132</v>
      </c>
      <c r="AU93">
        <f t="shared" si="52"/>
        <v>100</v>
      </c>
      <c r="AV93">
        <f t="shared" si="53"/>
        <v>90</v>
      </c>
      <c r="AW93">
        <f t="shared" si="54"/>
        <v>76</v>
      </c>
      <c r="AX93">
        <f t="shared" si="55"/>
        <v>161</v>
      </c>
      <c r="AY93">
        <f t="shared" si="56"/>
        <v>147</v>
      </c>
      <c r="AZ93">
        <f t="shared" si="57"/>
        <v>115</v>
      </c>
      <c r="BA93">
        <f t="shared" si="58"/>
        <v>103</v>
      </c>
      <c r="BB93">
        <f t="shared" si="59"/>
        <v>90</v>
      </c>
    </row>
    <row r="94" spans="1:54" x14ac:dyDescent="0.15">
      <c r="A94">
        <v>57</v>
      </c>
      <c r="B94" t="s">
        <v>376</v>
      </c>
      <c r="C94">
        <v>59</v>
      </c>
      <c r="D94">
        <v>1</v>
      </c>
      <c r="E94" t="s">
        <v>373</v>
      </c>
      <c r="F94" t="s">
        <v>367</v>
      </c>
      <c r="G94" t="s">
        <v>377</v>
      </c>
      <c r="H94" t="s">
        <v>378</v>
      </c>
      <c r="J94" t="s">
        <v>375</v>
      </c>
      <c r="K94">
        <v>168</v>
      </c>
      <c r="L94">
        <v>2</v>
      </c>
      <c r="M94" t="s">
        <v>47</v>
      </c>
      <c r="N94" t="s">
        <v>371</v>
      </c>
      <c r="O94" t="s">
        <v>155</v>
      </c>
      <c r="P94" t="s">
        <v>245</v>
      </c>
      <c r="Q94" t="s">
        <v>365</v>
      </c>
      <c r="R94">
        <v>9</v>
      </c>
      <c r="S94">
        <v>95</v>
      </c>
      <c r="T94">
        <v>115</v>
      </c>
      <c r="U94">
        <v>80</v>
      </c>
      <c r="V94">
        <v>95</v>
      </c>
      <c r="W94">
        <v>80</v>
      </c>
      <c r="X94">
        <v>90</v>
      </c>
      <c r="Y94">
        <f t="shared" si="30"/>
        <v>202</v>
      </c>
      <c r="Z94">
        <f t="shared" si="31"/>
        <v>202</v>
      </c>
      <c r="AA94">
        <f t="shared" si="32"/>
        <v>170</v>
      </c>
      <c r="AB94">
        <f t="shared" si="33"/>
        <v>170</v>
      </c>
      <c r="AC94">
        <f t="shared" si="34"/>
        <v>155</v>
      </c>
      <c r="AD94">
        <f t="shared" si="35"/>
        <v>183</v>
      </c>
      <c r="AE94">
        <f t="shared" si="36"/>
        <v>167</v>
      </c>
      <c r="AF94">
        <f t="shared" si="37"/>
        <v>135</v>
      </c>
      <c r="AG94">
        <f t="shared" si="38"/>
        <v>121</v>
      </c>
      <c r="AH94">
        <f t="shared" si="39"/>
        <v>108</v>
      </c>
      <c r="AI94">
        <f t="shared" si="40"/>
        <v>145</v>
      </c>
      <c r="AJ94">
        <f t="shared" si="41"/>
        <v>132</v>
      </c>
      <c r="AK94">
        <f t="shared" si="42"/>
        <v>100</v>
      </c>
      <c r="AL94">
        <f t="shared" si="43"/>
        <v>90</v>
      </c>
      <c r="AM94">
        <f t="shared" si="44"/>
        <v>76</v>
      </c>
      <c r="AN94">
        <f t="shared" si="45"/>
        <v>161</v>
      </c>
      <c r="AO94">
        <f t="shared" si="46"/>
        <v>147</v>
      </c>
      <c r="AP94">
        <f t="shared" si="47"/>
        <v>115</v>
      </c>
      <c r="AQ94">
        <f t="shared" si="48"/>
        <v>103</v>
      </c>
      <c r="AR94">
        <f t="shared" si="49"/>
        <v>90</v>
      </c>
      <c r="AS94">
        <f t="shared" si="50"/>
        <v>145</v>
      </c>
      <c r="AT94">
        <f t="shared" si="51"/>
        <v>132</v>
      </c>
      <c r="AU94">
        <f t="shared" si="52"/>
        <v>100</v>
      </c>
      <c r="AV94">
        <f t="shared" si="53"/>
        <v>90</v>
      </c>
      <c r="AW94">
        <f t="shared" si="54"/>
        <v>76</v>
      </c>
      <c r="AX94">
        <f t="shared" si="55"/>
        <v>156</v>
      </c>
      <c r="AY94">
        <f t="shared" si="56"/>
        <v>142</v>
      </c>
      <c r="AZ94">
        <f t="shared" si="57"/>
        <v>110</v>
      </c>
      <c r="BA94">
        <f t="shared" si="58"/>
        <v>99</v>
      </c>
      <c r="BB94">
        <f t="shared" si="59"/>
        <v>85</v>
      </c>
    </row>
    <row r="95" spans="1:54" x14ac:dyDescent="0.15">
      <c r="A95">
        <v>58</v>
      </c>
      <c r="B95" t="s">
        <v>379</v>
      </c>
      <c r="C95">
        <v>60</v>
      </c>
      <c r="D95">
        <v>0</v>
      </c>
      <c r="E95" t="s">
        <v>380</v>
      </c>
      <c r="G95" t="s">
        <v>380</v>
      </c>
      <c r="H95" t="s">
        <v>381</v>
      </c>
      <c r="J95" t="s">
        <v>382</v>
      </c>
      <c r="K95">
        <v>12.4</v>
      </c>
      <c r="L95">
        <v>0.6</v>
      </c>
      <c r="M95" t="s">
        <v>71</v>
      </c>
      <c r="O95" t="s">
        <v>383</v>
      </c>
      <c r="P95" t="s">
        <v>289</v>
      </c>
      <c r="Q95" t="s">
        <v>346</v>
      </c>
      <c r="R95">
        <v>9</v>
      </c>
      <c r="S95">
        <v>40</v>
      </c>
      <c r="T95">
        <v>50</v>
      </c>
      <c r="U95">
        <v>40</v>
      </c>
      <c r="V95">
        <v>40</v>
      </c>
      <c r="W95">
        <v>40</v>
      </c>
      <c r="X95">
        <v>90</v>
      </c>
      <c r="Y95">
        <f t="shared" si="30"/>
        <v>147</v>
      </c>
      <c r="Z95">
        <f t="shared" si="31"/>
        <v>147</v>
      </c>
      <c r="AA95">
        <f t="shared" si="32"/>
        <v>115</v>
      </c>
      <c r="AB95">
        <f t="shared" si="33"/>
        <v>115</v>
      </c>
      <c r="AC95">
        <f t="shared" si="34"/>
        <v>100</v>
      </c>
      <c r="AD95">
        <f t="shared" si="35"/>
        <v>112</v>
      </c>
      <c r="AE95">
        <f t="shared" si="36"/>
        <v>102</v>
      </c>
      <c r="AF95">
        <f t="shared" si="37"/>
        <v>70</v>
      </c>
      <c r="AG95">
        <f t="shared" si="38"/>
        <v>63</v>
      </c>
      <c r="AH95">
        <f t="shared" si="39"/>
        <v>49</v>
      </c>
      <c r="AI95">
        <f t="shared" si="40"/>
        <v>101</v>
      </c>
      <c r="AJ95">
        <f t="shared" si="41"/>
        <v>92</v>
      </c>
      <c r="AK95">
        <f t="shared" si="42"/>
        <v>60</v>
      </c>
      <c r="AL95">
        <f t="shared" si="43"/>
        <v>54</v>
      </c>
      <c r="AM95">
        <f t="shared" si="44"/>
        <v>40</v>
      </c>
      <c r="AN95">
        <f t="shared" si="45"/>
        <v>101</v>
      </c>
      <c r="AO95">
        <f t="shared" si="46"/>
        <v>92</v>
      </c>
      <c r="AP95">
        <f t="shared" si="47"/>
        <v>60</v>
      </c>
      <c r="AQ95">
        <f t="shared" si="48"/>
        <v>54</v>
      </c>
      <c r="AR95">
        <f t="shared" si="49"/>
        <v>40</v>
      </c>
      <c r="AS95">
        <f t="shared" si="50"/>
        <v>101</v>
      </c>
      <c r="AT95">
        <f t="shared" si="51"/>
        <v>92</v>
      </c>
      <c r="AU95">
        <f t="shared" si="52"/>
        <v>60</v>
      </c>
      <c r="AV95">
        <f t="shared" si="53"/>
        <v>54</v>
      </c>
      <c r="AW95">
        <f t="shared" si="54"/>
        <v>40</v>
      </c>
      <c r="AX95">
        <f t="shared" si="55"/>
        <v>156</v>
      </c>
      <c r="AY95">
        <f t="shared" si="56"/>
        <v>142</v>
      </c>
      <c r="AZ95">
        <f t="shared" si="57"/>
        <v>110</v>
      </c>
      <c r="BA95">
        <f t="shared" si="58"/>
        <v>99</v>
      </c>
      <c r="BB95">
        <f t="shared" si="59"/>
        <v>85</v>
      </c>
    </row>
    <row r="96" spans="1:54" x14ac:dyDescent="0.15">
      <c r="A96">
        <v>59</v>
      </c>
      <c r="B96" t="s">
        <v>384</v>
      </c>
      <c r="C96">
        <v>61</v>
      </c>
      <c r="D96">
        <v>0</v>
      </c>
      <c r="E96" t="s">
        <v>385</v>
      </c>
      <c r="G96" t="s">
        <v>385</v>
      </c>
      <c r="H96" t="s">
        <v>386</v>
      </c>
      <c r="J96" t="s">
        <v>382</v>
      </c>
      <c r="K96">
        <v>20</v>
      </c>
      <c r="L96">
        <v>1</v>
      </c>
      <c r="M96" t="s">
        <v>71</v>
      </c>
      <c r="O96" t="s">
        <v>383</v>
      </c>
      <c r="P96" t="s">
        <v>289</v>
      </c>
      <c r="Q96" t="s">
        <v>346</v>
      </c>
      <c r="R96">
        <v>9</v>
      </c>
      <c r="S96">
        <v>65</v>
      </c>
      <c r="T96">
        <v>65</v>
      </c>
      <c r="U96">
        <v>65</v>
      </c>
      <c r="V96">
        <v>50</v>
      </c>
      <c r="W96">
        <v>50</v>
      </c>
      <c r="X96">
        <v>90</v>
      </c>
      <c r="Y96">
        <f t="shared" si="30"/>
        <v>172</v>
      </c>
      <c r="Z96">
        <f t="shared" si="31"/>
        <v>172</v>
      </c>
      <c r="AA96">
        <f t="shared" si="32"/>
        <v>140</v>
      </c>
      <c r="AB96">
        <f t="shared" si="33"/>
        <v>140</v>
      </c>
      <c r="AC96">
        <f t="shared" si="34"/>
        <v>125</v>
      </c>
      <c r="AD96">
        <f t="shared" si="35"/>
        <v>128</v>
      </c>
      <c r="AE96">
        <f t="shared" si="36"/>
        <v>117</v>
      </c>
      <c r="AF96">
        <f t="shared" si="37"/>
        <v>85</v>
      </c>
      <c r="AG96">
        <f t="shared" si="38"/>
        <v>76</v>
      </c>
      <c r="AH96">
        <f t="shared" si="39"/>
        <v>63</v>
      </c>
      <c r="AI96">
        <f t="shared" si="40"/>
        <v>128</v>
      </c>
      <c r="AJ96">
        <f t="shared" si="41"/>
        <v>117</v>
      </c>
      <c r="AK96">
        <f t="shared" si="42"/>
        <v>85</v>
      </c>
      <c r="AL96">
        <f t="shared" si="43"/>
        <v>76</v>
      </c>
      <c r="AM96">
        <f t="shared" si="44"/>
        <v>63</v>
      </c>
      <c r="AN96">
        <f t="shared" si="45"/>
        <v>112</v>
      </c>
      <c r="AO96">
        <f t="shared" si="46"/>
        <v>102</v>
      </c>
      <c r="AP96">
        <f t="shared" si="47"/>
        <v>70</v>
      </c>
      <c r="AQ96">
        <f t="shared" si="48"/>
        <v>63</v>
      </c>
      <c r="AR96">
        <f t="shared" si="49"/>
        <v>49</v>
      </c>
      <c r="AS96">
        <f t="shared" si="50"/>
        <v>112</v>
      </c>
      <c r="AT96">
        <f t="shared" si="51"/>
        <v>102</v>
      </c>
      <c r="AU96">
        <f t="shared" si="52"/>
        <v>70</v>
      </c>
      <c r="AV96">
        <f t="shared" si="53"/>
        <v>63</v>
      </c>
      <c r="AW96">
        <f t="shared" si="54"/>
        <v>49</v>
      </c>
      <c r="AX96">
        <f t="shared" si="55"/>
        <v>156</v>
      </c>
      <c r="AY96">
        <f t="shared" si="56"/>
        <v>142</v>
      </c>
      <c r="AZ96">
        <f t="shared" si="57"/>
        <v>110</v>
      </c>
      <c r="BA96">
        <f t="shared" si="58"/>
        <v>99</v>
      </c>
      <c r="BB96">
        <f t="shared" si="59"/>
        <v>85</v>
      </c>
    </row>
    <row r="97" spans="1:54" x14ac:dyDescent="0.15">
      <c r="A97">
        <v>60</v>
      </c>
      <c r="B97" t="s">
        <v>387</v>
      </c>
      <c r="C97">
        <v>62</v>
      </c>
      <c r="D97">
        <v>0</v>
      </c>
      <c r="E97" t="s">
        <v>388</v>
      </c>
      <c r="G97" t="s">
        <v>388</v>
      </c>
      <c r="H97" t="s">
        <v>389</v>
      </c>
      <c r="J97" t="s">
        <v>382</v>
      </c>
      <c r="K97">
        <v>54</v>
      </c>
      <c r="L97">
        <v>1.3</v>
      </c>
      <c r="M97" t="s">
        <v>71</v>
      </c>
      <c r="N97" t="s">
        <v>354</v>
      </c>
      <c r="O97" t="s">
        <v>383</v>
      </c>
      <c r="P97" t="s">
        <v>289</v>
      </c>
      <c r="Q97" t="s">
        <v>346</v>
      </c>
      <c r="R97">
        <v>9</v>
      </c>
      <c r="S97">
        <v>90</v>
      </c>
      <c r="T97">
        <v>95</v>
      </c>
      <c r="U97">
        <v>95</v>
      </c>
      <c r="V97">
        <v>70</v>
      </c>
      <c r="W97">
        <v>90</v>
      </c>
      <c r="X97">
        <v>70</v>
      </c>
      <c r="Y97">
        <f t="shared" si="30"/>
        <v>197</v>
      </c>
      <c r="Z97">
        <f t="shared" si="31"/>
        <v>197</v>
      </c>
      <c r="AA97">
        <f t="shared" si="32"/>
        <v>165</v>
      </c>
      <c r="AB97">
        <f t="shared" si="33"/>
        <v>165</v>
      </c>
      <c r="AC97">
        <f t="shared" si="34"/>
        <v>150</v>
      </c>
      <c r="AD97">
        <f t="shared" si="35"/>
        <v>161</v>
      </c>
      <c r="AE97">
        <f t="shared" si="36"/>
        <v>147</v>
      </c>
      <c r="AF97">
        <f t="shared" si="37"/>
        <v>115</v>
      </c>
      <c r="AG97">
        <f t="shared" si="38"/>
        <v>103</v>
      </c>
      <c r="AH97">
        <f t="shared" si="39"/>
        <v>90</v>
      </c>
      <c r="AI97">
        <f t="shared" si="40"/>
        <v>161</v>
      </c>
      <c r="AJ97">
        <f t="shared" si="41"/>
        <v>147</v>
      </c>
      <c r="AK97">
        <f t="shared" si="42"/>
        <v>115</v>
      </c>
      <c r="AL97">
        <f t="shared" si="43"/>
        <v>103</v>
      </c>
      <c r="AM97">
        <f t="shared" si="44"/>
        <v>90</v>
      </c>
      <c r="AN97">
        <f t="shared" si="45"/>
        <v>134</v>
      </c>
      <c r="AO97">
        <f t="shared" si="46"/>
        <v>122</v>
      </c>
      <c r="AP97">
        <f t="shared" si="47"/>
        <v>90</v>
      </c>
      <c r="AQ97">
        <f t="shared" si="48"/>
        <v>81</v>
      </c>
      <c r="AR97">
        <f t="shared" si="49"/>
        <v>67</v>
      </c>
      <c r="AS97">
        <f t="shared" si="50"/>
        <v>156</v>
      </c>
      <c r="AT97">
        <f t="shared" si="51"/>
        <v>142</v>
      </c>
      <c r="AU97">
        <f t="shared" si="52"/>
        <v>110</v>
      </c>
      <c r="AV97">
        <f t="shared" si="53"/>
        <v>99</v>
      </c>
      <c r="AW97">
        <f t="shared" si="54"/>
        <v>85</v>
      </c>
      <c r="AX97">
        <f t="shared" si="55"/>
        <v>134</v>
      </c>
      <c r="AY97">
        <f t="shared" si="56"/>
        <v>122</v>
      </c>
      <c r="AZ97">
        <f t="shared" si="57"/>
        <v>90</v>
      </c>
      <c r="BA97">
        <f t="shared" si="58"/>
        <v>81</v>
      </c>
      <c r="BB97">
        <f t="shared" si="59"/>
        <v>67</v>
      </c>
    </row>
    <row r="98" spans="1:54" x14ac:dyDescent="0.15">
      <c r="B98" t="s">
        <v>390</v>
      </c>
      <c r="C98">
        <v>63</v>
      </c>
      <c r="D98">
        <v>0</v>
      </c>
      <c r="E98" t="s">
        <v>391</v>
      </c>
      <c r="G98" t="s">
        <v>391</v>
      </c>
      <c r="J98" t="s">
        <v>392</v>
      </c>
      <c r="K98">
        <v>19.5</v>
      </c>
      <c r="L98">
        <v>0.9</v>
      </c>
      <c r="M98" t="s">
        <v>191</v>
      </c>
      <c r="O98" t="s">
        <v>393</v>
      </c>
      <c r="P98" t="s">
        <v>268</v>
      </c>
      <c r="Q98" t="s">
        <v>235</v>
      </c>
      <c r="R98">
        <v>8</v>
      </c>
      <c r="S98">
        <v>25</v>
      </c>
      <c r="T98">
        <v>20</v>
      </c>
      <c r="U98">
        <v>15</v>
      </c>
      <c r="V98">
        <v>105</v>
      </c>
      <c r="W98">
        <v>55</v>
      </c>
      <c r="X98">
        <v>90</v>
      </c>
      <c r="Y98">
        <f t="shared" si="30"/>
        <v>132</v>
      </c>
      <c r="Z98">
        <f t="shared" si="31"/>
        <v>132</v>
      </c>
      <c r="AA98">
        <f t="shared" si="32"/>
        <v>100</v>
      </c>
      <c r="AB98">
        <f t="shared" si="33"/>
        <v>100</v>
      </c>
      <c r="AC98">
        <f t="shared" si="34"/>
        <v>85</v>
      </c>
      <c r="AD98">
        <f t="shared" si="35"/>
        <v>79</v>
      </c>
      <c r="AE98">
        <f t="shared" si="36"/>
        <v>72</v>
      </c>
      <c r="AF98">
        <f t="shared" si="37"/>
        <v>40</v>
      </c>
      <c r="AG98">
        <f t="shared" si="38"/>
        <v>36</v>
      </c>
      <c r="AH98">
        <f t="shared" si="39"/>
        <v>22</v>
      </c>
      <c r="AI98">
        <f t="shared" si="40"/>
        <v>73</v>
      </c>
      <c r="AJ98">
        <f t="shared" si="41"/>
        <v>67</v>
      </c>
      <c r="AK98">
        <f t="shared" si="42"/>
        <v>35</v>
      </c>
      <c r="AL98">
        <f t="shared" si="43"/>
        <v>31</v>
      </c>
      <c r="AM98">
        <f t="shared" si="44"/>
        <v>18</v>
      </c>
      <c r="AN98">
        <f t="shared" si="45"/>
        <v>172</v>
      </c>
      <c r="AO98">
        <f t="shared" si="46"/>
        <v>157</v>
      </c>
      <c r="AP98">
        <f t="shared" si="47"/>
        <v>125</v>
      </c>
      <c r="AQ98">
        <f t="shared" si="48"/>
        <v>112</v>
      </c>
      <c r="AR98">
        <f t="shared" si="49"/>
        <v>99</v>
      </c>
      <c r="AS98">
        <f t="shared" si="50"/>
        <v>117</v>
      </c>
      <c r="AT98">
        <f t="shared" si="51"/>
        <v>107</v>
      </c>
      <c r="AU98">
        <f t="shared" si="52"/>
        <v>75</v>
      </c>
      <c r="AV98">
        <f t="shared" si="53"/>
        <v>67</v>
      </c>
      <c r="AW98">
        <f t="shared" si="54"/>
        <v>54</v>
      </c>
      <c r="AX98">
        <f t="shared" si="55"/>
        <v>156</v>
      </c>
      <c r="AY98">
        <f t="shared" si="56"/>
        <v>142</v>
      </c>
      <c r="AZ98">
        <f t="shared" si="57"/>
        <v>110</v>
      </c>
      <c r="BA98">
        <f t="shared" si="58"/>
        <v>99</v>
      </c>
      <c r="BB98">
        <f t="shared" si="59"/>
        <v>85</v>
      </c>
    </row>
    <row r="99" spans="1:54" x14ac:dyDescent="0.15">
      <c r="B99" t="s">
        <v>394</v>
      </c>
      <c r="C99">
        <v>64</v>
      </c>
      <c r="D99">
        <v>0</v>
      </c>
      <c r="E99" t="s">
        <v>395</v>
      </c>
      <c r="G99" t="s">
        <v>395</v>
      </c>
      <c r="J99" t="s">
        <v>392</v>
      </c>
      <c r="K99">
        <v>56.5</v>
      </c>
      <c r="L99">
        <v>1.3</v>
      </c>
      <c r="M99" t="s">
        <v>191</v>
      </c>
      <c r="O99" t="s">
        <v>393</v>
      </c>
      <c r="P99" t="s">
        <v>268</v>
      </c>
      <c r="Q99" t="s">
        <v>235</v>
      </c>
      <c r="R99">
        <v>8</v>
      </c>
      <c r="S99">
        <v>40</v>
      </c>
      <c r="T99">
        <v>35</v>
      </c>
      <c r="U99">
        <v>30</v>
      </c>
      <c r="V99">
        <v>120</v>
      </c>
      <c r="W99">
        <v>70</v>
      </c>
      <c r="X99">
        <v>105</v>
      </c>
      <c r="Y99">
        <f t="shared" si="30"/>
        <v>147</v>
      </c>
      <c r="Z99">
        <f t="shared" si="31"/>
        <v>147</v>
      </c>
      <c r="AA99">
        <f t="shared" si="32"/>
        <v>115</v>
      </c>
      <c r="AB99">
        <f t="shared" si="33"/>
        <v>115</v>
      </c>
      <c r="AC99">
        <f t="shared" si="34"/>
        <v>100</v>
      </c>
      <c r="AD99">
        <f t="shared" si="35"/>
        <v>95</v>
      </c>
      <c r="AE99">
        <f t="shared" si="36"/>
        <v>87</v>
      </c>
      <c r="AF99">
        <f t="shared" si="37"/>
        <v>55</v>
      </c>
      <c r="AG99">
        <f t="shared" si="38"/>
        <v>49</v>
      </c>
      <c r="AH99">
        <f t="shared" si="39"/>
        <v>36</v>
      </c>
      <c r="AI99">
        <f t="shared" si="40"/>
        <v>90</v>
      </c>
      <c r="AJ99">
        <f t="shared" si="41"/>
        <v>82</v>
      </c>
      <c r="AK99">
        <f t="shared" si="42"/>
        <v>50</v>
      </c>
      <c r="AL99">
        <f t="shared" si="43"/>
        <v>45</v>
      </c>
      <c r="AM99">
        <f t="shared" si="44"/>
        <v>31</v>
      </c>
      <c r="AN99">
        <f t="shared" si="45"/>
        <v>189</v>
      </c>
      <c r="AO99">
        <f t="shared" si="46"/>
        <v>172</v>
      </c>
      <c r="AP99">
        <f t="shared" si="47"/>
        <v>140</v>
      </c>
      <c r="AQ99">
        <f t="shared" si="48"/>
        <v>126</v>
      </c>
      <c r="AR99">
        <f t="shared" si="49"/>
        <v>112</v>
      </c>
      <c r="AS99">
        <f t="shared" si="50"/>
        <v>134</v>
      </c>
      <c r="AT99">
        <f t="shared" si="51"/>
        <v>122</v>
      </c>
      <c r="AU99">
        <f t="shared" si="52"/>
        <v>90</v>
      </c>
      <c r="AV99">
        <f t="shared" si="53"/>
        <v>81</v>
      </c>
      <c r="AW99">
        <f t="shared" si="54"/>
        <v>67</v>
      </c>
      <c r="AX99">
        <f t="shared" si="55"/>
        <v>172</v>
      </c>
      <c r="AY99">
        <f t="shared" si="56"/>
        <v>157</v>
      </c>
      <c r="AZ99">
        <f t="shared" si="57"/>
        <v>125</v>
      </c>
      <c r="BA99">
        <f t="shared" si="58"/>
        <v>112</v>
      </c>
      <c r="BB99">
        <f t="shared" si="59"/>
        <v>99</v>
      </c>
    </row>
    <row r="100" spans="1:54" x14ac:dyDescent="0.15">
      <c r="B100" t="s">
        <v>396</v>
      </c>
      <c r="C100">
        <v>65</v>
      </c>
      <c r="D100">
        <v>0</v>
      </c>
      <c r="E100" t="s">
        <v>397</v>
      </c>
      <c r="G100" t="s">
        <v>397</v>
      </c>
      <c r="J100" t="s">
        <v>392</v>
      </c>
      <c r="K100">
        <v>48</v>
      </c>
      <c r="L100">
        <v>1.5</v>
      </c>
      <c r="M100" t="s">
        <v>191</v>
      </c>
      <c r="O100" t="s">
        <v>393</v>
      </c>
      <c r="P100" t="s">
        <v>268</v>
      </c>
      <c r="Q100" t="s">
        <v>235</v>
      </c>
      <c r="R100">
        <v>8</v>
      </c>
      <c r="S100">
        <v>55</v>
      </c>
      <c r="T100">
        <v>50</v>
      </c>
      <c r="U100">
        <v>45</v>
      </c>
      <c r="V100">
        <v>135</v>
      </c>
      <c r="W100">
        <v>95</v>
      </c>
      <c r="X100">
        <v>120</v>
      </c>
      <c r="Y100">
        <f t="shared" si="30"/>
        <v>162</v>
      </c>
      <c r="Z100">
        <f t="shared" si="31"/>
        <v>162</v>
      </c>
      <c r="AA100">
        <f t="shared" si="32"/>
        <v>130</v>
      </c>
      <c r="AB100">
        <f t="shared" si="33"/>
        <v>130</v>
      </c>
      <c r="AC100">
        <f t="shared" si="34"/>
        <v>115</v>
      </c>
      <c r="AD100">
        <f t="shared" si="35"/>
        <v>112</v>
      </c>
      <c r="AE100">
        <f t="shared" si="36"/>
        <v>102</v>
      </c>
      <c r="AF100">
        <f t="shared" si="37"/>
        <v>70</v>
      </c>
      <c r="AG100">
        <f t="shared" si="38"/>
        <v>63</v>
      </c>
      <c r="AH100">
        <f t="shared" si="39"/>
        <v>49</v>
      </c>
      <c r="AI100">
        <f t="shared" si="40"/>
        <v>106</v>
      </c>
      <c r="AJ100">
        <f t="shared" si="41"/>
        <v>97</v>
      </c>
      <c r="AK100">
        <f t="shared" si="42"/>
        <v>65</v>
      </c>
      <c r="AL100">
        <f t="shared" si="43"/>
        <v>58</v>
      </c>
      <c r="AM100">
        <f t="shared" si="44"/>
        <v>45</v>
      </c>
      <c r="AN100">
        <f t="shared" si="45"/>
        <v>205</v>
      </c>
      <c r="AO100">
        <f t="shared" si="46"/>
        <v>187</v>
      </c>
      <c r="AP100">
        <f t="shared" si="47"/>
        <v>155</v>
      </c>
      <c r="AQ100">
        <f t="shared" si="48"/>
        <v>139</v>
      </c>
      <c r="AR100">
        <f t="shared" si="49"/>
        <v>126</v>
      </c>
      <c r="AS100">
        <f t="shared" si="50"/>
        <v>161</v>
      </c>
      <c r="AT100">
        <f t="shared" si="51"/>
        <v>147</v>
      </c>
      <c r="AU100">
        <f t="shared" si="52"/>
        <v>115</v>
      </c>
      <c r="AV100">
        <f t="shared" si="53"/>
        <v>103</v>
      </c>
      <c r="AW100">
        <f t="shared" si="54"/>
        <v>90</v>
      </c>
      <c r="AX100">
        <f t="shared" si="55"/>
        <v>189</v>
      </c>
      <c r="AY100">
        <f t="shared" si="56"/>
        <v>172</v>
      </c>
      <c r="AZ100">
        <f t="shared" si="57"/>
        <v>140</v>
      </c>
      <c r="BA100">
        <f t="shared" si="58"/>
        <v>126</v>
      </c>
      <c r="BB100">
        <f t="shared" si="59"/>
        <v>112</v>
      </c>
    </row>
    <row r="101" spans="1:54" x14ac:dyDescent="0.15">
      <c r="B101" t="s">
        <v>398</v>
      </c>
      <c r="C101">
        <v>65</v>
      </c>
      <c r="D101">
        <v>1</v>
      </c>
      <c r="E101" t="s">
        <v>397</v>
      </c>
      <c r="F101" t="s">
        <v>399</v>
      </c>
      <c r="G101" t="s">
        <v>399</v>
      </c>
      <c r="J101" t="s">
        <v>392</v>
      </c>
      <c r="K101">
        <v>48</v>
      </c>
      <c r="L101">
        <v>1.2</v>
      </c>
      <c r="M101" t="s">
        <v>191</v>
      </c>
      <c r="O101" t="s">
        <v>400</v>
      </c>
      <c r="P101" t="s">
        <v>235</v>
      </c>
      <c r="R101">
        <v>7</v>
      </c>
      <c r="S101">
        <v>55</v>
      </c>
      <c r="T101">
        <v>50</v>
      </c>
      <c r="U101">
        <v>45</v>
      </c>
      <c r="V101">
        <v>135</v>
      </c>
      <c r="W101">
        <v>95</v>
      </c>
      <c r="X101">
        <v>120</v>
      </c>
      <c r="Y101">
        <f t="shared" si="30"/>
        <v>162</v>
      </c>
      <c r="Z101">
        <f t="shared" si="31"/>
        <v>162</v>
      </c>
      <c r="AA101">
        <f t="shared" si="32"/>
        <v>130</v>
      </c>
      <c r="AB101">
        <f t="shared" si="33"/>
        <v>130</v>
      </c>
      <c r="AC101">
        <f t="shared" si="34"/>
        <v>115</v>
      </c>
      <c r="AD101">
        <f t="shared" si="35"/>
        <v>112</v>
      </c>
      <c r="AE101">
        <f t="shared" si="36"/>
        <v>102</v>
      </c>
      <c r="AF101">
        <f t="shared" si="37"/>
        <v>70</v>
      </c>
      <c r="AG101">
        <f t="shared" si="38"/>
        <v>63</v>
      </c>
      <c r="AH101">
        <f t="shared" si="39"/>
        <v>49</v>
      </c>
      <c r="AI101">
        <f t="shared" si="40"/>
        <v>106</v>
      </c>
      <c r="AJ101">
        <f t="shared" si="41"/>
        <v>97</v>
      </c>
      <c r="AK101">
        <f t="shared" si="42"/>
        <v>65</v>
      </c>
      <c r="AL101">
        <f t="shared" si="43"/>
        <v>58</v>
      </c>
      <c r="AM101">
        <f t="shared" si="44"/>
        <v>45</v>
      </c>
      <c r="AN101">
        <f t="shared" si="45"/>
        <v>205</v>
      </c>
      <c r="AO101">
        <f t="shared" si="46"/>
        <v>187</v>
      </c>
      <c r="AP101">
        <f t="shared" si="47"/>
        <v>155</v>
      </c>
      <c r="AQ101">
        <f t="shared" si="48"/>
        <v>139</v>
      </c>
      <c r="AR101">
        <f t="shared" si="49"/>
        <v>126</v>
      </c>
      <c r="AS101">
        <f t="shared" si="50"/>
        <v>161</v>
      </c>
      <c r="AT101">
        <f t="shared" si="51"/>
        <v>147</v>
      </c>
      <c r="AU101">
        <f t="shared" si="52"/>
        <v>115</v>
      </c>
      <c r="AV101">
        <f t="shared" si="53"/>
        <v>103</v>
      </c>
      <c r="AW101">
        <f t="shared" si="54"/>
        <v>90</v>
      </c>
      <c r="AX101">
        <f t="shared" si="55"/>
        <v>189</v>
      </c>
      <c r="AY101">
        <f t="shared" si="56"/>
        <v>172</v>
      </c>
      <c r="AZ101">
        <f t="shared" si="57"/>
        <v>140</v>
      </c>
      <c r="BA101">
        <f t="shared" si="58"/>
        <v>126</v>
      </c>
      <c r="BB101">
        <f t="shared" si="59"/>
        <v>112</v>
      </c>
    </row>
    <row r="102" spans="1:54" x14ac:dyDescent="0.15">
      <c r="B102" t="s">
        <v>401</v>
      </c>
      <c r="C102">
        <v>66</v>
      </c>
      <c r="D102">
        <v>0</v>
      </c>
      <c r="E102" t="s">
        <v>402</v>
      </c>
      <c r="G102" t="s">
        <v>402</v>
      </c>
      <c r="J102" t="s">
        <v>403</v>
      </c>
      <c r="K102">
        <v>19.5</v>
      </c>
      <c r="L102">
        <v>0.8</v>
      </c>
      <c r="M102" t="s">
        <v>354</v>
      </c>
      <c r="O102" t="s">
        <v>135</v>
      </c>
      <c r="P102" t="s">
        <v>131</v>
      </c>
      <c r="Q102" t="s">
        <v>404</v>
      </c>
      <c r="R102">
        <v>8</v>
      </c>
      <c r="S102">
        <v>70</v>
      </c>
      <c r="T102">
        <v>80</v>
      </c>
      <c r="U102">
        <v>50</v>
      </c>
      <c r="V102">
        <v>35</v>
      </c>
      <c r="W102">
        <v>35</v>
      </c>
      <c r="X102">
        <v>35</v>
      </c>
      <c r="Y102">
        <f t="shared" si="30"/>
        <v>177</v>
      </c>
      <c r="Z102">
        <f t="shared" si="31"/>
        <v>177</v>
      </c>
      <c r="AA102">
        <f t="shared" si="32"/>
        <v>145</v>
      </c>
      <c r="AB102">
        <f t="shared" si="33"/>
        <v>145</v>
      </c>
      <c r="AC102">
        <f t="shared" si="34"/>
        <v>130</v>
      </c>
      <c r="AD102">
        <f t="shared" si="35"/>
        <v>145</v>
      </c>
      <c r="AE102">
        <f t="shared" si="36"/>
        <v>132</v>
      </c>
      <c r="AF102">
        <f t="shared" si="37"/>
        <v>100</v>
      </c>
      <c r="AG102">
        <f t="shared" si="38"/>
        <v>90</v>
      </c>
      <c r="AH102">
        <f t="shared" si="39"/>
        <v>76</v>
      </c>
      <c r="AI102">
        <f t="shared" si="40"/>
        <v>112</v>
      </c>
      <c r="AJ102">
        <f t="shared" si="41"/>
        <v>102</v>
      </c>
      <c r="AK102">
        <f t="shared" si="42"/>
        <v>70</v>
      </c>
      <c r="AL102">
        <f t="shared" si="43"/>
        <v>63</v>
      </c>
      <c r="AM102">
        <f t="shared" si="44"/>
        <v>49</v>
      </c>
      <c r="AN102">
        <f t="shared" si="45"/>
        <v>95</v>
      </c>
      <c r="AO102">
        <f t="shared" si="46"/>
        <v>87</v>
      </c>
      <c r="AP102">
        <f t="shared" si="47"/>
        <v>55</v>
      </c>
      <c r="AQ102">
        <f t="shared" si="48"/>
        <v>49</v>
      </c>
      <c r="AR102">
        <f t="shared" si="49"/>
        <v>36</v>
      </c>
      <c r="AS102">
        <f t="shared" si="50"/>
        <v>95</v>
      </c>
      <c r="AT102">
        <f t="shared" si="51"/>
        <v>87</v>
      </c>
      <c r="AU102">
        <f t="shared" si="52"/>
        <v>55</v>
      </c>
      <c r="AV102">
        <f t="shared" si="53"/>
        <v>49</v>
      </c>
      <c r="AW102">
        <f t="shared" si="54"/>
        <v>36</v>
      </c>
      <c r="AX102">
        <f t="shared" si="55"/>
        <v>95</v>
      </c>
      <c r="AY102">
        <f t="shared" si="56"/>
        <v>87</v>
      </c>
      <c r="AZ102">
        <f t="shared" si="57"/>
        <v>55</v>
      </c>
      <c r="BA102">
        <f t="shared" si="58"/>
        <v>49</v>
      </c>
      <c r="BB102">
        <f t="shared" si="59"/>
        <v>36</v>
      </c>
    </row>
    <row r="103" spans="1:54" x14ac:dyDescent="0.15">
      <c r="B103" t="s">
        <v>405</v>
      </c>
      <c r="C103">
        <v>67</v>
      </c>
      <c r="D103">
        <v>0</v>
      </c>
      <c r="E103" t="s">
        <v>406</v>
      </c>
      <c r="G103" t="s">
        <v>406</v>
      </c>
      <c r="J103" t="s">
        <v>403</v>
      </c>
      <c r="K103">
        <v>70.5</v>
      </c>
      <c r="L103">
        <v>1.5</v>
      </c>
      <c r="M103" t="s">
        <v>354</v>
      </c>
      <c r="O103" t="s">
        <v>135</v>
      </c>
      <c r="P103" t="s">
        <v>131</v>
      </c>
      <c r="Q103" t="s">
        <v>404</v>
      </c>
      <c r="R103">
        <v>8</v>
      </c>
      <c r="S103">
        <v>80</v>
      </c>
      <c r="T103">
        <v>100</v>
      </c>
      <c r="U103">
        <v>70</v>
      </c>
      <c r="V103">
        <v>50</v>
      </c>
      <c r="W103">
        <v>60</v>
      </c>
      <c r="X103">
        <v>45</v>
      </c>
      <c r="Y103">
        <f t="shared" si="30"/>
        <v>187</v>
      </c>
      <c r="Z103">
        <f t="shared" si="31"/>
        <v>187</v>
      </c>
      <c r="AA103">
        <f t="shared" si="32"/>
        <v>155</v>
      </c>
      <c r="AB103">
        <f t="shared" si="33"/>
        <v>155</v>
      </c>
      <c r="AC103">
        <f t="shared" si="34"/>
        <v>140</v>
      </c>
      <c r="AD103">
        <f t="shared" si="35"/>
        <v>167</v>
      </c>
      <c r="AE103">
        <f t="shared" si="36"/>
        <v>152</v>
      </c>
      <c r="AF103">
        <f t="shared" si="37"/>
        <v>120</v>
      </c>
      <c r="AG103">
        <f t="shared" si="38"/>
        <v>108</v>
      </c>
      <c r="AH103">
        <f t="shared" si="39"/>
        <v>94</v>
      </c>
      <c r="AI103">
        <f t="shared" si="40"/>
        <v>134</v>
      </c>
      <c r="AJ103">
        <f t="shared" si="41"/>
        <v>122</v>
      </c>
      <c r="AK103">
        <f t="shared" si="42"/>
        <v>90</v>
      </c>
      <c r="AL103">
        <f t="shared" si="43"/>
        <v>81</v>
      </c>
      <c r="AM103">
        <f t="shared" si="44"/>
        <v>67</v>
      </c>
      <c r="AN103">
        <f t="shared" si="45"/>
        <v>112</v>
      </c>
      <c r="AO103">
        <f t="shared" si="46"/>
        <v>102</v>
      </c>
      <c r="AP103">
        <f t="shared" si="47"/>
        <v>70</v>
      </c>
      <c r="AQ103">
        <f t="shared" si="48"/>
        <v>63</v>
      </c>
      <c r="AR103">
        <f t="shared" si="49"/>
        <v>49</v>
      </c>
      <c r="AS103">
        <f t="shared" si="50"/>
        <v>123</v>
      </c>
      <c r="AT103">
        <f t="shared" si="51"/>
        <v>112</v>
      </c>
      <c r="AU103">
        <f t="shared" si="52"/>
        <v>80</v>
      </c>
      <c r="AV103">
        <f t="shared" si="53"/>
        <v>72</v>
      </c>
      <c r="AW103">
        <f t="shared" si="54"/>
        <v>58</v>
      </c>
      <c r="AX103">
        <f t="shared" si="55"/>
        <v>106</v>
      </c>
      <c r="AY103">
        <f t="shared" si="56"/>
        <v>97</v>
      </c>
      <c r="AZ103">
        <f t="shared" si="57"/>
        <v>65</v>
      </c>
      <c r="BA103">
        <f t="shared" si="58"/>
        <v>58</v>
      </c>
      <c r="BB103">
        <f t="shared" si="59"/>
        <v>45</v>
      </c>
    </row>
    <row r="104" spans="1:54" x14ac:dyDescent="0.15">
      <c r="B104" t="s">
        <v>407</v>
      </c>
      <c r="C104">
        <v>68</v>
      </c>
      <c r="D104">
        <v>0</v>
      </c>
      <c r="E104" t="s">
        <v>408</v>
      </c>
      <c r="G104" t="s">
        <v>408</v>
      </c>
      <c r="J104" t="s">
        <v>403</v>
      </c>
      <c r="K104">
        <v>130</v>
      </c>
      <c r="L104">
        <v>1.6</v>
      </c>
      <c r="M104" t="s">
        <v>354</v>
      </c>
      <c r="O104" t="s">
        <v>135</v>
      </c>
      <c r="P104" t="s">
        <v>131</v>
      </c>
      <c r="Q104" t="s">
        <v>404</v>
      </c>
      <c r="R104">
        <v>8</v>
      </c>
      <c r="S104">
        <v>90</v>
      </c>
      <c r="T104">
        <v>130</v>
      </c>
      <c r="U104">
        <v>80</v>
      </c>
      <c r="V104">
        <v>65</v>
      </c>
      <c r="W104">
        <v>85</v>
      </c>
      <c r="X104">
        <v>55</v>
      </c>
      <c r="Y104">
        <f t="shared" si="30"/>
        <v>197</v>
      </c>
      <c r="Z104">
        <f t="shared" si="31"/>
        <v>197</v>
      </c>
      <c r="AA104">
        <f t="shared" si="32"/>
        <v>165</v>
      </c>
      <c r="AB104">
        <f t="shared" si="33"/>
        <v>165</v>
      </c>
      <c r="AC104">
        <f t="shared" si="34"/>
        <v>150</v>
      </c>
      <c r="AD104">
        <f t="shared" si="35"/>
        <v>200</v>
      </c>
      <c r="AE104">
        <f t="shared" si="36"/>
        <v>182</v>
      </c>
      <c r="AF104">
        <f t="shared" si="37"/>
        <v>150</v>
      </c>
      <c r="AG104">
        <f t="shared" si="38"/>
        <v>135</v>
      </c>
      <c r="AH104">
        <f t="shared" si="39"/>
        <v>121</v>
      </c>
      <c r="AI104">
        <f t="shared" si="40"/>
        <v>145</v>
      </c>
      <c r="AJ104">
        <f t="shared" si="41"/>
        <v>132</v>
      </c>
      <c r="AK104">
        <f t="shared" si="42"/>
        <v>100</v>
      </c>
      <c r="AL104">
        <f t="shared" si="43"/>
        <v>90</v>
      </c>
      <c r="AM104">
        <f t="shared" si="44"/>
        <v>76</v>
      </c>
      <c r="AN104">
        <f t="shared" si="45"/>
        <v>128</v>
      </c>
      <c r="AO104">
        <f t="shared" si="46"/>
        <v>117</v>
      </c>
      <c r="AP104">
        <f t="shared" si="47"/>
        <v>85</v>
      </c>
      <c r="AQ104">
        <f t="shared" si="48"/>
        <v>76</v>
      </c>
      <c r="AR104">
        <f t="shared" si="49"/>
        <v>63</v>
      </c>
      <c r="AS104">
        <f t="shared" si="50"/>
        <v>150</v>
      </c>
      <c r="AT104">
        <f t="shared" si="51"/>
        <v>137</v>
      </c>
      <c r="AU104">
        <f t="shared" si="52"/>
        <v>105</v>
      </c>
      <c r="AV104">
        <f t="shared" si="53"/>
        <v>94</v>
      </c>
      <c r="AW104">
        <f t="shared" si="54"/>
        <v>81</v>
      </c>
      <c r="AX104">
        <f t="shared" si="55"/>
        <v>117</v>
      </c>
      <c r="AY104">
        <f t="shared" si="56"/>
        <v>107</v>
      </c>
      <c r="AZ104">
        <f t="shared" si="57"/>
        <v>75</v>
      </c>
      <c r="BA104">
        <f t="shared" si="58"/>
        <v>67</v>
      </c>
      <c r="BB104">
        <f t="shared" si="59"/>
        <v>54</v>
      </c>
    </row>
    <row r="105" spans="1:54" x14ac:dyDescent="0.15">
      <c r="B105" t="s">
        <v>409</v>
      </c>
      <c r="C105">
        <v>68</v>
      </c>
      <c r="D105">
        <v>999</v>
      </c>
      <c r="E105" t="s">
        <v>408</v>
      </c>
      <c r="F105" t="s">
        <v>40</v>
      </c>
      <c r="G105" t="s">
        <v>410</v>
      </c>
      <c r="J105" t="s">
        <v>42</v>
      </c>
      <c r="K105">
        <v>9999.9</v>
      </c>
      <c r="L105">
        <v>25</v>
      </c>
      <c r="M105" t="s">
        <v>354</v>
      </c>
      <c r="O105" t="s">
        <v>135</v>
      </c>
      <c r="P105" t="s">
        <v>131</v>
      </c>
      <c r="Q105" t="s">
        <v>404</v>
      </c>
      <c r="R105">
        <v>8</v>
      </c>
      <c r="S105">
        <v>90</v>
      </c>
      <c r="T105">
        <v>130</v>
      </c>
      <c r="U105">
        <v>80</v>
      </c>
      <c r="V105">
        <v>65</v>
      </c>
      <c r="W105">
        <v>85</v>
      </c>
      <c r="X105">
        <v>55</v>
      </c>
      <c r="Y105">
        <f t="shared" si="30"/>
        <v>197</v>
      </c>
      <c r="Z105">
        <f t="shared" si="31"/>
        <v>197</v>
      </c>
      <c r="AA105">
        <f t="shared" si="32"/>
        <v>165</v>
      </c>
      <c r="AB105">
        <f t="shared" si="33"/>
        <v>165</v>
      </c>
      <c r="AC105">
        <f t="shared" si="34"/>
        <v>150</v>
      </c>
      <c r="AD105">
        <f t="shared" si="35"/>
        <v>200</v>
      </c>
      <c r="AE105">
        <f t="shared" si="36"/>
        <v>182</v>
      </c>
      <c r="AF105">
        <f t="shared" si="37"/>
        <v>150</v>
      </c>
      <c r="AG105">
        <f t="shared" si="38"/>
        <v>135</v>
      </c>
      <c r="AH105">
        <f t="shared" si="39"/>
        <v>121</v>
      </c>
      <c r="AI105">
        <f t="shared" si="40"/>
        <v>145</v>
      </c>
      <c r="AJ105">
        <f t="shared" si="41"/>
        <v>132</v>
      </c>
      <c r="AK105">
        <f t="shared" si="42"/>
        <v>100</v>
      </c>
      <c r="AL105">
        <f t="shared" si="43"/>
        <v>90</v>
      </c>
      <c r="AM105">
        <f t="shared" si="44"/>
        <v>76</v>
      </c>
      <c r="AN105">
        <f t="shared" si="45"/>
        <v>128</v>
      </c>
      <c r="AO105">
        <f t="shared" si="46"/>
        <v>117</v>
      </c>
      <c r="AP105">
        <f t="shared" si="47"/>
        <v>85</v>
      </c>
      <c r="AQ105">
        <f t="shared" si="48"/>
        <v>76</v>
      </c>
      <c r="AR105">
        <f t="shared" si="49"/>
        <v>63</v>
      </c>
      <c r="AS105">
        <f t="shared" si="50"/>
        <v>150</v>
      </c>
      <c r="AT105">
        <f t="shared" si="51"/>
        <v>137</v>
      </c>
      <c r="AU105">
        <f t="shared" si="52"/>
        <v>105</v>
      </c>
      <c r="AV105">
        <f t="shared" si="53"/>
        <v>94</v>
      </c>
      <c r="AW105">
        <f t="shared" si="54"/>
        <v>81</v>
      </c>
      <c r="AX105">
        <f t="shared" si="55"/>
        <v>117</v>
      </c>
      <c r="AY105">
        <f t="shared" si="56"/>
        <v>107</v>
      </c>
      <c r="AZ105">
        <f t="shared" si="57"/>
        <v>75</v>
      </c>
      <c r="BA105">
        <f t="shared" si="58"/>
        <v>67</v>
      </c>
      <c r="BB105">
        <f t="shared" si="59"/>
        <v>54</v>
      </c>
    </row>
    <row r="106" spans="1:54" x14ac:dyDescent="0.15">
      <c r="A106">
        <v>61</v>
      </c>
      <c r="B106" t="s">
        <v>411</v>
      </c>
      <c r="C106">
        <v>69</v>
      </c>
      <c r="D106">
        <v>0</v>
      </c>
      <c r="E106" t="s">
        <v>412</v>
      </c>
      <c r="G106" t="s">
        <v>412</v>
      </c>
      <c r="H106" t="s">
        <v>413</v>
      </c>
      <c r="J106" t="s">
        <v>283</v>
      </c>
      <c r="K106">
        <v>4</v>
      </c>
      <c r="L106">
        <v>0.7</v>
      </c>
      <c r="M106" t="s">
        <v>26</v>
      </c>
      <c r="N106" t="s">
        <v>27</v>
      </c>
      <c r="O106" t="s">
        <v>29</v>
      </c>
      <c r="P106" t="s">
        <v>141</v>
      </c>
      <c r="R106">
        <v>9</v>
      </c>
      <c r="S106">
        <v>50</v>
      </c>
      <c r="T106">
        <v>75</v>
      </c>
      <c r="U106">
        <v>35</v>
      </c>
      <c r="V106">
        <v>70</v>
      </c>
      <c r="W106">
        <v>30</v>
      </c>
      <c r="X106">
        <v>40</v>
      </c>
      <c r="Y106">
        <f t="shared" si="30"/>
        <v>157</v>
      </c>
      <c r="Z106">
        <f t="shared" si="31"/>
        <v>157</v>
      </c>
      <c r="AA106">
        <f t="shared" si="32"/>
        <v>125</v>
      </c>
      <c r="AB106">
        <f t="shared" si="33"/>
        <v>125</v>
      </c>
      <c r="AC106">
        <f t="shared" si="34"/>
        <v>110</v>
      </c>
      <c r="AD106">
        <f t="shared" si="35"/>
        <v>139</v>
      </c>
      <c r="AE106">
        <f t="shared" si="36"/>
        <v>127</v>
      </c>
      <c r="AF106">
        <f t="shared" si="37"/>
        <v>95</v>
      </c>
      <c r="AG106">
        <f t="shared" si="38"/>
        <v>85</v>
      </c>
      <c r="AH106">
        <f t="shared" si="39"/>
        <v>72</v>
      </c>
      <c r="AI106">
        <f t="shared" si="40"/>
        <v>95</v>
      </c>
      <c r="AJ106">
        <f t="shared" si="41"/>
        <v>87</v>
      </c>
      <c r="AK106">
        <f t="shared" si="42"/>
        <v>55</v>
      </c>
      <c r="AL106">
        <f t="shared" si="43"/>
        <v>49</v>
      </c>
      <c r="AM106">
        <f t="shared" si="44"/>
        <v>36</v>
      </c>
      <c r="AN106">
        <f t="shared" si="45"/>
        <v>134</v>
      </c>
      <c r="AO106">
        <f t="shared" si="46"/>
        <v>122</v>
      </c>
      <c r="AP106">
        <f t="shared" si="47"/>
        <v>90</v>
      </c>
      <c r="AQ106">
        <f t="shared" si="48"/>
        <v>81</v>
      </c>
      <c r="AR106">
        <f t="shared" si="49"/>
        <v>67</v>
      </c>
      <c r="AS106">
        <f t="shared" si="50"/>
        <v>90</v>
      </c>
      <c r="AT106">
        <f t="shared" si="51"/>
        <v>82</v>
      </c>
      <c r="AU106">
        <f t="shared" si="52"/>
        <v>50</v>
      </c>
      <c r="AV106">
        <f t="shared" si="53"/>
        <v>45</v>
      </c>
      <c r="AW106">
        <f t="shared" si="54"/>
        <v>31</v>
      </c>
      <c r="AX106">
        <f t="shared" si="55"/>
        <v>101</v>
      </c>
      <c r="AY106">
        <f t="shared" si="56"/>
        <v>92</v>
      </c>
      <c r="AZ106">
        <f t="shared" si="57"/>
        <v>60</v>
      </c>
      <c r="BA106">
        <f t="shared" si="58"/>
        <v>54</v>
      </c>
      <c r="BB106">
        <f t="shared" si="59"/>
        <v>40</v>
      </c>
    </row>
    <row r="107" spans="1:54" x14ac:dyDescent="0.15">
      <c r="A107">
        <v>62</v>
      </c>
      <c r="B107" t="s">
        <v>414</v>
      </c>
      <c r="C107">
        <v>70</v>
      </c>
      <c r="D107">
        <v>0</v>
      </c>
      <c r="E107" t="s">
        <v>415</v>
      </c>
      <c r="G107" t="s">
        <v>415</v>
      </c>
      <c r="H107" t="s">
        <v>416</v>
      </c>
      <c r="J107" t="s">
        <v>417</v>
      </c>
      <c r="K107">
        <v>6.4</v>
      </c>
      <c r="L107">
        <v>1</v>
      </c>
      <c r="M107" t="s">
        <v>26</v>
      </c>
      <c r="N107" t="s">
        <v>27</v>
      </c>
      <c r="O107" t="s">
        <v>29</v>
      </c>
      <c r="P107" t="s">
        <v>141</v>
      </c>
      <c r="R107">
        <v>9</v>
      </c>
      <c r="S107">
        <v>65</v>
      </c>
      <c r="T107">
        <v>90</v>
      </c>
      <c r="U107">
        <v>50</v>
      </c>
      <c r="V107">
        <v>85</v>
      </c>
      <c r="W107">
        <v>45</v>
      </c>
      <c r="X107">
        <v>55</v>
      </c>
      <c r="Y107">
        <f t="shared" si="30"/>
        <v>172</v>
      </c>
      <c r="Z107">
        <f t="shared" si="31"/>
        <v>172</v>
      </c>
      <c r="AA107">
        <f t="shared" si="32"/>
        <v>140</v>
      </c>
      <c r="AB107">
        <f t="shared" si="33"/>
        <v>140</v>
      </c>
      <c r="AC107">
        <f t="shared" si="34"/>
        <v>125</v>
      </c>
      <c r="AD107">
        <f t="shared" si="35"/>
        <v>156</v>
      </c>
      <c r="AE107">
        <f t="shared" si="36"/>
        <v>142</v>
      </c>
      <c r="AF107">
        <f t="shared" si="37"/>
        <v>110</v>
      </c>
      <c r="AG107">
        <f t="shared" si="38"/>
        <v>99</v>
      </c>
      <c r="AH107">
        <f t="shared" si="39"/>
        <v>85</v>
      </c>
      <c r="AI107">
        <f t="shared" si="40"/>
        <v>112</v>
      </c>
      <c r="AJ107">
        <f t="shared" si="41"/>
        <v>102</v>
      </c>
      <c r="AK107">
        <f t="shared" si="42"/>
        <v>70</v>
      </c>
      <c r="AL107">
        <f t="shared" si="43"/>
        <v>63</v>
      </c>
      <c r="AM107">
        <f t="shared" si="44"/>
        <v>49</v>
      </c>
      <c r="AN107">
        <f t="shared" si="45"/>
        <v>150</v>
      </c>
      <c r="AO107">
        <f t="shared" si="46"/>
        <v>137</v>
      </c>
      <c r="AP107">
        <f t="shared" si="47"/>
        <v>105</v>
      </c>
      <c r="AQ107">
        <f t="shared" si="48"/>
        <v>94</v>
      </c>
      <c r="AR107">
        <f t="shared" si="49"/>
        <v>81</v>
      </c>
      <c r="AS107">
        <f t="shared" si="50"/>
        <v>106</v>
      </c>
      <c r="AT107">
        <f t="shared" si="51"/>
        <v>97</v>
      </c>
      <c r="AU107">
        <f t="shared" si="52"/>
        <v>65</v>
      </c>
      <c r="AV107">
        <f t="shared" si="53"/>
        <v>58</v>
      </c>
      <c r="AW107">
        <f t="shared" si="54"/>
        <v>45</v>
      </c>
      <c r="AX107">
        <f t="shared" si="55"/>
        <v>117</v>
      </c>
      <c r="AY107">
        <f t="shared" si="56"/>
        <v>107</v>
      </c>
      <c r="AZ107">
        <f t="shared" si="57"/>
        <v>75</v>
      </c>
      <c r="BA107">
        <f t="shared" si="58"/>
        <v>67</v>
      </c>
      <c r="BB107">
        <f t="shared" si="59"/>
        <v>54</v>
      </c>
    </row>
    <row r="108" spans="1:54" x14ac:dyDescent="0.15">
      <c r="A108">
        <v>63</v>
      </c>
      <c r="B108" t="s">
        <v>418</v>
      </c>
      <c r="C108">
        <v>71</v>
      </c>
      <c r="D108">
        <v>0</v>
      </c>
      <c r="E108" t="s">
        <v>419</v>
      </c>
      <c r="G108" t="s">
        <v>419</v>
      </c>
      <c r="H108" t="s">
        <v>420</v>
      </c>
      <c r="J108" t="s">
        <v>417</v>
      </c>
      <c r="K108">
        <v>15.5</v>
      </c>
      <c r="L108">
        <v>1.7</v>
      </c>
      <c r="M108" t="s">
        <v>26</v>
      </c>
      <c r="N108" t="s">
        <v>27</v>
      </c>
      <c r="O108" t="s">
        <v>29</v>
      </c>
      <c r="P108" t="s">
        <v>141</v>
      </c>
      <c r="R108">
        <v>9</v>
      </c>
      <c r="S108">
        <v>80</v>
      </c>
      <c r="T108">
        <v>105</v>
      </c>
      <c r="U108">
        <v>65</v>
      </c>
      <c r="V108">
        <v>100</v>
      </c>
      <c r="W108">
        <v>70</v>
      </c>
      <c r="X108">
        <v>70</v>
      </c>
      <c r="Y108">
        <f t="shared" si="30"/>
        <v>187</v>
      </c>
      <c r="Z108">
        <f t="shared" si="31"/>
        <v>187</v>
      </c>
      <c r="AA108">
        <f t="shared" si="32"/>
        <v>155</v>
      </c>
      <c r="AB108">
        <f t="shared" si="33"/>
        <v>155</v>
      </c>
      <c r="AC108">
        <f t="shared" si="34"/>
        <v>140</v>
      </c>
      <c r="AD108">
        <f t="shared" si="35"/>
        <v>172</v>
      </c>
      <c r="AE108">
        <f t="shared" si="36"/>
        <v>157</v>
      </c>
      <c r="AF108">
        <f t="shared" si="37"/>
        <v>125</v>
      </c>
      <c r="AG108">
        <f t="shared" si="38"/>
        <v>112</v>
      </c>
      <c r="AH108">
        <f t="shared" si="39"/>
        <v>99</v>
      </c>
      <c r="AI108">
        <f t="shared" si="40"/>
        <v>128</v>
      </c>
      <c r="AJ108">
        <f t="shared" si="41"/>
        <v>117</v>
      </c>
      <c r="AK108">
        <f t="shared" si="42"/>
        <v>85</v>
      </c>
      <c r="AL108">
        <f t="shared" si="43"/>
        <v>76</v>
      </c>
      <c r="AM108">
        <f t="shared" si="44"/>
        <v>63</v>
      </c>
      <c r="AN108">
        <f t="shared" si="45"/>
        <v>167</v>
      </c>
      <c r="AO108">
        <f t="shared" si="46"/>
        <v>152</v>
      </c>
      <c r="AP108">
        <f t="shared" si="47"/>
        <v>120</v>
      </c>
      <c r="AQ108">
        <f t="shared" si="48"/>
        <v>108</v>
      </c>
      <c r="AR108">
        <f t="shared" si="49"/>
        <v>94</v>
      </c>
      <c r="AS108">
        <f t="shared" si="50"/>
        <v>134</v>
      </c>
      <c r="AT108">
        <f t="shared" si="51"/>
        <v>122</v>
      </c>
      <c r="AU108">
        <f t="shared" si="52"/>
        <v>90</v>
      </c>
      <c r="AV108">
        <f t="shared" si="53"/>
        <v>81</v>
      </c>
      <c r="AW108">
        <f t="shared" si="54"/>
        <v>67</v>
      </c>
      <c r="AX108">
        <f t="shared" si="55"/>
        <v>134</v>
      </c>
      <c r="AY108">
        <f t="shared" si="56"/>
        <v>122</v>
      </c>
      <c r="AZ108">
        <f t="shared" si="57"/>
        <v>90</v>
      </c>
      <c r="BA108">
        <f t="shared" si="58"/>
        <v>81</v>
      </c>
      <c r="BB108">
        <f t="shared" si="59"/>
        <v>67</v>
      </c>
    </row>
    <row r="109" spans="1:54" x14ac:dyDescent="0.15">
      <c r="A109">
        <v>64</v>
      </c>
      <c r="B109" t="s">
        <v>421</v>
      </c>
      <c r="C109">
        <v>72</v>
      </c>
      <c r="D109">
        <v>0</v>
      </c>
      <c r="E109" t="s">
        <v>422</v>
      </c>
      <c r="G109" t="s">
        <v>422</v>
      </c>
      <c r="H109" t="s">
        <v>423</v>
      </c>
      <c r="J109" t="s">
        <v>424</v>
      </c>
      <c r="K109">
        <v>45.5</v>
      </c>
      <c r="L109">
        <v>0.9</v>
      </c>
      <c r="M109" t="s">
        <v>71</v>
      </c>
      <c r="N109" t="s">
        <v>27</v>
      </c>
      <c r="O109" t="s">
        <v>425</v>
      </c>
      <c r="P109" t="s">
        <v>426</v>
      </c>
      <c r="Q109" t="s">
        <v>73</v>
      </c>
      <c r="R109">
        <v>9</v>
      </c>
      <c r="S109">
        <v>40</v>
      </c>
      <c r="T109">
        <v>40</v>
      </c>
      <c r="U109">
        <v>35</v>
      </c>
      <c r="V109">
        <v>50</v>
      </c>
      <c r="W109">
        <v>100</v>
      </c>
      <c r="X109">
        <v>70</v>
      </c>
      <c r="Y109">
        <f t="shared" si="30"/>
        <v>147</v>
      </c>
      <c r="Z109">
        <f t="shared" si="31"/>
        <v>147</v>
      </c>
      <c r="AA109">
        <f t="shared" si="32"/>
        <v>115</v>
      </c>
      <c r="AB109">
        <f t="shared" si="33"/>
        <v>115</v>
      </c>
      <c r="AC109">
        <f t="shared" si="34"/>
        <v>100</v>
      </c>
      <c r="AD109">
        <f t="shared" si="35"/>
        <v>101</v>
      </c>
      <c r="AE109">
        <f t="shared" si="36"/>
        <v>92</v>
      </c>
      <c r="AF109">
        <f t="shared" si="37"/>
        <v>60</v>
      </c>
      <c r="AG109">
        <f t="shared" si="38"/>
        <v>54</v>
      </c>
      <c r="AH109">
        <f t="shared" si="39"/>
        <v>40</v>
      </c>
      <c r="AI109">
        <f t="shared" si="40"/>
        <v>95</v>
      </c>
      <c r="AJ109">
        <f t="shared" si="41"/>
        <v>87</v>
      </c>
      <c r="AK109">
        <f t="shared" si="42"/>
        <v>55</v>
      </c>
      <c r="AL109">
        <f t="shared" si="43"/>
        <v>49</v>
      </c>
      <c r="AM109">
        <f t="shared" si="44"/>
        <v>36</v>
      </c>
      <c r="AN109">
        <f t="shared" si="45"/>
        <v>112</v>
      </c>
      <c r="AO109">
        <f t="shared" si="46"/>
        <v>102</v>
      </c>
      <c r="AP109">
        <f t="shared" si="47"/>
        <v>70</v>
      </c>
      <c r="AQ109">
        <f t="shared" si="48"/>
        <v>63</v>
      </c>
      <c r="AR109">
        <f t="shared" si="49"/>
        <v>49</v>
      </c>
      <c r="AS109">
        <f t="shared" si="50"/>
        <v>167</v>
      </c>
      <c r="AT109">
        <f t="shared" si="51"/>
        <v>152</v>
      </c>
      <c r="AU109">
        <f t="shared" si="52"/>
        <v>120</v>
      </c>
      <c r="AV109">
        <f t="shared" si="53"/>
        <v>108</v>
      </c>
      <c r="AW109">
        <f t="shared" si="54"/>
        <v>94</v>
      </c>
      <c r="AX109">
        <f t="shared" si="55"/>
        <v>134</v>
      </c>
      <c r="AY109">
        <f t="shared" si="56"/>
        <v>122</v>
      </c>
      <c r="AZ109">
        <f t="shared" si="57"/>
        <v>90</v>
      </c>
      <c r="BA109">
        <f t="shared" si="58"/>
        <v>81</v>
      </c>
      <c r="BB109">
        <f t="shared" si="59"/>
        <v>67</v>
      </c>
    </row>
    <row r="110" spans="1:54" x14ac:dyDescent="0.15">
      <c r="A110">
        <v>65</v>
      </c>
      <c r="B110" t="s">
        <v>427</v>
      </c>
      <c r="C110">
        <v>73</v>
      </c>
      <c r="D110">
        <v>0</v>
      </c>
      <c r="E110" t="s">
        <v>428</v>
      </c>
      <c r="G110" t="s">
        <v>428</v>
      </c>
      <c r="H110" t="s">
        <v>429</v>
      </c>
      <c r="J110" t="s">
        <v>424</v>
      </c>
      <c r="K110">
        <v>55</v>
      </c>
      <c r="L110">
        <v>1.6</v>
      </c>
      <c r="M110" t="s">
        <v>71</v>
      </c>
      <c r="N110" t="s">
        <v>27</v>
      </c>
      <c r="O110" t="s">
        <v>425</v>
      </c>
      <c r="P110" t="s">
        <v>426</v>
      </c>
      <c r="Q110" t="s">
        <v>73</v>
      </c>
      <c r="R110">
        <v>9</v>
      </c>
      <c r="S110">
        <v>80</v>
      </c>
      <c r="T110">
        <v>70</v>
      </c>
      <c r="U110">
        <v>65</v>
      </c>
      <c r="V110">
        <v>80</v>
      </c>
      <c r="W110">
        <v>120</v>
      </c>
      <c r="X110">
        <v>100</v>
      </c>
      <c r="Y110">
        <f t="shared" si="30"/>
        <v>187</v>
      </c>
      <c r="Z110">
        <f t="shared" si="31"/>
        <v>187</v>
      </c>
      <c r="AA110">
        <f t="shared" si="32"/>
        <v>155</v>
      </c>
      <c r="AB110">
        <f t="shared" si="33"/>
        <v>155</v>
      </c>
      <c r="AC110">
        <f t="shared" si="34"/>
        <v>140</v>
      </c>
      <c r="AD110">
        <f t="shared" si="35"/>
        <v>134</v>
      </c>
      <c r="AE110">
        <f t="shared" si="36"/>
        <v>122</v>
      </c>
      <c r="AF110">
        <f t="shared" si="37"/>
        <v>90</v>
      </c>
      <c r="AG110">
        <f t="shared" si="38"/>
        <v>81</v>
      </c>
      <c r="AH110">
        <f t="shared" si="39"/>
        <v>67</v>
      </c>
      <c r="AI110">
        <f t="shared" si="40"/>
        <v>128</v>
      </c>
      <c r="AJ110">
        <f t="shared" si="41"/>
        <v>117</v>
      </c>
      <c r="AK110">
        <f t="shared" si="42"/>
        <v>85</v>
      </c>
      <c r="AL110">
        <f t="shared" si="43"/>
        <v>76</v>
      </c>
      <c r="AM110">
        <f t="shared" si="44"/>
        <v>63</v>
      </c>
      <c r="AN110">
        <f t="shared" si="45"/>
        <v>145</v>
      </c>
      <c r="AO110">
        <f t="shared" si="46"/>
        <v>132</v>
      </c>
      <c r="AP110">
        <f t="shared" si="47"/>
        <v>100</v>
      </c>
      <c r="AQ110">
        <f t="shared" si="48"/>
        <v>90</v>
      </c>
      <c r="AR110">
        <f t="shared" si="49"/>
        <v>76</v>
      </c>
      <c r="AS110">
        <f t="shared" si="50"/>
        <v>189</v>
      </c>
      <c r="AT110">
        <f t="shared" si="51"/>
        <v>172</v>
      </c>
      <c r="AU110">
        <f t="shared" si="52"/>
        <v>140</v>
      </c>
      <c r="AV110">
        <f t="shared" si="53"/>
        <v>126</v>
      </c>
      <c r="AW110">
        <f t="shared" si="54"/>
        <v>112</v>
      </c>
      <c r="AX110">
        <f t="shared" si="55"/>
        <v>167</v>
      </c>
      <c r="AY110">
        <f t="shared" si="56"/>
        <v>152</v>
      </c>
      <c r="AZ110">
        <f t="shared" si="57"/>
        <v>120</v>
      </c>
      <c r="BA110">
        <f t="shared" si="58"/>
        <v>108</v>
      </c>
      <c r="BB110">
        <f t="shared" si="59"/>
        <v>94</v>
      </c>
    </row>
    <row r="111" spans="1:54" x14ac:dyDescent="0.15">
      <c r="A111">
        <v>66</v>
      </c>
      <c r="B111" t="s">
        <v>430</v>
      </c>
      <c r="C111">
        <v>74</v>
      </c>
      <c r="D111">
        <v>0</v>
      </c>
      <c r="E111" t="s">
        <v>431</v>
      </c>
      <c r="G111" t="s">
        <v>431</v>
      </c>
      <c r="H111" t="s">
        <v>432</v>
      </c>
      <c r="J111" t="s">
        <v>433</v>
      </c>
      <c r="K111">
        <v>20</v>
      </c>
      <c r="L111">
        <v>0.4</v>
      </c>
      <c r="M111" t="s">
        <v>371</v>
      </c>
      <c r="N111" t="s">
        <v>196</v>
      </c>
      <c r="O111" t="s">
        <v>434</v>
      </c>
      <c r="P111" t="s">
        <v>435</v>
      </c>
      <c r="Q111" t="s">
        <v>197</v>
      </c>
      <c r="R111">
        <v>9</v>
      </c>
      <c r="S111">
        <v>40</v>
      </c>
      <c r="T111">
        <v>80</v>
      </c>
      <c r="U111">
        <v>100</v>
      </c>
      <c r="V111">
        <v>30</v>
      </c>
      <c r="W111">
        <v>30</v>
      </c>
      <c r="X111">
        <v>20</v>
      </c>
      <c r="Y111">
        <f t="shared" si="30"/>
        <v>147</v>
      </c>
      <c r="Z111">
        <f t="shared" si="31"/>
        <v>147</v>
      </c>
      <c r="AA111">
        <f t="shared" si="32"/>
        <v>115</v>
      </c>
      <c r="AB111">
        <f t="shared" si="33"/>
        <v>115</v>
      </c>
      <c r="AC111">
        <f t="shared" si="34"/>
        <v>100</v>
      </c>
      <c r="AD111">
        <f t="shared" si="35"/>
        <v>145</v>
      </c>
      <c r="AE111">
        <f t="shared" si="36"/>
        <v>132</v>
      </c>
      <c r="AF111">
        <f t="shared" si="37"/>
        <v>100</v>
      </c>
      <c r="AG111">
        <f t="shared" si="38"/>
        <v>90</v>
      </c>
      <c r="AH111">
        <f t="shared" si="39"/>
        <v>76</v>
      </c>
      <c r="AI111">
        <f t="shared" si="40"/>
        <v>167</v>
      </c>
      <c r="AJ111">
        <f t="shared" si="41"/>
        <v>152</v>
      </c>
      <c r="AK111">
        <f t="shared" si="42"/>
        <v>120</v>
      </c>
      <c r="AL111">
        <f t="shared" si="43"/>
        <v>108</v>
      </c>
      <c r="AM111">
        <f t="shared" si="44"/>
        <v>94</v>
      </c>
      <c r="AN111">
        <f t="shared" si="45"/>
        <v>90</v>
      </c>
      <c r="AO111">
        <f t="shared" si="46"/>
        <v>82</v>
      </c>
      <c r="AP111">
        <f t="shared" si="47"/>
        <v>50</v>
      </c>
      <c r="AQ111">
        <f t="shared" si="48"/>
        <v>45</v>
      </c>
      <c r="AR111">
        <f t="shared" si="49"/>
        <v>31</v>
      </c>
      <c r="AS111">
        <f t="shared" si="50"/>
        <v>90</v>
      </c>
      <c r="AT111">
        <f t="shared" si="51"/>
        <v>82</v>
      </c>
      <c r="AU111">
        <f t="shared" si="52"/>
        <v>50</v>
      </c>
      <c r="AV111">
        <f t="shared" si="53"/>
        <v>45</v>
      </c>
      <c r="AW111">
        <f t="shared" si="54"/>
        <v>31</v>
      </c>
      <c r="AX111">
        <f t="shared" si="55"/>
        <v>79</v>
      </c>
      <c r="AY111">
        <f t="shared" si="56"/>
        <v>72</v>
      </c>
      <c r="AZ111">
        <f t="shared" si="57"/>
        <v>40</v>
      </c>
      <c r="BA111">
        <f t="shared" si="58"/>
        <v>36</v>
      </c>
      <c r="BB111">
        <f t="shared" si="59"/>
        <v>22</v>
      </c>
    </row>
    <row r="112" spans="1:54" x14ac:dyDescent="0.15">
      <c r="A112">
        <v>67</v>
      </c>
      <c r="B112" t="s">
        <v>436</v>
      </c>
      <c r="C112">
        <v>74</v>
      </c>
      <c r="D112">
        <v>1</v>
      </c>
      <c r="E112" t="s">
        <v>431</v>
      </c>
      <c r="F112" t="s">
        <v>138</v>
      </c>
      <c r="G112" t="s">
        <v>437</v>
      </c>
      <c r="H112" t="s">
        <v>438</v>
      </c>
      <c r="J112" t="s">
        <v>433</v>
      </c>
      <c r="K112">
        <v>20.3</v>
      </c>
      <c r="L112">
        <v>0.4</v>
      </c>
      <c r="M112" t="s">
        <v>371</v>
      </c>
      <c r="N112" t="s">
        <v>164</v>
      </c>
      <c r="O112" t="s">
        <v>439</v>
      </c>
      <c r="P112" t="s">
        <v>435</v>
      </c>
      <c r="Q112" t="s">
        <v>197</v>
      </c>
      <c r="R112">
        <v>9</v>
      </c>
      <c r="S112">
        <v>40</v>
      </c>
      <c r="T112">
        <v>80</v>
      </c>
      <c r="U112">
        <v>100</v>
      </c>
      <c r="V112">
        <v>30</v>
      </c>
      <c r="W112">
        <v>30</v>
      </c>
      <c r="X112">
        <v>20</v>
      </c>
      <c r="Y112">
        <f t="shared" si="30"/>
        <v>147</v>
      </c>
      <c r="Z112">
        <f t="shared" si="31"/>
        <v>147</v>
      </c>
      <c r="AA112">
        <f t="shared" si="32"/>
        <v>115</v>
      </c>
      <c r="AB112">
        <f t="shared" si="33"/>
        <v>115</v>
      </c>
      <c r="AC112">
        <f t="shared" si="34"/>
        <v>100</v>
      </c>
      <c r="AD112">
        <f t="shared" si="35"/>
        <v>145</v>
      </c>
      <c r="AE112">
        <f t="shared" si="36"/>
        <v>132</v>
      </c>
      <c r="AF112">
        <f t="shared" si="37"/>
        <v>100</v>
      </c>
      <c r="AG112">
        <f t="shared" si="38"/>
        <v>90</v>
      </c>
      <c r="AH112">
        <f t="shared" si="39"/>
        <v>76</v>
      </c>
      <c r="AI112">
        <f t="shared" si="40"/>
        <v>167</v>
      </c>
      <c r="AJ112">
        <f t="shared" si="41"/>
        <v>152</v>
      </c>
      <c r="AK112">
        <f t="shared" si="42"/>
        <v>120</v>
      </c>
      <c r="AL112">
        <f t="shared" si="43"/>
        <v>108</v>
      </c>
      <c r="AM112">
        <f t="shared" si="44"/>
        <v>94</v>
      </c>
      <c r="AN112">
        <f t="shared" si="45"/>
        <v>90</v>
      </c>
      <c r="AO112">
        <f t="shared" si="46"/>
        <v>82</v>
      </c>
      <c r="AP112">
        <f t="shared" si="47"/>
        <v>50</v>
      </c>
      <c r="AQ112">
        <f t="shared" si="48"/>
        <v>45</v>
      </c>
      <c r="AR112">
        <f t="shared" si="49"/>
        <v>31</v>
      </c>
      <c r="AS112">
        <f t="shared" si="50"/>
        <v>90</v>
      </c>
      <c r="AT112">
        <f t="shared" si="51"/>
        <v>82</v>
      </c>
      <c r="AU112">
        <f t="shared" si="52"/>
        <v>50</v>
      </c>
      <c r="AV112">
        <f t="shared" si="53"/>
        <v>45</v>
      </c>
      <c r="AW112">
        <f t="shared" si="54"/>
        <v>31</v>
      </c>
      <c r="AX112">
        <f t="shared" si="55"/>
        <v>79</v>
      </c>
      <c r="AY112">
        <f t="shared" si="56"/>
        <v>72</v>
      </c>
      <c r="AZ112">
        <f t="shared" si="57"/>
        <v>40</v>
      </c>
      <c r="BA112">
        <f t="shared" si="58"/>
        <v>36</v>
      </c>
      <c r="BB112">
        <f t="shared" si="59"/>
        <v>22</v>
      </c>
    </row>
    <row r="113" spans="1:54" x14ac:dyDescent="0.15">
      <c r="A113">
        <v>68</v>
      </c>
      <c r="B113" t="s">
        <v>440</v>
      </c>
      <c r="C113">
        <v>75</v>
      </c>
      <c r="D113">
        <v>0</v>
      </c>
      <c r="E113" t="s">
        <v>441</v>
      </c>
      <c r="G113" t="s">
        <v>441</v>
      </c>
      <c r="H113" t="s">
        <v>442</v>
      </c>
      <c r="J113" t="s">
        <v>433</v>
      </c>
      <c r="K113">
        <v>105</v>
      </c>
      <c r="L113">
        <v>1</v>
      </c>
      <c r="M113" t="s">
        <v>371</v>
      </c>
      <c r="N113" t="s">
        <v>196</v>
      </c>
      <c r="O113" t="s">
        <v>434</v>
      </c>
      <c r="P113" t="s">
        <v>435</v>
      </c>
      <c r="Q113" t="s">
        <v>197</v>
      </c>
      <c r="R113">
        <v>9</v>
      </c>
      <c r="S113">
        <v>55</v>
      </c>
      <c r="T113">
        <v>95</v>
      </c>
      <c r="U113">
        <v>115</v>
      </c>
      <c r="V113">
        <v>45</v>
      </c>
      <c r="W113">
        <v>45</v>
      </c>
      <c r="X113">
        <v>35</v>
      </c>
      <c r="Y113">
        <f t="shared" si="30"/>
        <v>162</v>
      </c>
      <c r="Z113">
        <f t="shared" si="31"/>
        <v>162</v>
      </c>
      <c r="AA113">
        <f t="shared" si="32"/>
        <v>130</v>
      </c>
      <c r="AB113">
        <f t="shared" si="33"/>
        <v>130</v>
      </c>
      <c r="AC113">
        <f t="shared" si="34"/>
        <v>115</v>
      </c>
      <c r="AD113">
        <f t="shared" si="35"/>
        <v>161</v>
      </c>
      <c r="AE113">
        <f t="shared" si="36"/>
        <v>147</v>
      </c>
      <c r="AF113">
        <f t="shared" si="37"/>
        <v>115</v>
      </c>
      <c r="AG113">
        <f t="shared" si="38"/>
        <v>103</v>
      </c>
      <c r="AH113">
        <f t="shared" si="39"/>
        <v>90</v>
      </c>
      <c r="AI113">
        <f t="shared" si="40"/>
        <v>183</v>
      </c>
      <c r="AJ113">
        <f t="shared" si="41"/>
        <v>167</v>
      </c>
      <c r="AK113">
        <f t="shared" si="42"/>
        <v>135</v>
      </c>
      <c r="AL113">
        <f t="shared" si="43"/>
        <v>121</v>
      </c>
      <c r="AM113">
        <f t="shared" si="44"/>
        <v>108</v>
      </c>
      <c r="AN113">
        <f t="shared" si="45"/>
        <v>106</v>
      </c>
      <c r="AO113">
        <f t="shared" si="46"/>
        <v>97</v>
      </c>
      <c r="AP113">
        <f t="shared" si="47"/>
        <v>65</v>
      </c>
      <c r="AQ113">
        <f t="shared" si="48"/>
        <v>58</v>
      </c>
      <c r="AR113">
        <f t="shared" si="49"/>
        <v>45</v>
      </c>
      <c r="AS113">
        <f t="shared" si="50"/>
        <v>106</v>
      </c>
      <c r="AT113">
        <f t="shared" si="51"/>
        <v>97</v>
      </c>
      <c r="AU113">
        <f t="shared" si="52"/>
        <v>65</v>
      </c>
      <c r="AV113">
        <f t="shared" si="53"/>
        <v>58</v>
      </c>
      <c r="AW113">
        <f t="shared" si="54"/>
        <v>45</v>
      </c>
      <c r="AX113">
        <f t="shared" si="55"/>
        <v>95</v>
      </c>
      <c r="AY113">
        <f t="shared" si="56"/>
        <v>87</v>
      </c>
      <c r="AZ113">
        <f t="shared" si="57"/>
        <v>55</v>
      </c>
      <c r="BA113">
        <f t="shared" si="58"/>
        <v>49</v>
      </c>
      <c r="BB113">
        <f t="shared" si="59"/>
        <v>36</v>
      </c>
    </row>
    <row r="114" spans="1:54" x14ac:dyDescent="0.15">
      <c r="A114">
        <v>70</v>
      </c>
      <c r="B114" t="s">
        <v>443</v>
      </c>
      <c r="C114">
        <v>75</v>
      </c>
      <c r="D114">
        <v>1</v>
      </c>
      <c r="E114" t="s">
        <v>441</v>
      </c>
      <c r="F114" t="s">
        <v>138</v>
      </c>
      <c r="G114" t="s">
        <v>444</v>
      </c>
      <c r="H114" t="s">
        <v>445</v>
      </c>
      <c r="J114" t="s">
        <v>433</v>
      </c>
      <c r="K114">
        <v>110</v>
      </c>
      <c r="L114">
        <v>1</v>
      </c>
      <c r="M114" t="s">
        <v>371</v>
      </c>
      <c r="N114" t="s">
        <v>164</v>
      </c>
      <c r="O114" t="s">
        <v>439</v>
      </c>
      <c r="P114" t="s">
        <v>435</v>
      </c>
      <c r="Q114" t="s">
        <v>197</v>
      </c>
      <c r="R114">
        <v>9</v>
      </c>
      <c r="S114">
        <v>55</v>
      </c>
      <c r="T114">
        <v>95</v>
      </c>
      <c r="U114">
        <v>115</v>
      </c>
      <c r="V114">
        <v>45</v>
      </c>
      <c r="W114">
        <v>45</v>
      </c>
      <c r="X114">
        <v>35</v>
      </c>
      <c r="Y114">
        <f t="shared" si="30"/>
        <v>162</v>
      </c>
      <c r="Z114">
        <f t="shared" si="31"/>
        <v>162</v>
      </c>
      <c r="AA114">
        <f t="shared" si="32"/>
        <v>130</v>
      </c>
      <c r="AB114">
        <f t="shared" si="33"/>
        <v>130</v>
      </c>
      <c r="AC114">
        <f t="shared" si="34"/>
        <v>115</v>
      </c>
      <c r="AD114">
        <f t="shared" si="35"/>
        <v>161</v>
      </c>
      <c r="AE114">
        <f t="shared" si="36"/>
        <v>147</v>
      </c>
      <c r="AF114">
        <f t="shared" si="37"/>
        <v>115</v>
      </c>
      <c r="AG114">
        <f t="shared" si="38"/>
        <v>103</v>
      </c>
      <c r="AH114">
        <f t="shared" si="39"/>
        <v>90</v>
      </c>
      <c r="AI114">
        <f t="shared" si="40"/>
        <v>183</v>
      </c>
      <c r="AJ114">
        <f t="shared" si="41"/>
        <v>167</v>
      </c>
      <c r="AK114">
        <f t="shared" si="42"/>
        <v>135</v>
      </c>
      <c r="AL114">
        <f t="shared" si="43"/>
        <v>121</v>
      </c>
      <c r="AM114">
        <f t="shared" si="44"/>
        <v>108</v>
      </c>
      <c r="AN114">
        <f t="shared" si="45"/>
        <v>106</v>
      </c>
      <c r="AO114">
        <f t="shared" si="46"/>
        <v>97</v>
      </c>
      <c r="AP114">
        <f t="shared" si="47"/>
        <v>65</v>
      </c>
      <c r="AQ114">
        <f t="shared" si="48"/>
        <v>58</v>
      </c>
      <c r="AR114">
        <f t="shared" si="49"/>
        <v>45</v>
      </c>
      <c r="AS114">
        <f t="shared" si="50"/>
        <v>106</v>
      </c>
      <c r="AT114">
        <f t="shared" si="51"/>
        <v>97</v>
      </c>
      <c r="AU114">
        <f t="shared" si="52"/>
        <v>65</v>
      </c>
      <c r="AV114">
        <f t="shared" si="53"/>
        <v>58</v>
      </c>
      <c r="AW114">
        <f t="shared" si="54"/>
        <v>45</v>
      </c>
      <c r="AX114">
        <f t="shared" si="55"/>
        <v>95</v>
      </c>
      <c r="AY114">
        <f t="shared" si="56"/>
        <v>87</v>
      </c>
      <c r="AZ114">
        <f t="shared" si="57"/>
        <v>55</v>
      </c>
      <c r="BA114">
        <f t="shared" si="58"/>
        <v>49</v>
      </c>
      <c r="BB114">
        <f t="shared" si="59"/>
        <v>36</v>
      </c>
    </row>
    <row r="115" spans="1:54" x14ac:dyDescent="0.15">
      <c r="A115">
        <v>72</v>
      </c>
      <c r="B115" t="s">
        <v>446</v>
      </c>
      <c r="C115">
        <v>76</v>
      </c>
      <c r="D115">
        <v>0</v>
      </c>
      <c r="E115" t="s">
        <v>447</v>
      </c>
      <c r="G115" t="s">
        <v>447</v>
      </c>
      <c r="H115" t="s">
        <v>448</v>
      </c>
      <c r="J115" t="s">
        <v>449</v>
      </c>
      <c r="K115">
        <v>300</v>
      </c>
      <c r="L115">
        <v>1.4</v>
      </c>
      <c r="M115" t="s">
        <v>371</v>
      </c>
      <c r="N115" t="s">
        <v>196</v>
      </c>
      <c r="O115" t="s">
        <v>434</v>
      </c>
      <c r="P115" t="s">
        <v>435</v>
      </c>
      <c r="Q115" t="s">
        <v>197</v>
      </c>
      <c r="R115">
        <v>9</v>
      </c>
      <c r="S115">
        <v>80</v>
      </c>
      <c r="T115">
        <v>120</v>
      </c>
      <c r="U115">
        <v>130</v>
      </c>
      <c r="V115">
        <v>55</v>
      </c>
      <c r="W115">
        <v>65</v>
      </c>
      <c r="X115">
        <v>45</v>
      </c>
      <c r="Y115">
        <f t="shared" si="30"/>
        <v>187</v>
      </c>
      <c r="Z115">
        <f t="shared" si="31"/>
        <v>187</v>
      </c>
      <c r="AA115">
        <f t="shared" si="32"/>
        <v>155</v>
      </c>
      <c r="AB115">
        <f t="shared" si="33"/>
        <v>155</v>
      </c>
      <c r="AC115">
        <f t="shared" si="34"/>
        <v>140</v>
      </c>
      <c r="AD115">
        <f t="shared" si="35"/>
        <v>189</v>
      </c>
      <c r="AE115">
        <f t="shared" si="36"/>
        <v>172</v>
      </c>
      <c r="AF115">
        <f t="shared" si="37"/>
        <v>140</v>
      </c>
      <c r="AG115">
        <f t="shared" si="38"/>
        <v>126</v>
      </c>
      <c r="AH115">
        <f t="shared" si="39"/>
        <v>112</v>
      </c>
      <c r="AI115">
        <f t="shared" si="40"/>
        <v>200</v>
      </c>
      <c r="AJ115">
        <f t="shared" si="41"/>
        <v>182</v>
      </c>
      <c r="AK115">
        <f t="shared" si="42"/>
        <v>150</v>
      </c>
      <c r="AL115">
        <f t="shared" si="43"/>
        <v>135</v>
      </c>
      <c r="AM115">
        <f t="shared" si="44"/>
        <v>121</v>
      </c>
      <c r="AN115">
        <f t="shared" si="45"/>
        <v>117</v>
      </c>
      <c r="AO115">
        <f t="shared" si="46"/>
        <v>107</v>
      </c>
      <c r="AP115">
        <f t="shared" si="47"/>
        <v>75</v>
      </c>
      <c r="AQ115">
        <f t="shared" si="48"/>
        <v>67</v>
      </c>
      <c r="AR115">
        <f t="shared" si="49"/>
        <v>54</v>
      </c>
      <c r="AS115">
        <f t="shared" si="50"/>
        <v>128</v>
      </c>
      <c r="AT115">
        <f t="shared" si="51"/>
        <v>117</v>
      </c>
      <c r="AU115">
        <f t="shared" si="52"/>
        <v>85</v>
      </c>
      <c r="AV115">
        <f t="shared" si="53"/>
        <v>76</v>
      </c>
      <c r="AW115">
        <f t="shared" si="54"/>
        <v>63</v>
      </c>
      <c r="AX115">
        <f t="shared" si="55"/>
        <v>106</v>
      </c>
      <c r="AY115">
        <f t="shared" si="56"/>
        <v>97</v>
      </c>
      <c r="AZ115">
        <f t="shared" si="57"/>
        <v>65</v>
      </c>
      <c r="BA115">
        <f t="shared" si="58"/>
        <v>58</v>
      </c>
      <c r="BB115">
        <f t="shared" si="59"/>
        <v>45</v>
      </c>
    </row>
    <row r="116" spans="1:54" x14ac:dyDescent="0.15">
      <c r="A116">
        <v>73</v>
      </c>
      <c r="B116" t="s">
        <v>450</v>
      </c>
      <c r="C116">
        <v>76</v>
      </c>
      <c r="D116">
        <v>1</v>
      </c>
      <c r="E116" t="s">
        <v>447</v>
      </c>
      <c r="F116" t="s">
        <v>138</v>
      </c>
      <c r="G116" t="s">
        <v>451</v>
      </c>
      <c r="H116" t="s">
        <v>452</v>
      </c>
      <c r="J116" t="s">
        <v>449</v>
      </c>
      <c r="K116">
        <v>316</v>
      </c>
      <c r="L116">
        <v>1.7</v>
      </c>
      <c r="M116" t="s">
        <v>371</v>
      </c>
      <c r="N116" t="s">
        <v>164</v>
      </c>
      <c r="O116" t="s">
        <v>439</v>
      </c>
      <c r="P116" t="s">
        <v>435</v>
      </c>
      <c r="Q116" t="s">
        <v>197</v>
      </c>
      <c r="R116">
        <v>9</v>
      </c>
      <c r="S116">
        <v>80</v>
      </c>
      <c r="T116">
        <v>120</v>
      </c>
      <c r="U116">
        <v>130</v>
      </c>
      <c r="V116">
        <v>55</v>
      </c>
      <c r="W116">
        <v>65</v>
      </c>
      <c r="X116">
        <v>45</v>
      </c>
      <c r="Y116">
        <f t="shared" si="30"/>
        <v>187</v>
      </c>
      <c r="Z116">
        <f t="shared" si="31"/>
        <v>187</v>
      </c>
      <c r="AA116">
        <f t="shared" si="32"/>
        <v>155</v>
      </c>
      <c r="AB116">
        <f t="shared" si="33"/>
        <v>155</v>
      </c>
      <c r="AC116">
        <f t="shared" si="34"/>
        <v>140</v>
      </c>
      <c r="AD116">
        <f t="shared" si="35"/>
        <v>189</v>
      </c>
      <c r="AE116">
        <f t="shared" si="36"/>
        <v>172</v>
      </c>
      <c r="AF116">
        <f t="shared" si="37"/>
        <v>140</v>
      </c>
      <c r="AG116">
        <f t="shared" si="38"/>
        <v>126</v>
      </c>
      <c r="AH116">
        <f t="shared" si="39"/>
        <v>112</v>
      </c>
      <c r="AI116">
        <f t="shared" si="40"/>
        <v>200</v>
      </c>
      <c r="AJ116">
        <f t="shared" si="41"/>
        <v>182</v>
      </c>
      <c r="AK116">
        <f t="shared" si="42"/>
        <v>150</v>
      </c>
      <c r="AL116">
        <f t="shared" si="43"/>
        <v>135</v>
      </c>
      <c r="AM116">
        <f t="shared" si="44"/>
        <v>121</v>
      </c>
      <c r="AN116">
        <f t="shared" si="45"/>
        <v>117</v>
      </c>
      <c r="AO116">
        <f t="shared" si="46"/>
        <v>107</v>
      </c>
      <c r="AP116">
        <f t="shared" si="47"/>
        <v>75</v>
      </c>
      <c r="AQ116">
        <f t="shared" si="48"/>
        <v>67</v>
      </c>
      <c r="AR116">
        <f t="shared" si="49"/>
        <v>54</v>
      </c>
      <c r="AS116">
        <f t="shared" si="50"/>
        <v>128</v>
      </c>
      <c r="AT116">
        <f t="shared" si="51"/>
        <v>117</v>
      </c>
      <c r="AU116">
        <f t="shared" si="52"/>
        <v>85</v>
      </c>
      <c r="AV116">
        <f t="shared" si="53"/>
        <v>76</v>
      </c>
      <c r="AW116">
        <f t="shared" si="54"/>
        <v>63</v>
      </c>
      <c r="AX116">
        <f t="shared" si="55"/>
        <v>106</v>
      </c>
      <c r="AY116">
        <f t="shared" si="56"/>
        <v>97</v>
      </c>
      <c r="AZ116">
        <f t="shared" si="57"/>
        <v>65</v>
      </c>
      <c r="BA116">
        <f t="shared" si="58"/>
        <v>58</v>
      </c>
      <c r="BB116">
        <f t="shared" si="59"/>
        <v>45</v>
      </c>
    </row>
    <row r="117" spans="1:54" x14ac:dyDescent="0.15">
      <c r="B117" t="s">
        <v>453</v>
      </c>
      <c r="C117">
        <v>77</v>
      </c>
      <c r="D117">
        <v>0</v>
      </c>
      <c r="E117" t="s">
        <v>454</v>
      </c>
      <c r="G117" t="s">
        <v>454</v>
      </c>
      <c r="J117" t="s">
        <v>455</v>
      </c>
      <c r="K117">
        <v>30</v>
      </c>
      <c r="L117">
        <v>1</v>
      </c>
      <c r="M117" t="s">
        <v>47</v>
      </c>
      <c r="O117" t="s">
        <v>92</v>
      </c>
      <c r="P117" t="s">
        <v>245</v>
      </c>
      <c r="Q117" t="s">
        <v>456</v>
      </c>
      <c r="R117">
        <v>8</v>
      </c>
      <c r="S117">
        <v>50</v>
      </c>
      <c r="T117">
        <v>85</v>
      </c>
      <c r="U117">
        <v>55</v>
      </c>
      <c r="V117">
        <v>65</v>
      </c>
      <c r="W117">
        <v>65</v>
      </c>
      <c r="X117">
        <v>90</v>
      </c>
      <c r="Y117">
        <f t="shared" si="30"/>
        <v>157</v>
      </c>
      <c r="Z117">
        <f t="shared" si="31"/>
        <v>157</v>
      </c>
      <c r="AA117">
        <f t="shared" si="32"/>
        <v>125</v>
      </c>
      <c r="AB117">
        <f t="shared" si="33"/>
        <v>125</v>
      </c>
      <c r="AC117">
        <f t="shared" si="34"/>
        <v>110</v>
      </c>
      <c r="AD117">
        <f t="shared" si="35"/>
        <v>150</v>
      </c>
      <c r="AE117">
        <f t="shared" si="36"/>
        <v>137</v>
      </c>
      <c r="AF117">
        <f t="shared" si="37"/>
        <v>105</v>
      </c>
      <c r="AG117">
        <f t="shared" si="38"/>
        <v>94</v>
      </c>
      <c r="AH117">
        <f t="shared" si="39"/>
        <v>81</v>
      </c>
      <c r="AI117">
        <f t="shared" si="40"/>
        <v>117</v>
      </c>
      <c r="AJ117">
        <f t="shared" si="41"/>
        <v>107</v>
      </c>
      <c r="AK117">
        <f t="shared" si="42"/>
        <v>75</v>
      </c>
      <c r="AL117">
        <f t="shared" si="43"/>
        <v>67</v>
      </c>
      <c r="AM117">
        <f t="shared" si="44"/>
        <v>54</v>
      </c>
      <c r="AN117">
        <f t="shared" si="45"/>
        <v>128</v>
      </c>
      <c r="AO117">
        <f t="shared" si="46"/>
        <v>117</v>
      </c>
      <c r="AP117">
        <f t="shared" si="47"/>
        <v>85</v>
      </c>
      <c r="AQ117">
        <f t="shared" si="48"/>
        <v>76</v>
      </c>
      <c r="AR117">
        <f t="shared" si="49"/>
        <v>63</v>
      </c>
      <c r="AS117">
        <f t="shared" si="50"/>
        <v>128</v>
      </c>
      <c r="AT117">
        <f t="shared" si="51"/>
        <v>117</v>
      </c>
      <c r="AU117">
        <f t="shared" si="52"/>
        <v>85</v>
      </c>
      <c r="AV117">
        <f t="shared" si="53"/>
        <v>76</v>
      </c>
      <c r="AW117">
        <f t="shared" si="54"/>
        <v>63</v>
      </c>
      <c r="AX117">
        <f t="shared" si="55"/>
        <v>156</v>
      </c>
      <c r="AY117">
        <f t="shared" si="56"/>
        <v>142</v>
      </c>
      <c r="AZ117">
        <f t="shared" si="57"/>
        <v>110</v>
      </c>
      <c r="BA117">
        <f t="shared" si="58"/>
        <v>99</v>
      </c>
      <c r="BB117">
        <f t="shared" si="59"/>
        <v>85</v>
      </c>
    </row>
    <row r="118" spans="1:54" x14ac:dyDescent="0.15">
      <c r="B118" t="s">
        <v>457</v>
      </c>
      <c r="C118">
        <v>77</v>
      </c>
      <c r="D118">
        <v>1</v>
      </c>
      <c r="E118" t="s">
        <v>454</v>
      </c>
      <c r="F118" t="s">
        <v>327</v>
      </c>
      <c r="G118" t="s">
        <v>458</v>
      </c>
      <c r="J118" t="s">
        <v>459</v>
      </c>
      <c r="K118">
        <v>24</v>
      </c>
      <c r="L118">
        <v>0.8</v>
      </c>
      <c r="M118" t="s">
        <v>191</v>
      </c>
      <c r="O118" t="s">
        <v>92</v>
      </c>
      <c r="P118" t="s">
        <v>460</v>
      </c>
      <c r="Q118" t="s">
        <v>456</v>
      </c>
      <c r="R118">
        <v>8</v>
      </c>
      <c r="S118">
        <v>50</v>
      </c>
      <c r="T118">
        <v>85</v>
      </c>
      <c r="U118">
        <v>55</v>
      </c>
      <c r="V118">
        <v>65</v>
      </c>
      <c r="W118">
        <v>65</v>
      </c>
      <c r="X118">
        <v>90</v>
      </c>
      <c r="Y118">
        <f t="shared" si="30"/>
        <v>157</v>
      </c>
      <c r="Z118">
        <f t="shared" si="31"/>
        <v>157</v>
      </c>
      <c r="AA118">
        <f t="shared" si="32"/>
        <v>125</v>
      </c>
      <c r="AB118">
        <f t="shared" si="33"/>
        <v>125</v>
      </c>
      <c r="AC118">
        <f t="shared" si="34"/>
        <v>110</v>
      </c>
      <c r="AD118">
        <f t="shared" si="35"/>
        <v>150</v>
      </c>
      <c r="AE118">
        <f t="shared" si="36"/>
        <v>137</v>
      </c>
      <c r="AF118">
        <f t="shared" si="37"/>
        <v>105</v>
      </c>
      <c r="AG118">
        <f t="shared" si="38"/>
        <v>94</v>
      </c>
      <c r="AH118">
        <f t="shared" si="39"/>
        <v>81</v>
      </c>
      <c r="AI118">
        <f t="shared" si="40"/>
        <v>117</v>
      </c>
      <c r="AJ118">
        <f t="shared" si="41"/>
        <v>107</v>
      </c>
      <c r="AK118">
        <f t="shared" si="42"/>
        <v>75</v>
      </c>
      <c r="AL118">
        <f t="shared" si="43"/>
        <v>67</v>
      </c>
      <c r="AM118">
        <f t="shared" si="44"/>
        <v>54</v>
      </c>
      <c r="AN118">
        <f t="shared" si="45"/>
        <v>128</v>
      </c>
      <c r="AO118">
        <f t="shared" si="46"/>
        <v>117</v>
      </c>
      <c r="AP118">
        <f t="shared" si="47"/>
        <v>85</v>
      </c>
      <c r="AQ118">
        <f t="shared" si="48"/>
        <v>76</v>
      </c>
      <c r="AR118">
        <f t="shared" si="49"/>
        <v>63</v>
      </c>
      <c r="AS118">
        <f t="shared" si="50"/>
        <v>128</v>
      </c>
      <c r="AT118">
        <f t="shared" si="51"/>
        <v>117</v>
      </c>
      <c r="AU118">
        <f t="shared" si="52"/>
        <v>85</v>
      </c>
      <c r="AV118">
        <f t="shared" si="53"/>
        <v>76</v>
      </c>
      <c r="AW118">
        <f t="shared" si="54"/>
        <v>63</v>
      </c>
      <c r="AX118">
        <f t="shared" si="55"/>
        <v>156</v>
      </c>
      <c r="AY118">
        <f t="shared" si="56"/>
        <v>142</v>
      </c>
      <c r="AZ118">
        <f t="shared" si="57"/>
        <v>110</v>
      </c>
      <c r="BA118">
        <f t="shared" si="58"/>
        <v>99</v>
      </c>
      <c r="BB118">
        <f t="shared" si="59"/>
        <v>85</v>
      </c>
    </row>
    <row r="119" spans="1:54" x14ac:dyDescent="0.15">
      <c r="B119" t="s">
        <v>461</v>
      </c>
      <c r="C119">
        <v>78</v>
      </c>
      <c r="D119">
        <v>0</v>
      </c>
      <c r="E119" t="s">
        <v>462</v>
      </c>
      <c r="G119" t="s">
        <v>462</v>
      </c>
      <c r="J119" t="s">
        <v>455</v>
      </c>
      <c r="K119">
        <v>95</v>
      </c>
      <c r="L119">
        <v>1.7</v>
      </c>
      <c r="M119" t="s">
        <v>47</v>
      </c>
      <c r="O119" t="s">
        <v>92</v>
      </c>
      <c r="P119" t="s">
        <v>245</v>
      </c>
      <c r="Q119" t="s">
        <v>456</v>
      </c>
      <c r="R119">
        <v>8</v>
      </c>
      <c r="S119">
        <v>65</v>
      </c>
      <c r="T119">
        <v>100</v>
      </c>
      <c r="U119">
        <v>70</v>
      </c>
      <c r="V119">
        <v>80</v>
      </c>
      <c r="W119">
        <v>80</v>
      </c>
      <c r="X119">
        <v>105</v>
      </c>
      <c r="Y119">
        <f t="shared" si="30"/>
        <v>172</v>
      </c>
      <c r="Z119">
        <f t="shared" si="31"/>
        <v>172</v>
      </c>
      <c r="AA119">
        <f t="shared" si="32"/>
        <v>140</v>
      </c>
      <c r="AB119">
        <f t="shared" si="33"/>
        <v>140</v>
      </c>
      <c r="AC119">
        <f t="shared" si="34"/>
        <v>125</v>
      </c>
      <c r="AD119">
        <f t="shared" si="35"/>
        <v>167</v>
      </c>
      <c r="AE119">
        <f t="shared" si="36"/>
        <v>152</v>
      </c>
      <c r="AF119">
        <f t="shared" si="37"/>
        <v>120</v>
      </c>
      <c r="AG119">
        <f t="shared" si="38"/>
        <v>108</v>
      </c>
      <c r="AH119">
        <f t="shared" si="39"/>
        <v>94</v>
      </c>
      <c r="AI119">
        <f t="shared" si="40"/>
        <v>134</v>
      </c>
      <c r="AJ119">
        <f t="shared" si="41"/>
        <v>122</v>
      </c>
      <c r="AK119">
        <f t="shared" si="42"/>
        <v>90</v>
      </c>
      <c r="AL119">
        <f t="shared" si="43"/>
        <v>81</v>
      </c>
      <c r="AM119">
        <f t="shared" si="44"/>
        <v>67</v>
      </c>
      <c r="AN119">
        <f t="shared" si="45"/>
        <v>145</v>
      </c>
      <c r="AO119">
        <f t="shared" si="46"/>
        <v>132</v>
      </c>
      <c r="AP119">
        <f t="shared" si="47"/>
        <v>100</v>
      </c>
      <c r="AQ119">
        <f t="shared" si="48"/>
        <v>90</v>
      </c>
      <c r="AR119">
        <f t="shared" si="49"/>
        <v>76</v>
      </c>
      <c r="AS119">
        <f t="shared" si="50"/>
        <v>145</v>
      </c>
      <c r="AT119">
        <f t="shared" si="51"/>
        <v>132</v>
      </c>
      <c r="AU119">
        <f t="shared" si="52"/>
        <v>100</v>
      </c>
      <c r="AV119">
        <f t="shared" si="53"/>
        <v>90</v>
      </c>
      <c r="AW119">
        <f t="shared" si="54"/>
        <v>76</v>
      </c>
      <c r="AX119">
        <f t="shared" si="55"/>
        <v>172</v>
      </c>
      <c r="AY119">
        <f t="shared" si="56"/>
        <v>157</v>
      </c>
      <c r="AZ119">
        <f t="shared" si="57"/>
        <v>125</v>
      </c>
      <c r="BA119">
        <f t="shared" si="58"/>
        <v>112</v>
      </c>
      <c r="BB119">
        <f t="shared" si="59"/>
        <v>99</v>
      </c>
    </row>
    <row r="120" spans="1:54" x14ac:dyDescent="0.15">
      <c r="B120" t="s">
        <v>463</v>
      </c>
      <c r="C120">
        <v>78</v>
      </c>
      <c r="D120">
        <v>1</v>
      </c>
      <c r="E120" t="s">
        <v>462</v>
      </c>
      <c r="F120" t="s">
        <v>327</v>
      </c>
      <c r="G120" t="s">
        <v>464</v>
      </c>
      <c r="J120" t="s">
        <v>459</v>
      </c>
      <c r="K120">
        <v>80</v>
      </c>
      <c r="L120">
        <v>1.7</v>
      </c>
      <c r="M120" t="s">
        <v>191</v>
      </c>
      <c r="N120" t="s">
        <v>233</v>
      </c>
      <c r="O120" t="s">
        <v>92</v>
      </c>
      <c r="P120" t="s">
        <v>460</v>
      </c>
      <c r="Q120" t="s">
        <v>456</v>
      </c>
      <c r="R120">
        <v>8</v>
      </c>
      <c r="S120">
        <v>65</v>
      </c>
      <c r="T120">
        <v>100</v>
      </c>
      <c r="U120">
        <v>70</v>
      </c>
      <c r="V120">
        <v>80</v>
      </c>
      <c r="W120">
        <v>80</v>
      </c>
      <c r="X120">
        <v>105</v>
      </c>
      <c r="Y120">
        <f t="shared" si="30"/>
        <v>172</v>
      </c>
      <c r="Z120">
        <f t="shared" si="31"/>
        <v>172</v>
      </c>
      <c r="AA120">
        <f t="shared" si="32"/>
        <v>140</v>
      </c>
      <c r="AB120">
        <f t="shared" si="33"/>
        <v>140</v>
      </c>
      <c r="AC120">
        <f t="shared" si="34"/>
        <v>125</v>
      </c>
      <c r="AD120">
        <f t="shared" si="35"/>
        <v>167</v>
      </c>
      <c r="AE120">
        <f t="shared" si="36"/>
        <v>152</v>
      </c>
      <c r="AF120">
        <f t="shared" si="37"/>
        <v>120</v>
      </c>
      <c r="AG120">
        <f t="shared" si="38"/>
        <v>108</v>
      </c>
      <c r="AH120">
        <f t="shared" si="39"/>
        <v>94</v>
      </c>
      <c r="AI120">
        <f t="shared" si="40"/>
        <v>134</v>
      </c>
      <c r="AJ120">
        <f t="shared" si="41"/>
        <v>122</v>
      </c>
      <c r="AK120">
        <f t="shared" si="42"/>
        <v>90</v>
      </c>
      <c r="AL120">
        <f t="shared" si="43"/>
        <v>81</v>
      </c>
      <c r="AM120">
        <f t="shared" si="44"/>
        <v>67</v>
      </c>
      <c r="AN120">
        <f t="shared" si="45"/>
        <v>145</v>
      </c>
      <c r="AO120">
        <f t="shared" si="46"/>
        <v>132</v>
      </c>
      <c r="AP120">
        <f t="shared" si="47"/>
        <v>100</v>
      </c>
      <c r="AQ120">
        <f t="shared" si="48"/>
        <v>90</v>
      </c>
      <c r="AR120">
        <f t="shared" si="49"/>
        <v>76</v>
      </c>
      <c r="AS120">
        <f t="shared" si="50"/>
        <v>145</v>
      </c>
      <c r="AT120">
        <f t="shared" si="51"/>
        <v>132</v>
      </c>
      <c r="AU120">
        <f t="shared" si="52"/>
        <v>100</v>
      </c>
      <c r="AV120">
        <f t="shared" si="53"/>
        <v>90</v>
      </c>
      <c r="AW120">
        <f t="shared" si="54"/>
        <v>76</v>
      </c>
      <c r="AX120">
        <f t="shared" si="55"/>
        <v>172</v>
      </c>
      <c r="AY120">
        <f t="shared" si="56"/>
        <v>157</v>
      </c>
      <c r="AZ120">
        <f t="shared" si="57"/>
        <v>125</v>
      </c>
      <c r="BA120">
        <f t="shared" si="58"/>
        <v>112</v>
      </c>
      <c r="BB120">
        <f t="shared" si="59"/>
        <v>99</v>
      </c>
    </row>
    <row r="121" spans="1:54" x14ac:dyDescent="0.15">
      <c r="A121">
        <v>74</v>
      </c>
      <c r="B121" t="s">
        <v>465</v>
      </c>
      <c r="C121">
        <v>79</v>
      </c>
      <c r="D121">
        <v>0</v>
      </c>
      <c r="E121" t="s">
        <v>466</v>
      </c>
      <c r="G121" t="s">
        <v>466</v>
      </c>
      <c r="H121" t="s">
        <v>467</v>
      </c>
      <c r="J121" t="s">
        <v>468</v>
      </c>
      <c r="K121">
        <v>36</v>
      </c>
      <c r="L121">
        <v>1.2</v>
      </c>
      <c r="M121" t="s">
        <v>71</v>
      </c>
      <c r="N121" t="s">
        <v>191</v>
      </c>
      <c r="O121" t="s">
        <v>469</v>
      </c>
      <c r="P121" t="s">
        <v>470</v>
      </c>
      <c r="Q121" t="s">
        <v>471</v>
      </c>
      <c r="R121">
        <v>9</v>
      </c>
      <c r="S121">
        <v>90</v>
      </c>
      <c r="T121">
        <v>65</v>
      </c>
      <c r="U121">
        <v>65</v>
      </c>
      <c r="V121">
        <v>40</v>
      </c>
      <c r="W121">
        <v>40</v>
      </c>
      <c r="X121">
        <v>15</v>
      </c>
      <c r="Y121">
        <f t="shared" si="30"/>
        <v>197</v>
      </c>
      <c r="Z121">
        <f t="shared" si="31"/>
        <v>197</v>
      </c>
      <c r="AA121">
        <f t="shared" si="32"/>
        <v>165</v>
      </c>
      <c r="AB121">
        <f t="shared" si="33"/>
        <v>165</v>
      </c>
      <c r="AC121">
        <f t="shared" si="34"/>
        <v>150</v>
      </c>
      <c r="AD121">
        <f t="shared" si="35"/>
        <v>128</v>
      </c>
      <c r="AE121">
        <f t="shared" si="36"/>
        <v>117</v>
      </c>
      <c r="AF121">
        <f t="shared" si="37"/>
        <v>85</v>
      </c>
      <c r="AG121">
        <f t="shared" si="38"/>
        <v>76</v>
      </c>
      <c r="AH121">
        <f t="shared" si="39"/>
        <v>63</v>
      </c>
      <c r="AI121">
        <f t="shared" si="40"/>
        <v>128</v>
      </c>
      <c r="AJ121">
        <f t="shared" si="41"/>
        <v>117</v>
      </c>
      <c r="AK121">
        <f t="shared" si="42"/>
        <v>85</v>
      </c>
      <c r="AL121">
        <f t="shared" si="43"/>
        <v>76</v>
      </c>
      <c r="AM121">
        <f t="shared" si="44"/>
        <v>63</v>
      </c>
      <c r="AN121">
        <f t="shared" si="45"/>
        <v>101</v>
      </c>
      <c r="AO121">
        <f t="shared" si="46"/>
        <v>92</v>
      </c>
      <c r="AP121">
        <f t="shared" si="47"/>
        <v>60</v>
      </c>
      <c r="AQ121">
        <f t="shared" si="48"/>
        <v>54</v>
      </c>
      <c r="AR121">
        <f t="shared" si="49"/>
        <v>40</v>
      </c>
      <c r="AS121">
        <f t="shared" si="50"/>
        <v>101</v>
      </c>
      <c r="AT121">
        <f t="shared" si="51"/>
        <v>92</v>
      </c>
      <c r="AU121">
        <f t="shared" si="52"/>
        <v>60</v>
      </c>
      <c r="AV121">
        <f t="shared" si="53"/>
        <v>54</v>
      </c>
      <c r="AW121">
        <f t="shared" si="54"/>
        <v>40</v>
      </c>
      <c r="AX121">
        <f t="shared" si="55"/>
        <v>73</v>
      </c>
      <c r="AY121">
        <f t="shared" si="56"/>
        <v>67</v>
      </c>
      <c r="AZ121">
        <f t="shared" si="57"/>
        <v>35</v>
      </c>
      <c r="BA121">
        <f t="shared" si="58"/>
        <v>31</v>
      </c>
      <c r="BB121">
        <f t="shared" si="59"/>
        <v>18</v>
      </c>
    </row>
    <row r="122" spans="1:54" x14ac:dyDescent="0.15">
      <c r="A122">
        <v>75</v>
      </c>
      <c r="B122" t="s">
        <v>472</v>
      </c>
      <c r="C122">
        <v>79</v>
      </c>
      <c r="D122">
        <v>1</v>
      </c>
      <c r="E122" t="s">
        <v>466</v>
      </c>
      <c r="F122" t="s">
        <v>327</v>
      </c>
      <c r="G122" t="s">
        <v>473</v>
      </c>
      <c r="H122" t="s">
        <v>474</v>
      </c>
      <c r="J122" t="s">
        <v>468</v>
      </c>
      <c r="K122">
        <v>36</v>
      </c>
      <c r="L122">
        <v>1.2</v>
      </c>
      <c r="M122" t="s">
        <v>191</v>
      </c>
      <c r="O122" t="s">
        <v>141</v>
      </c>
      <c r="P122" t="s">
        <v>470</v>
      </c>
      <c r="Q122" t="s">
        <v>471</v>
      </c>
      <c r="R122">
        <v>9</v>
      </c>
      <c r="S122">
        <v>90</v>
      </c>
      <c r="T122">
        <v>65</v>
      </c>
      <c r="U122">
        <v>65</v>
      </c>
      <c r="V122">
        <v>40</v>
      </c>
      <c r="W122">
        <v>40</v>
      </c>
      <c r="X122">
        <v>15</v>
      </c>
      <c r="Y122">
        <f t="shared" si="30"/>
        <v>197</v>
      </c>
      <c r="Z122">
        <f t="shared" si="31"/>
        <v>197</v>
      </c>
      <c r="AA122">
        <f t="shared" si="32"/>
        <v>165</v>
      </c>
      <c r="AB122">
        <f t="shared" si="33"/>
        <v>165</v>
      </c>
      <c r="AC122">
        <f t="shared" si="34"/>
        <v>150</v>
      </c>
      <c r="AD122">
        <f t="shared" si="35"/>
        <v>128</v>
      </c>
      <c r="AE122">
        <f t="shared" si="36"/>
        <v>117</v>
      </c>
      <c r="AF122">
        <f t="shared" si="37"/>
        <v>85</v>
      </c>
      <c r="AG122">
        <f t="shared" si="38"/>
        <v>76</v>
      </c>
      <c r="AH122">
        <f t="shared" si="39"/>
        <v>63</v>
      </c>
      <c r="AI122">
        <f t="shared" si="40"/>
        <v>128</v>
      </c>
      <c r="AJ122">
        <f t="shared" si="41"/>
        <v>117</v>
      </c>
      <c r="AK122">
        <f t="shared" si="42"/>
        <v>85</v>
      </c>
      <c r="AL122">
        <f t="shared" si="43"/>
        <v>76</v>
      </c>
      <c r="AM122">
        <f t="shared" si="44"/>
        <v>63</v>
      </c>
      <c r="AN122">
        <f t="shared" si="45"/>
        <v>101</v>
      </c>
      <c r="AO122">
        <f t="shared" si="46"/>
        <v>92</v>
      </c>
      <c r="AP122">
        <f t="shared" si="47"/>
        <v>60</v>
      </c>
      <c r="AQ122">
        <f t="shared" si="48"/>
        <v>54</v>
      </c>
      <c r="AR122">
        <f t="shared" si="49"/>
        <v>40</v>
      </c>
      <c r="AS122">
        <f t="shared" si="50"/>
        <v>101</v>
      </c>
      <c r="AT122">
        <f t="shared" si="51"/>
        <v>92</v>
      </c>
      <c r="AU122">
        <f t="shared" si="52"/>
        <v>60</v>
      </c>
      <c r="AV122">
        <f t="shared" si="53"/>
        <v>54</v>
      </c>
      <c r="AW122">
        <f t="shared" si="54"/>
        <v>40</v>
      </c>
      <c r="AX122">
        <f t="shared" si="55"/>
        <v>73</v>
      </c>
      <c r="AY122">
        <f t="shared" si="56"/>
        <v>67</v>
      </c>
      <c r="AZ122">
        <f t="shared" si="57"/>
        <v>35</v>
      </c>
      <c r="BA122">
        <f t="shared" si="58"/>
        <v>31</v>
      </c>
      <c r="BB122">
        <f t="shared" si="59"/>
        <v>18</v>
      </c>
    </row>
    <row r="123" spans="1:54" x14ac:dyDescent="0.15">
      <c r="A123">
        <v>76</v>
      </c>
      <c r="B123" t="s">
        <v>475</v>
      </c>
      <c r="C123">
        <v>80</v>
      </c>
      <c r="D123">
        <v>0</v>
      </c>
      <c r="E123" t="s">
        <v>476</v>
      </c>
      <c r="G123" t="s">
        <v>476</v>
      </c>
      <c r="H123" t="s">
        <v>477</v>
      </c>
      <c r="J123" t="s">
        <v>478</v>
      </c>
      <c r="K123">
        <v>78.5</v>
      </c>
      <c r="L123">
        <v>1.6</v>
      </c>
      <c r="M123" t="s">
        <v>71</v>
      </c>
      <c r="N123" t="s">
        <v>191</v>
      </c>
      <c r="O123" t="s">
        <v>469</v>
      </c>
      <c r="P123" t="s">
        <v>470</v>
      </c>
      <c r="Q123" t="s">
        <v>471</v>
      </c>
      <c r="R123">
        <v>9</v>
      </c>
      <c r="S123">
        <v>95</v>
      </c>
      <c r="T123">
        <v>75</v>
      </c>
      <c r="U123">
        <v>110</v>
      </c>
      <c r="V123">
        <v>100</v>
      </c>
      <c r="W123">
        <v>80</v>
      </c>
      <c r="X123">
        <v>30</v>
      </c>
      <c r="Y123">
        <f t="shared" si="30"/>
        <v>202</v>
      </c>
      <c r="Z123">
        <f t="shared" si="31"/>
        <v>202</v>
      </c>
      <c r="AA123">
        <f t="shared" si="32"/>
        <v>170</v>
      </c>
      <c r="AB123">
        <f t="shared" si="33"/>
        <v>170</v>
      </c>
      <c r="AC123">
        <f t="shared" si="34"/>
        <v>155</v>
      </c>
      <c r="AD123">
        <f t="shared" si="35"/>
        <v>139</v>
      </c>
      <c r="AE123">
        <f t="shared" si="36"/>
        <v>127</v>
      </c>
      <c r="AF123">
        <f t="shared" si="37"/>
        <v>95</v>
      </c>
      <c r="AG123">
        <f t="shared" si="38"/>
        <v>85</v>
      </c>
      <c r="AH123">
        <f t="shared" si="39"/>
        <v>72</v>
      </c>
      <c r="AI123">
        <f t="shared" si="40"/>
        <v>178</v>
      </c>
      <c r="AJ123">
        <f t="shared" si="41"/>
        <v>162</v>
      </c>
      <c r="AK123">
        <f t="shared" si="42"/>
        <v>130</v>
      </c>
      <c r="AL123">
        <f t="shared" si="43"/>
        <v>117</v>
      </c>
      <c r="AM123">
        <f t="shared" si="44"/>
        <v>103</v>
      </c>
      <c r="AN123">
        <f t="shared" si="45"/>
        <v>167</v>
      </c>
      <c r="AO123">
        <f t="shared" si="46"/>
        <v>152</v>
      </c>
      <c r="AP123">
        <f t="shared" si="47"/>
        <v>120</v>
      </c>
      <c r="AQ123">
        <f t="shared" si="48"/>
        <v>108</v>
      </c>
      <c r="AR123">
        <f t="shared" si="49"/>
        <v>94</v>
      </c>
      <c r="AS123">
        <f t="shared" si="50"/>
        <v>145</v>
      </c>
      <c r="AT123">
        <f t="shared" si="51"/>
        <v>132</v>
      </c>
      <c r="AU123">
        <f t="shared" si="52"/>
        <v>100</v>
      </c>
      <c r="AV123">
        <f t="shared" si="53"/>
        <v>90</v>
      </c>
      <c r="AW123">
        <f t="shared" si="54"/>
        <v>76</v>
      </c>
      <c r="AX123">
        <f t="shared" si="55"/>
        <v>90</v>
      </c>
      <c r="AY123">
        <f t="shared" si="56"/>
        <v>82</v>
      </c>
      <c r="AZ123">
        <f t="shared" si="57"/>
        <v>50</v>
      </c>
      <c r="BA123">
        <f t="shared" si="58"/>
        <v>45</v>
      </c>
      <c r="BB123">
        <f t="shared" si="59"/>
        <v>31</v>
      </c>
    </row>
    <row r="124" spans="1:54" x14ac:dyDescent="0.15">
      <c r="B124" t="s">
        <v>479</v>
      </c>
      <c r="C124">
        <v>80</v>
      </c>
      <c r="D124">
        <v>1</v>
      </c>
      <c r="E124" t="s">
        <v>476</v>
      </c>
      <c r="F124" t="s">
        <v>480</v>
      </c>
      <c r="G124" t="s">
        <v>480</v>
      </c>
      <c r="J124" t="s">
        <v>478</v>
      </c>
      <c r="K124">
        <v>120</v>
      </c>
      <c r="L124">
        <v>2</v>
      </c>
      <c r="M124" t="s">
        <v>71</v>
      </c>
      <c r="N124" t="s">
        <v>191</v>
      </c>
      <c r="O124" t="s">
        <v>481</v>
      </c>
      <c r="P124" t="s">
        <v>471</v>
      </c>
      <c r="R124">
        <v>7</v>
      </c>
      <c r="S124">
        <v>95</v>
      </c>
      <c r="T124">
        <v>75</v>
      </c>
      <c r="U124">
        <v>110</v>
      </c>
      <c r="V124">
        <v>100</v>
      </c>
      <c r="W124">
        <v>80</v>
      </c>
      <c r="X124">
        <v>30</v>
      </c>
      <c r="Y124">
        <f t="shared" si="30"/>
        <v>202</v>
      </c>
      <c r="Z124">
        <f t="shared" si="31"/>
        <v>202</v>
      </c>
      <c r="AA124">
        <f t="shared" si="32"/>
        <v>170</v>
      </c>
      <c r="AB124">
        <f t="shared" si="33"/>
        <v>170</v>
      </c>
      <c r="AC124">
        <f t="shared" si="34"/>
        <v>155</v>
      </c>
      <c r="AD124">
        <f t="shared" si="35"/>
        <v>139</v>
      </c>
      <c r="AE124">
        <f t="shared" si="36"/>
        <v>127</v>
      </c>
      <c r="AF124">
        <f t="shared" si="37"/>
        <v>95</v>
      </c>
      <c r="AG124">
        <f t="shared" si="38"/>
        <v>85</v>
      </c>
      <c r="AH124">
        <f t="shared" si="39"/>
        <v>72</v>
      </c>
      <c r="AI124">
        <f t="shared" si="40"/>
        <v>178</v>
      </c>
      <c r="AJ124">
        <f t="shared" si="41"/>
        <v>162</v>
      </c>
      <c r="AK124">
        <f t="shared" si="42"/>
        <v>130</v>
      </c>
      <c r="AL124">
        <f t="shared" si="43"/>
        <v>117</v>
      </c>
      <c r="AM124">
        <f t="shared" si="44"/>
        <v>103</v>
      </c>
      <c r="AN124">
        <f t="shared" si="45"/>
        <v>167</v>
      </c>
      <c r="AO124">
        <f t="shared" si="46"/>
        <v>152</v>
      </c>
      <c r="AP124">
        <f t="shared" si="47"/>
        <v>120</v>
      </c>
      <c r="AQ124">
        <f t="shared" si="48"/>
        <v>108</v>
      </c>
      <c r="AR124">
        <f t="shared" si="49"/>
        <v>94</v>
      </c>
      <c r="AS124">
        <f t="shared" si="50"/>
        <v>145</v>
      </c>
      <c r="AT124">
        <f t="shared" si="51"/>
        <v>132</v>
      </c>
      <c r="AU124">
        <f t="shared" si="52"/>
        <v>100</v>
      </c>
      <c r="AV124">
        <f t="shared" si="53"/>
        <v>90</v>
      </c>
      <c r="AW124">
        <f t="shared" si="54"/>
        <v>76</v>
      </c>
      <c r="AX124">
        <f t="shared" si="55"/>
        <v>90</v>
      </c>
      <c r="AY124">
        <f t="shared" si="56"/>
        <v>82</v>
      </c>
      <c r="AZ124">
        <f t="shared" si="57"/>
        <v>50</v>
      </c>
      <c r="BA124">
        <f t="shared" si="58"/>
        <v>45</v>
      </c>
      <c r="BB124">
        <f t="shared" si="59"/>
        <v>31</v>
      </c>
    </row>
    <row r="125" spans="1:54" x14ac:dyDescent="0.15">
      <c r="A125">
        <v>77</v>
      </c>
      <c r="B125" t="s">
        <v>482</v>
      </c>
      <c r="C125">
        <v>80</v>
      </c>
      <c r="D125">
        <v>2</v>
      </c>
      <c r="E125" t="s">
        <v>476</v>
      </c>
      <c r="F125" t="s">
        <v>327</v>
      </c>
      <c r="G125" t="s">
        <v>483</v>
      </c>
      <c r="H125" t="s">
        <v>484</v>
      </c>
      <c r="J125" t="s">
        <v>478</v>
      </c>
      <c r="K125">
        <v>70.5</v>
      </c>
      <c r="L125">
        <v>1.6</v>
      </c>
      <c r="M125" t="s">
        <v>27</v>
      </c>
      <c r="N125" t="s">
        <v>191</v>
      </c>
      <c r="O125" t="s">
        <v>485</v>
      </c>
      <c r="P125" t="s">
        <v>470</v>
      </c>
      <c r="Q125" t="s">
        <v>471</v>
      </c>
      <c r="R125">
        <v>9</v>
      </c>
      <c r="S125">
        <v>95</v>
      </c>
      <c r="T125">
        <v>100</v>
      </c>
      <c r="U125">
        <v>95</v>
      </c>
      <c r="V125">
        <v>100</v>
      </c>
      <c r="W125">
        <v>70</v>
      </c>
      <c r="X125">
        <v>30</v>
      </c>
      <c r="Y125">
        <f t="shared" si="30"/>
        <v>202</v>
      </c>
      <c r="Z125">
        <f t="shared" si="31"/>
        <v>202</v>
      </c>
      <c r="AA125">
        <f t="shared" si="32"/>
        <v>170</v>
      </c>
      <c r="AB125">
        <f t="shared" si="33"/>
        <v>170</v>
      </c>
      <c r="AC125">
        <f t="shared" si="34"/>
        <v>155</v>
      </c>
      <c r="AD125">
        <f t="shared" si="35"/>
        <v>167</v>
      </c>
      <c r="AE125">
        <f t="shared" si="36"/>
        <v>152</v>
      </c>
      <c r="AF125">
        <f t="shared" si="37"/>
        <v>120</v>
      </c>
      <c r="AG125">
        <f t="shared" si="38"/>
        <v>108</v>
      </c>
      <c r="AH125">
        <f t="shared" si="39"/>
        <v>94</v>
      </c>
      <c r="AI125">
        <f t="shared" si="40"/>
        <v>161</v>
      </c>
      <c r="AJ125">
        <f t="shared" si="41"/>
        <v>147</v>
      </c>
      <c r="AK125">
        <f t="shared" si="42"/>
        <v>115</v>
      </c>
      <c r="AL125">
        <f t="shared" si="43"/>
        <v>103</v>
      </c>
      <c r="AM125">
        <f t="shared" si="44"/>
        <v>90</v>
      </c>
      <c r="AN125">
        <f t="shared" si="45"/>
        <v>167</v>
      </c>
      <c r="AO125">
        <f t="shared" si="46"/>
        <v>152</v>
      </c>
      <c r="AP125">
        <f t="shared" si="47"/>
        <v>120</v>
      </c>
      <c r="AQ125">
        <f t="shared" si="48"/>
        <v>108</v>
      </c>
      <c r="AR125">
        <f t="shared" si="49"/>
        <v>94</v>
      </c>
      <c r="AS125">
        <f t="shared" si="50"/>
        <v>134</v>
      </c>
      <c r="AT125">
        <f t="shared" si="51"/>
        <v>122</v>
      </c>
      <c r="AU125">
        <f t="shared" si="52"/>
        <v>90</v>
      </c>
      <c r="AV125">
        <f t="shared" si="53"/>
        <v>81</v>
      </c>
      <c r="AW125">
        <f t="shared" si="54"/>
        <v>67</v>
      </c>
      <c r="AX125">
        <f t="shared" si="55"/>
        <v>90</v>
      </c>
      <c r="AY125">
        <f t="shared" si="56"/>
        <v>82</v>
      </c>
      <c r="AZ125">
        <f t="shared" si="57"/>
        <v>50</v>
      </c>
      <c r="BA125">
        <f t="shared" si="58"/>
        <v>45</v>
      </c>
      <c r="BB125">
        <f t="shared" si="59"/>
        <v>31</v>
      </c>
    </row>
    <row r="126" spans="1:54" x14ac:dyDescent="0.15">
      <c r="A126">
        <v>78</v>
      </c>
      <c r="B126" t="s">
        <v>486</v>
      </c>
      <c r="C126">
        <v>81</v>
      </c>
      <c r="D126">
        <v>0</v>
      </c>
      <c r="E126" t="s">
        <v>487</v>
      </c>
      <c r="G126" t="s">
        <v>487</v>
      </c>
      <c r="H126" t="s">
        <v>488</v>
      </c>
      <c r="J126" t="s">
        <v>489</v>
      </c>
      <c r="K126">
        <v>6</v>
      </c>
      <c r="L126">
        <v>0.3</v>
      </c>
      <c r="M126" t="s">
        <v>164</v>
      </c>
      <c r="N126" t="s">
        <v>203</v>
      </c>
      <c r="O126" t="s">
        <v>439</v>
      </c>
      <c r="P126" t="s">
        <v>435</v>
      </c>
      <c r="Q126" t="s">
        <v>490</v>
      </c>
      <c r="R126">
        <v>9</v>
      </c>
      <c r="S126">
        <v>25</v>
      </c>
      <c r="T126">
        <v>35</v>
      </c>
      <c r="U126">
        <v>70</v>
      </c>
      <c r="V126">
        <v>95</v>
      </c>
      <c r="W126">
        <v>55</v>
      </c>
      <c r="X126">
        <v>45</v>
      </c>
      <c r="Y126">
        <f t="shared" si="30"/>
        <v>132</v>
      </c>
      <c r="Z126">
        <f t="shared" si="31"/>
        <v>132</v>
      </c>
      <c r="AA126">
        <f t="shared" si="32"/>
        <v>100</v>
      </c>
      <c r="AB126">
        <f t="shared" si="33"/>
        <v>100</v>
      </c>
      <c r="AC126">
        <f t="shared" si="34"/>
        <v>85</v>
      </c>
      <c r="AD126">
        <f t="shared" si="35"/>
        <v>95</v>
      </c>
      <c r="AE126">
        <f t="shared" si="36"/>
        <v>87</v>
      </c>
      <c r="AF126">
        <f t="shared" si="37"/>
        <v>55</v>
      </c>
      <c r="AG126">
        <f t="shared" si="38"/>
        <v>49</v>
      </c>
      <c r="AH126">
        <f t="shared" si="39"/>
        <v>36</v>
      </c>
      <c r="AI126">
        <f t="shared" si="40"/>
        <v>134</v>
      </c>
      <c r="AJ126">
        <f t="shared" si="41"/>
        <v>122</v>
      </c>
      <c r="AK126">
        <f t="shared" si="42"/>
        <v>90</v>
      </c>
      <c r="AL126">
        <f t="shared" si="43"/>
        <v>81</v>
      </c>
      <c r="AM126">
        <f t="shared" si="44"/>
        <v>67</v>
      </c>
      <c r="AN126">
        <f t="shared" si="45"/>
        <v>161</v>
      </c>
      <c r="AO126">
        <f t="shared" si="46"/>
        <v>147</v>
      </c>
      <c r="AP126">
        <f t="shared" si="47"/>
        <v>115</v>
      </c>
      <c r="AQ126">
        <f t="shared" si="48"/>
        <v>103</v>
      </c>
      <c r="AR126">
        <f t="shared" si="49"/>
        <v>90</v>
      </c>
      <c r="AS126">
        <f t="shared" si="50"/>
        <v>117</v>
      </c>
      <c r="AT126">
        <f t="shared" si="51"/>
        <v>107</v>
      </c>
      <c r="AU126">
        <f t="shared" si="52"/>
        <v>75</v>
      </c>
      <c r="AV126">
        <f t="shared" si="53"/>
        <v>67</v>
      </c>
      <c r="AW126">
        <f t="shared" si="54"/>
        <v>54</v>
      </c>
      <c r="AX126">
        <f t="shared" si="55"/>
        <v>106</v>
      </c>
      <c r="AY126">
        <f t="shared" si="56"/>
        <v>97</v>
      </c>
      <c r="AZ126">
        <f t="shared" si="57"/>
        <v>65</v>
      </c>
      <c r="BA126">
        <f t="shared" si="58"/>
        <v>58</v>
      </c>
      <c r="BB126">
        <f t="shared" si="59"/>
        <v>45</v>
      </c>
    </row>
    <row r="127" spans="1:54" x14ac:dyDescent="0.15">
      <c r="A127">
        <v>79</v>
      </c>
      <c r="B127" t="s">
        <v>491</v>
      </c>
      <c r="C127">
        <v>82</v>
      </c>
      <c r="D127">
        <v>0</v>
      </c>
      <c r="E127" t="s">
        <v>492</v>
      </c>
      <c r="G127" t="s">
        <v>492</v>
      </c>
      <c r="H127" t="s">
        <v>493</v>
      </c>
      <c r="J127" t="s">
        <v>489</v>
      </c>
      <c r="K127">
        <v>60</v>
      </c>
      <c r="L127">
        <v>1</v>
      </c>
      <c r="M127" t="s">
        <v>164</v>
      </c>
      <c r="N127" t="s">
        <v>203</v>
      </c>
      <c r="O127" t="s">
        <v>439</v>
      </c>
      <c r="P127" t="s">
        <v>435</v>
      </c>
      <c r="Q127" t="s">
        <v>490</v>
      </c>
      <c r="R127">
        <v>9</v>
      </c>
      <c r="S127">
        <v>50</v>
      </c>
      <c r="T127">
        <v>60</v>
      </c>
      <c r="U127">
        <v>95</v>
      </c>
      <c r="V127">
        <v>120</v>
      </c>
      <c r="W127">
        <v>70</v>
      </c>
      <c r="X127">
        <v>70</v>
      </c>
      <c r="Y127">
        <f t="shared" si="30"/>
        <v>157</v>
      </c>
      <c r="Z127">
        <f t="shared" si="31"/>
        <v>157</v>
      </c>
      <c r="AA127">
        <f t="shared" si="32"/>
        <v>125</v>
      </c>
      <c r="AB127">
        <f t="shared" si="33"/>
        <v>125</v>
      </c>
      <c r="AC127">
        <f t="shared" si="34"/>
        <v>110</v>
      </c>
      <c r="AD127">
        <f t="shared" si="35"/>
        <v>123</v>
      </c>
      <c r="AE127">
        <f t="shared" si="36"/>
        <v>112</v>
      </c>
      <c r="AF127">
        <f t="shared" si="37"/>
        <v>80</v>
      </c>
      <c r="AG127">
        <f t="shared" si="38"/>
        <v>72</v>
      </c>
      <c r="AH127">
        <f t="shared" si="39"/>
        <v>58</v>
      </c>
      <c r="AI127">
        <f t="shared" si="40"/>
        <v>161</v>
      </c>
      <c r="AJ127">
        <f t="shared" si="41"/>
        <v>147</v>
      </c>
      <c r="AK127">
        <f t="shared" si="42"/>
        <v>115</v>
      </c>
      <c r="AL127">
        <f t="shared" si="43"/>
        <v>103</v>
      </c>
      <c r="AM127">
        <f t="shared" si="44"/>
        <v>90</v>
      </c>
      <c r="AN127">
        <f t="shared" si="45"/>
        <v>189</v>
      </c>
      <c r="AO127">
        <f t="shared" si="46"/>
        <v>172</v>
      </c>
      <c r="AP127">
        <f t="shared" si="47"/>
        <v>140</v>
      </c>
      <c r="AQ127">
        <f t="shared" si="48"/>
        <v>126</v>
      </c>
      <c r="AR127">
        <f t="shared" si="49"/>
        <v>112</v>
      </c>
      <c r="AS127">
        <f t="shared" si="50"/>
        <v>134</v>
      </c>
      <c r="AT127">
        <f t="shared" si="51"/>
        <v>122</v>
      </c>
      <c r="AU127">
        <f t="shared" si="52"/>
        <v>90</v>
      </c>
      <c r="AV127">
        <f t="shared" si="53"/>
        <v>81</v>
      </c>
      <c r="AW127">
        <f t="shared" si="54"/>
        <v>67</v>
      </c>
      <c r="AX127">
        <f t="shared" si="55"/>
        <v>134</v>
      </c>
      <c r="AY127">
        <f t="shared" si="56"/>
        <v>122</v>
      </c>
      <c r="AZ127">
        <f t="shared" si="57"/>
        <v>90</v>
      </c>
      <c r="BA127">
        <f t="shared" si="58"/>
        <v>81</v>
      </c>
      <c r="BB127">
        <f t="shared" si="59"/>
        <v>67</v>
      </c>
    </row>
    <row r="128" spans="1:54" x14ac:dyDescent="0.15">
      <c r="B128" t="s">
        <v>494</v>
      </c>
      <c r="C128">
        <v>83</v>
      </c>
      <c r="D128">
        <v>0</v>
      </c>
      <c r="E128" t="s">
        <v>495</v>
      </c>
      <c r="G128" t="s">
        <v>495</v>
      </c>
      <c r="J128" t="s">
        <v>496</v>
      </c>
      <c r="K128">
        <v>15</v>
      </c>
      <c r="L128">
        <v>0.8</v>
      </c>
      <c r="M128" t="s">
        <v>120</v>
      </c>
      <c r="N128" t="s">
        <v>57</v>
      </c>
      <c r="O128" t="s">
        <v>121</v>
      </c>
      <c r="P128" t="s">
        <v>268</v>
      </c>
      <c r="Q128" t="s">
        <v>357</v>
      </c>
      <c r="R128">
        <v>8</v>
      </c>
      <c r="S128">
        <v>52</v>
      </c>
      <c r="T128">
        <v>90</v>
      </c>
      <c r="U128">
        <v>55</v>
      </c>
      <c r="V128">
        <v>58</v>
      </c>
      <c r="W128">
        <v>62</v>
      </c>
      <c r="X128">
        <v>60</v>
      </c>
      <c r="Y128">
        <f t="shared" si="30"/>
        <v>159</v>
      </c>
      <c r="Z128">
        <f t="shared" si="31"/>
        <v>159</v>
      </c>
      <c r="AA128">
        <f t="shared" si="32"/>
        <v>127</v>
      </c>
      <c r="AB128">
        <f t="shared" si="33"/>
        <v>127</v>
      </c>
      <c r="AC128">
        <f t="shared" si="34"/>
        <v>112</v>
      </c>
      <c r="AD128">
        <f t="shared" si="35"/>
        <v>156</v>
      </c>
      <c r="AE128">
        <f t="shared" si="36"/>
        <v>142</v>
      </c>
      <c r="AF128">
        <f t="shared" si="37"/>
        <v>110</v>
      </c>
      <c r="AG128">
        <f t="shared" si="38"/>
        <v>99</v>
      </c>
      <c r="AH128">
        <f t="shared" si="39"/>
        <v>85</v>
      </c>
      <c r="AI128">
        <f t="shared" si="40"/>
        <v>117</v>
      </c>
      <c r="AJ128">
        <f t="shared" si="41"/>
        <v>107</v>
      </c>
      <c r="AK128">
        <f t="shared" si="42"/>
        <v>75</v>
      </c>
      <c r="AL128">
        <f t="shared" si="43"/>
        <v>67</v>
      </c>
      <c r="AM128">
        <f t="shared" si="44"/>
        <v>54</v>
      </c>
      <c r="AN128">
        <f t="shared" si="45"/>
        <v>121</v>
      </c>
      <c r="AO128">
        <f t="shared" si="46"/>
        <v>110</v>
      </c>
      <c r="AP128">
        <f t="shared" si="47"/>
        <v>78</v>
      </c>
      <c r="AQ128">
        <f t="shared" si="48"/>
        <v>70</v>
      </c>
      <c r="AR128">
        <f t="shared" si="49"/>
        <v>56</v>
      </c>
      <c r="AS128">
        <f t="shared" si="50"/>
        <v>125</v>
      </c>
      <c r="AT128">
        <f t="shared" si="51"/>
        <v>114</v>
      </c>
      <c r="AU128">
        <f t="shared" si="52"/>
        <v>82</v>
      </c>
      <c r="AV128">
        <f t="shared" si="53"/>
        <v>73</v>
      </c>
      <c r="AW128">
        <f t="shared" si="54"/>
        <v>60</v>
      </c>
      <c r="AX128">
        <f t="shared" si="55"/>
        <v>123</v>
      </c>
      <c r="AY128">
        <f t="shared" si="56"/>
        <v>112</v>
      </c>
      <c r="AZ128">
        <f t="shared" si="57"/>
        <v>80</v>
      </c>
      <c r="BA128">
        <f t="shared" si="58"/>
        <v>72</v>
      </c>
      <c r="BB128">
        <f t="shared" si="59"/>
        <v>58</v>
      </c>
    </row>
    <row r="129" spans="1:54" x14ac:dyDescent="0.15">
      <c r="B129" t="s">
        <v>497</v>
      </c>
      <c r="C129">
        <v>83</v>
      </c>
      <c r="D129">
        <v>1</v>
      </c>
      <c r="E129" t="s">
        <v>495</v>
      </c>
      <c r="F129" t="s">
        <v>327</v>
      </c>
      <c r="G129" t="s">
        <v>498</v>
      </c>
      <c r="J129" t="s">
        <v>496</v>
      </c>
      <c r="K129">
        <v>42</v>
      </c>
      <c r="L129">
        <v>0.8</v>
      </c>
      <c r="M129" t="s">
        <v>354</v>
      </c>
      <c r="O129" t="s">
        <v>404</v>
      </c>
      <c r="P129" t="s">
        <v>357</v>
      </c>
      <c r="Q129" t="s">
        <v>499</v>
      </c>
      <c r="R129">
        <v>8</v>
      </c>
      <c r="S129">
        <v>52</v>
      </c>
      <c r="T129">
        <v>95</v>
      </c>
      <c r="U129">
        <v>55</v>
      </c>
      <c r="V129">
        <v>58</v>
      </c>
      <c r="W129">
        <v>62</v>
      </c>
      <c r="X129">
        <v>55</v>
      </c>
      <c r="Y129">
        <f t="shared" si="30"/>
        <v>159</v>
      </c>
      <c r="Z129">
        <f t="shared" si="31"/>
        <v>159</v>
      </c>
      <c r="AA129">
        <f t="shared" si="32"/>
        <v>127</v>
      </c>
      <c r="AB129">
        <f t="shared" si="33"/>
        <v>127</v>
      </c>
      <c r="AC129">
        <f t="shared" si="34"/>
        <v>112</v>
      </c>
      <c r="AD129">
        <f t="shared" si="35"/>
        <v>161</v>
      </c>
      <c r="AE129">
        <f t="shared" si="36"/>
        <v>147</v>
      </c>
      <c r="AF129">
        <f t="shared" si="37"/>
        <v>115</v>
      </c>
      <c r="AG129">
        <f t="shared" si="38"/>
        <v>103</v>
      </c>
      <c r="AH129">
        <f t="shared" si="39"/>
        <v>90</v>
      </c>
      <c r="AI129">
        <f t="shared" si="40"/>
        <v>117</v>
      </c>
      <c r="AJ129">
        <f t="shared" si="41"/>
        <v>107</v>
      </c>
      <c r="AK129">
        <f t="shared" si="42"/>
        <v>75</v>
      </c>
      <c r="AL129">
        <f t="shared" si="43"/>
        <v>67</v>
      </c>
      <c r="AM129">
        <f t="shared" si="44"/>
        <v>54</v>
      </c>
      <c r="AN129">
        <f t="shared" si="45"/>
        <v>121</v>
      </c>
      <c r="AO129">
        <f t="shared" si="46"/>
        <v>110</v>
      </c>
      <c r="AP129">
        <f t="shared" si="47"/>
        <v>78</v>
      </c>
      <c r="AQ129">
        <f t="shared" si="48"/>
        <v>70</v>
      </c>
      <c r="AR129">
        <f t="shared" si="49"/>
        <v>56</v>
      </c>
      <c r="AS129">
        <f t="shared" si="50"/>
        <v>125</v>
      </c>
      <c r="AT129">
        <f t="shared" si="51"/>
        <v>114</v>
      </c>
      <c r="AU129">
        <f t="shared" si="52"/>
        <v>82</v>
      </c>
      <c r="AV129">
        <f t="shared" si="53"/>
        <v>73</v>
      </c>
      <c r="AW129">
        <f t="shared" si="54"/>
        <v>60</v>
      </c>
      <c r="AX129">
        <f t="shared" si="55"/>
        <v>117</v>
      </c>
      <c r="AY129">
        <f t="shared" si="56"/>
        <v>107</v>
      </c>
      <c r="AZ129">
        <f t="shared" si="57"/>
        <v>75</v>
      </c>
      <c r="BA129">
        <f t="shared" si="58"/>
        <v>67</v>
      </c>
      <c r="BB129">
        <f t="shared" si="59"/>
        <v>54</v>
      </c>
    </row>
    <row r="130" spans="1:54" x14ac:dyDescent="0.15">
      <c r="A130">
        <v>80</v>
      </c>
      <c r="B130" t="s">
        <v>500</v>
      </c>
      <c r="C130">
        <v>84</v>
      </c>
      <c r="D130">
        <v>0</v>
      </c>
      <c r="E130" t="s">
        <v>501</v>
      </c>
      <c r="G130" t="s">
        <v>501</v>
      </c>
      <c r="H130" t="s">
        <v>502</v>
      </c>
      <c r="J130" t="s">
        <v>503</v>
      </c>
      <c r="K130">
        <v>39.200000000000003</v>
      </c>
      <c r="L130">
        <v>1.4</v>
      </c>
      <c r="M130" t="s">
        <v>120</v>
      </c>
      <c r="N130" t="s">
        <v>57</v>
      </c>
      <c r="O130" t="s">
        <v>92</v>
      </c>
      <c r="P130" t="s">
        <v>504</v>
      </c>
      <c r="Q130" t="s">
        <v>122</v>
      </c>
      <c r="R130">
        <v>9</v>
      </c>
      <c r="S130">
        <v>35</v>
      </c>
      <c r="T130">
        <v>85</v>
      </c>
      <c r="U130">
        <v>45</v>
      </c>
      <c r="V130">
        <v>35</v>
      </c>
      <c r="W130">
        <v>35</v>
      </c>
      <c r="X130">
        <v>75</v>
      </c>
      <c r="Y130">
        <f t="shared" ref="Y130:Y193" si="60">IF(S130="", "", S130+107)</f>
        <v>142</v>
      </c>
      <c r="Z130">
        <f t="shared" ref="Z130:Z193" si="61">IF(S130="", "", S130+107)</f>
        <v>142</v>
      </c>
      <c r="AA130">
        <f t="shared" ref="AA130:AA193" si="62">IF(S130="", "", INT(INT(S130*2 + 31)/2) + 60)</f>
        <v>110</v>
      </c>
      <c r="AB130">
        <f t="shared" ref="AB130:AB193" si="63">IF(S130="", "", INT(INT(S130*2 + 31)/2) + 60)</f>
        <v>110</v>
      </c>
      <c r="AC130">
        <f t="shared" ref="AC130:AC193" si="64">IF(S130="", "", S130 + 60)</f>
        <v>95</v>
      </c>
      <c r="AD130">
        <f t="shared" ref="AD130:AD193" si="65">IF(T130="","",INT((T130+52)*1.1))</f>
        <v>150</v>
      </c>
      <c r="AE130">
        <f t="shared" ref="AE130:AE193" si="66">IF(T130="","",T130+52)</f>
        <v>137</v>
      </c>
      <c r="AF130">
        <f t="shared" ref="AF130:AF193" si="67">IF(T130="", "", INT((T130*2 + 31)/2) + 5)</f>
        <v>105</v>
      </c>
      <c r="AG130">
        <f t="shared" ref="AG130:AG193" si="68">IF(T130="", "", INT((INT((T130*2 + 31)/2) + 5)*0.9) )</f>
        <v>94</v>
      </c>
      <c r="AH130">
        <f t="shared" ref="AH130:AH193" si="69">IF(T130="", "", INT((T130 + 5) * 0.9))</f>
        <v>81</v>
      </c>
      <c r="AI130">
        <f t="shared" ref="AI130:AI193" si="70">IF(U130="","",INT((U130+52)*1.1))</f>
        <v>106</v>
      </c>
      <c r="AJ130">
        <f t="shared" ref="AJ130:AJ193" si="71">IF(U130="","",U130+52)</f>
        <v>97</v>
      </c>
      <c r="AK130">
        <f t="shared" ref="AK130:AK193" si="72">IF(U130="", "", INT((U130*2 + 31)/2) + 5)</f>
        <v>65</v>
      </c>
      <c r="AL130">
        <f t="shared" ref="AL130:AL193" si="73">IF(U130="", "", INT((INT((U130*2 + 31)/2) + 5)*0.9) )</f>
        <v>58</v>
      </c>
      <c r="AM130">
        <f t="shared" ref="AM130:AM193" si="74">IF(U130="", "", INT((U130 + 5) * 0.9))</f>
        <v>45</v>
      </c>
      <c r="AN130">
        <f t="shared" ref="AN130:AN193" si="75">IF(V130="","",INT((V130+52)*1.1))</f>
        <v>95</v>
      </c>
      <c r="AO130">
        <f t="shared" ref="AO130:AO193" si="76">IF(V130="","",V130+52)</f>
        <v>87</v>
      </c>
      <c r="AP130">
        <f t="shared" ref="AP130:AP193" si="77">IF(V130="", "", INT((V130*2 + 31)/2) + 5)</f>
        <v>55</v>
      </c>
      <c r="AQ130">
        <f t="shared" ref="AQ130:AQ193" si="78">IF(V130="", "", INT((INT((V130*2 + 31)/2) + 5)*0.9) )</f>
        <v>49</v>
      </c>
      <c r="AR130">
        <f t="shared" ref="AR130:AR193" si="79">IF(V130="", "", INT((V130 + 5) * 0.9))</f>
        <v>36</v>
      </c>
      <c r="AS130">
        <f t="shared" ref="AS130:AS193" si="80">IF(W130="","",INT((W130+52)*1.1))</f>
        <v>95</v>
      </c>
      <c r="AT130">
        <f t="shared" ref="AT130:AT193" si="81">IF(W130="","",W130+52)</f>
        <v>87</v>
      </c>
      <c r="AU130">
        <f t="shared" ref="AU130:AU193" si="82">IF(W130="", "", INT((W130*2 + 31)/2) + 5)</f>
        <v>55</v>
      </c>
      <c r="AV130">
        <f t="shared" ref="AV130:AV193" si="83">IF(W130="", "", INT((INT((W130*2 + 31)/2) + 5)*0.9) )</f>
        <v>49</v>
      </c>
      <c r="AW130">
        <f t="shared" ref="AW130:AW193" si="84">IF(W130="", "", INT((W130 + 5) * 0.9))</f>
        <v>36</v>
      </c>
      <c r="AX130">
        <f t="shared" ref="AX130:AX193" si="85">IF(X130="","",INT((X130+52)*1.1))</f>
        <v>139</v>
      </c>
      <c r="AY130">
        <f t="shared" ref="AY130:AY193" si="86">IF(X130="","",X130+52)</f>
        <v>127</v>
      </c>
      <c r="AZ130">
        <f t="shared" ref="AZ130:AZ193" si="87">IF(X130="", "", INT((X130*2 + 31)/2) + 5)</f>
        <v>95</v>
      </c>
      <c r="BA130">
        <f t="shared" ref="BA130:BA193" si="88">IF(X130="", "", INT((INT((X130*2 + 31)/2) + 5)*0.9) )</f>
        <v>85</v>
      </c>
      <c r="BB130">
        <f t="shared" ref="BB130:BB193" si="89">IF(X130="", "", INT((X130 + 5) * 0.9))</f>
        <v>72</v>
      </c>
    </row>
    <row r="131" spans="1:54" x14ac:dyDescent="0.15">
      <c r="A131">
        <v>81</v>
      </c>
      <c r="B131" t="s">
        <v>505</v>
      </c>
      <c r="C131">
        <v>85</v>
      </c>
      <c r="D131">
        <v>0</v>
      </c>
      <c r="E131" t="s">
        <v>506</v>
      </c>
      <c r="G131" t="s">
        <v>506</v>
      </c>
      <c r="H131" t="s">
        <v>507</v>
      </c>
      <c r="J131" t="s">
        <v>508</v>
      </c>
      <c r="K131">
        <v>85.2</v>
      </c>
      <c r="L131">
        <v>1.8</v>
      </c>
      <c r="M131" t="s">
        <v>120</v>
      </c>
      <c r="N131" t="s">
        <v>57</v>
      </c>
      <c r="O131" t="s">
        <v>92</v>
      </c>
      <c r="P131" t="s">
        <v>504</v>
      </c>
      <c r="Q131" t="s">
        <v>122</v>
      </c>
      <c r="R131">
        <v>9</v>
      </c>
      <c r="S131">
        <v>60</v>
      </c>
      <c r="T131">
        <v>110</v>
      </c>
      <c r="U131">
        <v>70</v>
      </c>
      <c r="V131">
        <v>60</v>
      </c>
      <c r="W131">
        <v>60</v>
      </c>
      <c r="X131">
        <v>110</v>
      </c>
      <c r="Y131">
        <f t="shared" si="60"/>
        <v>167</v>
      </c>
      <c r="Z131">
        <f t="shared" si="61"/>
        <v>167</v>
      </c>
      <c r="AA131">
        <f t="shared" si="62"/>
        <v>135</v>
      </c>
      <c r="AB131">
        <f t="shared" si="63"/>
        <v>135</v>
      </c>
      <c r="AC131">
        <f t="shared" si="64"/>
        <v>120</v>
      </c>
      <c r="AD131">
        <f t="shared" si="65"/>
        <v>178</v>
      </c>
      <c r="AE131">
        <f t="shared" si="66"/>
        <v>162</v>
      </c>
      <c r="AF131">
        <f t="shared" si="67"/>
        <v>130</v>
      </c>
      <c r="AG131">
        <f t="shared" si="68"/>
        <v>117</v>
      </c>
      <c r="AH131">
        <f t="shared" si="69"/>
        <v>103</v>
      </c>
      <c r="AI131">
        <f t="shared" si="70"/>
        <v>134</v>
      </c>
      <c r="AJ131">
        <f t="shared" si="71"/>
        <v>122</v>
      </c>
      <c r="AK131">
        <f t="shared" si="72"/>
        <v>90</v>
      </c>
      <c r="AL131">
        <f t="shared" si="73"/>
        <v>81</v>
      </c>
      <c r="AM131">
        <f t="shared" si="74"/>
        <v>67</v>
      </c>
      <c r="AN131">
        <f t="shared" si="75"/>
        <v>123</v>
      </c>
      <c r="AO131">
        <f t="shared" si="76"/>
        <v>112</v>
      </c>
      <c r="AP131">
        <f t="shared" si="77"/>
        <v>80</v>
      </c>
      <c r="AQ131">
        <f t="shared" si="78"/>
        <v>72</v>
      </c>
      <c r="AR131">
        <f t="shared" si="79"/>
        <v>58</v>
      </c>
      <c r="AS131">
        <f t="shared" si="80"/>
        <v>123</v>
      </c>
      <c r="AT131">
        <f t="shared" si="81"/>
        <v>112</v>
      </c>
      <c r="AU131">
        <f t="shared" si="82"/>
        <v>80</v>
      </c>
      <c r="AV131">
        <f t="shared" si="83"/>
        <v>72</v>
      </c>
      <c r="AW131">
        <f t="shared" si="84"/>
        <v>58</v>
      </c>
      <c r="AX131">
        <f t="shared" si="85"/>
        <v>178</v>
      </c>
      <c r="AY131">
        <f t="shared" si="86"/>
        <v>162</v>
      </c>
      <c r="AZ131">
        <f t="shared" si="87"/>
        <v>130</v>
      </c>
      <c r="BA131">
        <f t="shared" si="88"/>
        <v>117</v>
      </c>
      <c r="BB131">
        <f t="shared" si="89"/>
        <v>103</v>
      </c>
    </row>
    <row r="132" spans="1:54" x14ac:dyDescent="0.15">
      <c r="A132">
        <v>82</v>
      </c>
      <c r="B132" t="s">
        <v>509</v>
      </c>
      <c r="C132">
        <v>86</v>
      </c>
      <c r="D132">
        <v>0</v>
      </c>
      <c r="E132" t="s">
        <v>510</v>
      </c>
      <c r="G132" t="s">
        <v>510</v>
      </c>
      <c r="H132" t="s">
        <v>511</v>
      </c>
      <c r="J132" t="s">
        <v>512</v>
      </c>
      <c r="K132">
        <v>90</v>
      </c>
      <c r="L132">
        <v>1.1000000000000001</v>
      </c>
      <c r="M132" t="s">
        <v>71</v>
      </c>
      <c r="O132" t="s">
        <v>38</v>
      </c>
      <c r="P132" t="s">
        <v>513</v>
      </c>
      <c r="Q132" t="s">
        <v>514</v>
      </c>
      <c r="R132">
        <v>9</v>
      </c>
      <c r="S132">
        <v>65</v>
      </c>
      <c r="T132">
        <v>45</v>
      </c>
      <c r="U132">
        <v>55</v>
      </c>
      <c r="V132">
        <v>45</v>
      </c>
      <c r="W132">
        <v>70</v>
      </c>
      <c r="X132">
        <v>45</v>
      </c>
      <c r="Y132">
        <f t="shared" si="60"/>
        <v>172</v>
      </c>
      <c r="Z132">
        <f t="shared" si="61"/>
        <v>172</v>
      </c>
      <c r="AA132">
        <f t="shared" si="62"/>
        <v>140</v>
      </c>
      <c r="AB132">
        <f t="shared" si="63"/>
        <v>140</v>
      </c>
      <c r="AC132">
        <f t="shared" si="64"/>
        <v>125</v>
      </c>
      <c r="AD132">
        <f t="shared" si="65"/>
        <v>106</v>
      </c>
      <c r="AE132">
        <f t="shared" si="66"/>
        <v>97</v>
      </c>
      <c r="AF132">
        <f t="shared" si="67"/>
        <v>65</v>
      </c>
      <c r="AG132">
        <f t="shared" si="68"/>
        <v>58</v>
      </c>
      <c r="AH132">
        <f t="shared" si="69"/>
        <v>45</v>
      </c>
      <c r="AI132">
        <f t="shared" si="70"/>
        <v>117</v>
      </c>
      <c r="AJ132">
        <f t="shared" si="71"/>
        <v>107</v>
      </c>
      <c r="AK132">
        <f t="shared" si="72"/>
        <v>75</v>
      </c>
      <c r="AL132">
        <f t="shared" si="73"/>
        <v>67</v>
      </c>
      <c r="AM132">
        <f t="shared" si="74"/>
        <v>54</v>
      </c>
      <c r="AN132">
        <f t="shared" si="75"/>
        <v>106</v>
      </c>
      <c r="AO132">
        <f t="shared" si="76"/>
        <v>97</v>
      </c>
      <c r="AP132">
        <f t="shared" si="77"/>
        <v>65</v>
      </c>
      <c r="AQ132">
        <f t="shared" si="78"/>
        <v>58</v>
      </c>
      <c r="AR132">
        <f t="shared" si="79"/>
        <v>45</v>
      </c>
      <c r="AS132">
        <f t="shared" si="80"/>
        <v>134</v>
      </c>
      <c r="AT132">
        <f t="shared" si="81"/>
        <v>122</v>
      </c>
      <c r="AU132">
        <f t="shared" si="82"/>
        <v>90</v>
      </c>
      <c r="AV132">
        <f t="shared" si="83"/>
        <v>81</v>
      </c>
      <c r="AW132">
        <f t="shared" si="84"/>
        <v>67</v>
      </c>
      <c r="AX132">
        <f t="shared" si="85"/>
        <v>106</v>
      </c>
      <c r="AY132">
        <f t="shared" si="86"/>
        <v>97</v>
      </c>
      <c r="AZ132">
        <f t="shared" si="87"/>
        <v>65</v>
      </c>
      <c r="BA132">
        <f t="shared" si="88"/>
        <v>58</v>
      </c>
      <c r="BB132">
        <f t="shared" si="89"/>
        <v>45</v>
      </c>
    </row>
    <row r="133" spans="1:54" x14ac:dyDescent="0.15">
      <c r="A133">
        <v>83</v>
      </c>
      <c r="B133" t="s">
        <v>515</v>
      </c>
      <c r="C133">
        <v>87</v>
      </c>
      <c r="D133">
        <v>0</v>
      </c>
      <c r="E133" t="s">
        <v>516</v>
      </c>
      <c r="G133" t="s">
        <v>516</v>
      </c>
      <c r="H133" t="s">
        <v>517</v>
      </c>
      <c r="J133" t="s">
        <v>512</v>
      </c>
      <c r="K133">
        <v>120</v>
      </c>
      <c r="L133">
        <v>1.7</v>
      </c>
      <c r="M133" t="s">
        <v>71</v>
      </c>
      <c r="N133" t="s">
        <v>202</v>
      </c>
      <c r="O133" t="s">
        <v>38</v>
      </c>
      <c r="P133" t="s">
        <v>513</v>
      </c>
      <c r="Q133" t="s">
        <v>514</v>
      </c>
      <c r="R133">
        <v>9</v>
      </c>
      <c r="S133">
        <v>90</v>
      </c>
      <c r="T133">
        <v>70</v>
      </c>
      <c r="U133">
        <v>80</v>
      </c>
      <c r="V133">
        <v>70</v>
      </c>
      <c r="W133">
        <v>95</v>
      </c>
      <c r="X133">
        <v>70</v>
      </c>
      <c r="Y133">
        <f t="shared" si="60"/>
        <v>197</v>
      </c>
      <c r="Z133">
        <f t="shared" si="61"/>
        <v>197</v>
      </c>
      <c r="AA133">
        <f t="shared" si="62"/>
        <v>165</v>
      </c>
      <c r="AB133">
        <f t="shared" si="63"/>
        <v>165</v>
      </c>
      <c r="AC133">
        <f t="shared" si="64"/>
        <v>150</v>
      </c>
      <c r="AD133">
        <f t="shared" si="65"/>
        <v>134</v>
      </c>
      <c r="AE133">
        <f t="shared" si="66"/>
        <v>122</v>
      </c>
      <c r="AF133">
        <f t="shared" si="67"/>
        <v>90</v>
      </c>
      <c r="AG133">
        <f t="shared" si="68"/>
        <v>81</v>
      </c>
      <c r="AH133">
        <f t="shared" si="69"/>
        <v>67</v>
      </c>
      <c r="AI133">
        <f t="shared" si="70"/>
        <v>145</v>
      </c>
      <c r="AJ133">
        <f t="shared" si="71"/>
        <v>132</v>
      </c>
      <c r="AK133">
        <f t="shared" si="72"/>
        <v>100</v>
      </c>
      <c r="AL133">
        <f t="shared" si="73"/>
        <v>90</v>
      </c>
      <c r="AM133">
        <f t="shared" si="74"/>
        <v>76</v>
      </c>
      <c r="AN133">
        <f t="shared" si="75"/>
        <v>134</v>
      </c>
      <c r="AO133">
        <f t="shared" si="76"/>
        <v>122</v>
      </c>
      <c r="AP133">
        <f t="shared" si="77"/>
        <v>90</v>
      </c>
      <c r="AQ133">
        <f t="shared" si="78"/>
        <v>81</v>
      </c>
      <c r="AR133">
        <f t="shared" si="79"/>
        <v>67</v>
      </c>
      <c r="AS133">
        <f t="shared" si="80"/>
        <v>161</v>
      </c>
      <c r="AT133">
        <f t="shared" si="81"/>
        <v>147</v>
      </c>
      <c r="AU133">
        <f t="shared" si="82"/>
        <v>115</v>
      </c>
      <c r="AV133">
        <f t="shared" si="83"/>
        <v>103</v>
      </c>
      <c r="AW133">
        <f t="shared" si="84"/>
        <v>90</v>
      </c>
      <c r="AX133">
        <f t="shared" si="85"/>
        <v>134</v>
      </c>
      <c r="AY133">
        <f t="shared" si="86"/>
        <v>122</v>
      </c>
      <c r="AZ133">
        <f t="shared" si="87"/>
        <v>90</v>
      </c>
      <c r="BA133">
        <f t="shared" si="88"/>
        <v>81</v>
      </c>
      <c r="BB133">
        <f t="shared" si="89"/>
        <v>67</v>
      </c>
    </row>
    <row r="134" spans="1:54" x14ac:dyDescent="0.15">
      <c r="A134">
        <v>84</v>
      </c>
      <c r="B134" t="s">
        <v>518</v>
      </c>
      <c r="C134">
        <v>88</v>
      </c>
      <c r="D134">
        <v>0</v>
      </c>
      <c r="E134" t="s">
        <v>519</v>
      </c>
      <c r="G134" t="s">
        <v>519</v>
      </c>
      <c r="H134" t="s">
        <v>520</v>
      </c>
      <c r="J134" t="s">
        <v>521</v>
      </c>
      <c r="K134">
        <v>30</v>
      </c>
      <c r="L134">
        <v>0.9</v>
      </c>
      <c r="M134" t="s">
        <v>27</v>
      </c>
      <c r="O134" t="s">
        <v>279</v>
      </c>
      <c r="P134" t="s">
        <v>522</v>
      </c>
      <c r="Q134" t="s">
        <v>523</v>
      </c>
      <c r="R134">
        <v>9</v>
      </c>
      <c r="S134">
        <v>80</v>
      </c>
      <c r="T134">
        <v>80</v>
      </c>
      <c r="U134">
        <v>50</v>
      </c>
      <c r="V134">
        <v>40</v>
      </c>
      <c r="W134">
        <v>50</v>
      </c>
      <c r="X134">
        <v>25</v>
      </c>
      <c r="Y134">
        <f t="shared" si="60"/>
        <v>187</v>
      </c>
      <c r="Z134">
        <f t="shared" si="61"/>
        <v>187</v>
      </c>
      <c r="AA134">
        <f t="shared" si="62"/>
        <v>155</v>
      </c>
      <c r="AB134">
        <f t="shared" si="63"/>
        <v>155</v>
      </c>
      <c r="AC134">
        <f t="shared" si="64"/>
        <v>140</v>
      </c>
      <c r="AD134">
        <f t="shared" si="65"/>
        <v>145</v>
      </c>
      <c r="AE134">
        <f t="shared" si="66"/>
        <v>132</v>
      </c>
      <c r="AF134">
        <f t="shared" si="67"/>
        <v>100</v>
      </c>
      <c r="AG134">
        <f t="shared" si="68"/>
        <v>90</v>
      </c>
      <c r="AH134">
        <f t="shared" si="69"/>
        <v>76</v>
      </c>
      <c r="AI134">
        <f t="shared" si="70"/>
        <v>112</v>
      </c>
      <c r="AJ134">
        <f t="shared" si="71"/>
        <v>102</v>
      </c>
      <c r="AK134">
        <f t="shared" si="72"/>
        <v>70</v>
      </c>
      <c r="AL134">
        <f t="shared" si="73"/>
        <v>63</v>
      </c>
      <c r="AM134">
        <f t="shared" si="74"/>
        <v>49</v>
      </c>
      <c r="AN134">
        <f t="shared" si="75"/>
        <v>101</v>
      </c>
      <c r="AO134">
        <f t="shared" si="76"/>
        <v>92</v>
      </c>
      <c r="AP134">
        <f t="shared" si="77"/>
        <v>60</v>
      </c>
      <c r="AQ134">
        <f t="shared" si="78"/>
        <v>54</v>
      </c>
      <c r="AR134">
        <f t="shared" si="79"/>
        <v>40</v>
      </c>
      <c r="AS134">
        <f t="shared" si="80"/>
        <v>112</v>
      </c>
      <c r="AT134">
        <f t="shared" si="81"/>
        <v>102</v>
      </c>
      <c r="AU134">
        <f t="shared" si="82"/>
        <v>70</v>
      </c>
      <c r="AV134">
        <f t="shared" si="83"/>
        <v>63</v>
      </c>
      <c r="AW134">
        <f t="shared" si="84"/>
        <v>49</v>
      </c>
      <c r="AX134">
        <f t="shared" si="85"/>
        <v>84</v>
      </c>
      <c r="AY134">
        <f t="shared" si="86"/>
        <v>77</v>
      </c>
      <c r="AZ134">
        <f t="shared" si="87"/>
        <v>45</v>
      </c>
      <c r="BA134">
        <f t="shared" si="88"/>
        <v>40</v>
      </c>
      <c r="BB134">
        <f t="shared" si="89"/>
        <v>27</v>
      </c>
    </row>
    <row r="135" spans="1:54" x14ac:dyDescent="0.15">
      <c r="A135">
        <v>85</v>
      </c>
      <c r="B135" t="s">
        <v>524</v>
      </c>
      <c r="C135">
        <v>88</v>
      </c>
      <c r="D135">
        <v>1</v>
      </c>
      <c r="E135" t="s">
        <v>519</v>
      </c>
      <c r="F135" t="s">
        <v>138</v>
      </c>
      <c r="G135" t="s">
        <v>525</v>
      </c>
      <c r="H135" t="s">
        <v>526</v>
      </c>
      <c r="J135" t="s">
        <v>521</v>
      </c>
      <c r="K135">
        <v>42</v>
      </c>
      <c r="L135">
        <v>0.7</v>
      </c>
      <c r="M135" t="s">
        <v>27</v>
      </c>
      <c r="N135" t="s">
        <v>140</v>
      </c>
      <c r="O135" t="s">
        <v>523</v>
      </c>
      <c r="P135" t="s">
        <v>141</v>
      </c>
      <c r="Q135" t="s">
        <v>522</v>
      </c>
      <c r="R135">
        <v>9</v>
      </c>
      <c r="S135">
        <v>80</v>
      </c>
      <c r="T135">
        <v>80</v>
      </c>
      <c r="U135">
        <v>50</v>
      </c>
      <c r="V135">
        <v>40</v>
      </c>
      <c r="W135">
        <v>50</v>
      </c>
      <c r="X135">
        <v>25</v>
      </c>
      <c r="Y135">
        <f t="shared" si="60"/>
        <v>187</v>
      </c>
      <c r="Z135">
        <f t="shared" si="61"/>
        <v>187</v>
      </c>
      <c r="AA135">
        <f t="shared" si="62"/>
        <v>155</v>
      </c>
      <c r="AB135">
        <f t="shared" si="63"/>
        <v>155</v>
      </c>
      <c r="AC135">
        <f t="shared" si="64"/>
        <v>140</v>
      </c>
      <c r="AD135">
        <f t="shared" si="65"/>
        <v>145</v>
      </c>
      <c r="AE135">
        <f t="shared" si="66"/>
        <v>132</v>
      </c>
      <c r="AF135">
        <f t="shared" si="67"/>
        <v>100</v>
      </c>
      <c r="AG135">
        <f t="shared" si="68"/>
        <v>90</v>
      </c>
      <c r="AH135">
        <f t="shared" si="69"/>
        <v>76</v>
      </c>
      <c r="AI135">
        <f t="shared" si="70"/>
        <v>112</v>
      </c>
      <c r="AJ135">
        <f t="shared" si="71"/>
        <v>102</v>
      </c>
      <c r="AK135">
        <f t="shared" si="72"/>
        <v>70</v>
      </c>
      <c r="AL135">
        <f t="shared" si="73"/>
        <v>63</v>
      </c>
      <c r="AM135">
        <f t="shared" si="74"/>
        <v>49</v>
      </c>
      <c r="AN135">
        <f t="shared" si="75"/>
        <v>101</v>
      </c>
      <c r="AO135">
        <f t="shared" si="76"/>
        <v>92</v>
      </c>
      <c r="AP135">
        <f t="shared" si="77"/>
        <v>60</v>
      </c>
      <c r="AQ135">
        <f t="shared" si="78"/>
        <v>54</v>
      </c>
      <c r="AR135">
        <f t="shared" si="79"/>
        <v>40</v>
      </c>
      <c r="AS135">
        <f t="shared" si="80"/>
        <v>112</v>
      </c>
      <c r="AT135">
        <f t="shared" si="81"/>
        <v>102</v>
      </c>
      <c r="AU135">
        <f t="shared" si="82"/>
        <v>70</v>
      </c>
      <c r="AV135">
        <f t="shared" si="83"/>
        <v>63</v>
      </c>
      <c r="AW135">
        <f t="shared" si="84"/>
        <v>49</v>
      </c>
      <c r="AX135">
        <f t="shared" si="85"/>
        <v>84</v>
      </c>
      <c r="AY135">
        <f t="shared" si="86"/>
        <v>77</v>
      </c>
      <c r="AZ135">
        <f t="shared" si="87"/>
        <v>45</v>
      </c>
      <c r="BA135">
        <f t="shared" si="88"/>
        <v>40</v>
      </c>
      <c r="BB135">
        <f t="shared" si="89"/>
        <v>27</v>
      </c>
    </row>
    <row r="136" spans="1:54" x14ac:dyDescent="0.15">
      <c r="A136">
        <v>86</v>
      </c>
      <c r="B136" t="s">
        <v>527</v>
      </c>
      <c r="C136">
        <v>89</v>
      </c>
      <c r="D136">
        <v>0</v>
      </c>
      <c r="E136" t="s">
        <v>528</v>
      </c>
      <c r="G136" t="s">
        <v>528</v>
      </c>
      <c r="H136" t="s">
        <v>529</v>
      </c>
      <c r="J136" t="s">
        <v>521</v>
      </c>
      <c r="K136">
        <v>30</v>
      </c>
      <c r="L136">
        <v>1.2</v>
      </c>
      <c r="M136" t="s">
        <v>27</v>
      </c>
      <c r="O136" t="s">
        <v>279</v>
      </c>
      <c r="P136" t="s">
        <v>522</v>
      </c>
      <c r="Q136" t="s">
        <v>523</v>
      </c>
      <c r="R136">
        <v>9</v>
      </c>
      <c r="S136">
        <v>105</v>
      </c>
      <c r="T136">
        <v>105</v>
      </c>
      <c r="U136">
        <v>75</v>
      </c>
      <c r="V136">
        <v>65</v>
      </c>
      <c r="W136">
        <v>100</v>
      </c>
      <c r="X136">
        <v>50</v>
      </c>
      <c r="Y136">
        <f t="shared" si="60"/>
        <v>212</v>
      </c>
      <c r="Z136">
        <f t="shared" si="61"/>
        <v>212</v>
      </c>
      <c r="AA136">
        <f t="shared" si="62"/>
        <v>180</v>
      </c>
      <c r="AB136">
        <f t="shared" si="63"/>
        <v>180</v>
      </c>
      <c r="AC136">
        <f t="shared" si="64"/>
        <v>165</v>
      </c>
      <c r="AD136">
        <f t="shared" si="65"/>
        <v>172</v>
      </c>
      <c r="AE136">
        <f t="shared" si="66"/>
        <v>157</v>
      </c>
      <c r="AF136">
        <f t="shared" si="67"/>
        <v>125</v>
      </c>
      <c r="AG136">
        <f t="shared" si="68"/>
        <v>112</v>
      </c>
      <c r="AH136">
        <f t="shared" si="69"/>
        <v>99</v>
      </c>
      <c r="AI136">
        <f t="shared" si="70"/>
        <v>139</v>
      </c>
      <c r="AJ136">
        <f t="shared" si="71"/>
        <v>127</v>
      </c>
      <c r="AK136">
        <f t="shared" si="72"/>
        <v>95</v>
      </c>
      <c r="AL136">
        <f t="shared" si="73"/>
        <v>85</v>
      </c>
      <c r="AM136">
        <f t="shared" si="74"/>
        <v>72</v>
      </c>
      <c r="AN136">
        <f t="shared" si="75"/>
        <v>128</v>
      </c>
      <c r="AO136">
        <f t="shared" si="76"/>
        <v>117</v>
      </c>
      <c r="AP136">
        <f t="shared" si="77"/>
        <v>85</v>
      </c>
      <c r="AQ136">
        <f t="shared" si="78"/>
        <v>76</v>
      </c>
      <c r="AR136">
        <f t="shared" si="79"/>
        <v>63</v>
      </c>
      <c r="AS136">
        <f t="shared" si="80"/>
        <v>167</v>
      </c>
      <c r="AT136">
        <f t="shared" si="81"/>
        <v>152</v>
      </c>
      <c r="AU136">
        <f t="shared" si="82"/>
        <v>120</v>
      </c>
      <c r="AV136">
        <f t="shared" si="83"/>
        <v>108</v>
      </c>
      <c r="AW136">
        <f t="shared" si="84"/>
        <v>94</v>
      </c>
      <c r="AX136">
        <f t="shared" si="85"/>
        <v>112</v>
      </c>
      <c r="AY136">
        <f t="shared" si="86"/>
        <v>102</v>
      </c>
      <c r="AZ136">
        <f t="shared" si="87"/>
        <v>70</v>
      </c>
      <c r="BA136">
        <f t="shared" si="88"/>
        <v>63</v>
      </c>
      <c r="BB136">
        <f t="shared" si="89"/>
        <v>49</v>
      </c>
    </row>
    <row r="137" spans="1:54" x14ac:dyDescent="0.15">
      <c r="A137">
        <v>87</v>
      </c>
      <c r="B137" t="s">
        <v>530</v>
      </c>
      <c r="C137">
        <v>89</v>
      </c>
      <c r="D137">
        <v>1</v>
      </c>
      <c r="E137" t="s">
        <v>528</v>
      </c>
      <c r="F137" t="s">
        <v>138</v>
      </c>
      <c r="G137" t="s">
        <v>531</v>
      </c>
      <c r="H137" t="s">
        <v>532</v>
      </c>
      <c r="J137" t="s">
        <v>521</v>
      </c>
      <c r="K137">
        <v>52</v>
      </c>
      <c r="L137">
        <v>1</v>
      </c>
      <c r="M137" t="s">
        <v>27</v>
      </c>
      <c r="N137" t="s">
        <v>140</v>
      </c>
      <c r="O137" t="s">
        <v>523</v>
      </c>
      <c r="P137" t="s">
        <v>141</v>
      </c>
      <c r="Q137" t="s">
        <v>522</v>
      </c>
      <c r="R137">
        <v>9</v>
      </c>
      <c r="S137">
        <v>105</v>
      </c>
      <c r="T137">
        <v>105</v>
      </c>
      <c r="U137">
        <v>75</v>
      </c>
      <c r="V137">
        <v>65</v>
      </c>
      <c r="W137">
        <v>100</v>
      </c>
      <c r="X137">
        <v>50</v>
      </c>
      <c r="Y137">
        <f t="shared" si="60"/>
        <v>212</v>
      </c>
      <c r="Z137">
        <f t="shared" si="61"/>
        <v>212</v>
      </c>
      <c r="AA137">
        <f t="shared" si="62"/>
        <v>180</v>
      </c>
      <c r="AB137">
        <f t="shared" si="63"/>
        <v>180</v>
      </c>
      <c r="AC137">
        <f t="shared" si="64"/>
        <v>165</v>
      </c>
      <c r="AD137">
        <f t="shared" si="65"/>
        <v>172</v>
      </c>
      <c r="AE137">
        <f t="shared" si="66"/>
        <v>157</v>
      </c>
      <c r="AF137">
        <f t="shared" si="67"/>
        <v>125</v>
      </c>
      <c r="AG137">
        <f t="shared" si="68"/>
        <v>112</v>
      </c>
      <c r="AH137">
        <f t="shared" si="69"/>
        <v>99</v>
      </c>
      <c r="AI137">
        <f t="shared" si="70"/>
        <v>139</v>
      </c>
      <c r="AJ137">
        <f t="shared" si="71"/>
        <v>127</v>
      </c>
      <c r="AK137">
        <f t="shared" si="72"/>
        <v>95</v>
      </c>
      <c r="AL137">
        <f t="shared" si="73"/>
        <v>85</v>
      </c>
      <c r="AM137">
        <f t="shared" si="74"/>
        <v>72</v>
      </c>
      <c r="AN137">
        <f t="shared" si="75"/>
        <v>128</v>
      </c>
      <c r="AO137">
        <f t="shared" si="76"/>
        <v>117</v>
      </c>
      <c r="AP137">
        <f t="shared" si="77"/>
        <v>85</v>
      </c>
      <c r="AQ137">
        <f t="shared" si="78"/>
        <v>76</v>
      </c>
      <c r="AR137">
        <f t="shared" si="79"/>
        <v>63</v>
      </c>
      <c r="AS137">
        <f t="shared" si="80"/>
        <v>167</v>
      </c>
      <c r="AT137">
        <f t="shared" si="81"/>
        <v>152</v>
      </c>
      <c r="AU137">
        <f t="shared" si="82"/>
        <v>120</v>
      </c>
      <c r="AV137">
        <f t="shared" si="83"/>
        <v>108</v>
      </c>
      <c r="AW137">
        <f t="shared" si="84"/>
        <v>94</v>
      </c>
      <c r="AX137">
        <f t="shared" si="85"/>
        <v>112</v>
      </c>
      <c r="AY137">
        <f t="shared" si="86"/>
        <v>102</v>
      </c>
      <c r="AZ137">
        <f t="shared" si="87"/>
        <v>70</v>
      </c>
      <c r="BA137">
        <f t="shared" si="88"/>
        <v>63</v>
      </c>
      <c r="BB137">
        <f t="shared" si="89"/>
        <v>49</v>
      </c>
    </row>
    <row r="138" spans="1:54" x14ac:dyDescent="0.15">
      <c r="A138">
        <v>88</v>
      </c>
      <c r="B138" t="s">
        <v>533</v>
      </c>
      <c r="C138">
        <v>90</v>
      </c>
      <c r="D138">
        <v>0</v>
      </c>
      <c r="E138" t="s">
        <v>534</v>
      </c>
      <c r="G138" t="s">
        <v>534</v>
      </c>
      <c r="H138" t="s">
        <v>535</v>
      </c>
      <c r="J138" t="s">
        <v>536</v>
      </c>
      <c r="K138">
        <v>4</v>
      </c>
      <c r="L138">
        <v>0.3</v>
      </c>
      <c r="M138" t="s">
        <v>71</v>
      </c>
      <c r="O138" t="s">
        <v>481</v>
      </c>
      <c r="P138" t="s">
        <v>537</v>
      </c>
      <c r="Q138" t="s">
        <v>538</v>
      </c>
      <c r="R138">
        <v>9</v>
      </c>
      <c r="S138">
        <v>30</v>
      </c>
      <c r="T138">
        <v>65</v>
      </c>
      <c r="U138">
        <v>100</v>
      </c>
      <c r="V138">
        <v>45</v>
      </c>
      <c r="W138">
        <v>25</v>
      </c>
      <c r="X138">
        <v>40</v>
      </c>
      <c r="Y138">
        <f t="shared" si="60"/>
        <v>137</v>
      </c>
      <c r="Z138">
        <f t="shared" si="61"/>
        <v>137</v>
      </c>
      <c r="AA138">
        <f t="shared" si="62"/>
        <v>105</v>
      </c>
      <c r="AB138">
        <f t="shared" si="63"/>
        <v>105</v>
      </c>
      <c r="AC138">
        <f t="shared" si="64"/>
        <v>90</v>
      </c>
      <c r="AD138">
        <f t="shared" si="65"/>
        <v>128</v>
      </c>
      <c r="AE138">
        <f t="shared" si="66"/>
        <v>117</v>
      </c>
      <c r="AF138">
        <f t="shared" si="67"/>
        <v>85</v>
      </c>
      <c r="AG138">
        <f t="shared" si="68"/>
        <v>76</v>
      </c>
      <c r="AH138">
        <f t="shared" si="69"/>
        <v>63</v>
      </c>
      <c r="AI138">
        <f t="shared" si="70"/>
        <v>167</v>
      </c>
      <c r="AJ138">
        <f t="shared" si="71"/>
        <v>152</v>
      </c>
      <c r="AK138">
        <f t="shared" si="72"/>
        <v>120</v>
      </c>
      <c r="AL138">
        <f t="shared" si="73"/>
        <v>108</v>
      </c>
      <c r="AM138">
        <f t="shared" si="74"/>
        <v>94</v>
      </c>
      <c r="AN138">
        <f t="shared" si="75"/>
        <v>106</v>
      </c>
      <c r="AO138">
        <f t="shared" si="76"/>
        <v>97</v>
      </c>
      <c r="AP138">
        <f t="shared" si="77"/>
        <v>65</v>
      </c>
      <c r="AQ138">
        <f t="shared" si="78"/>
        <v>58</v>
      </c>
      <c r="AR138">
        <f t="shared" si="79"/>
        <v>45</v>
      </c>
      <c r="AS138">
        <f t="shared" si="80"/>
        <v>84</v>
      </c>
      <c r="AT138">
        <f t="shared" si="81"/>
        <v>77</v>
      </c>
      <c r="AU138">
        <f t="shared" si="82"/>
        <v>45</v>
      </c>
      <c r="AV138">
        <f t="shared" si="83"/>
        <v>40</v>
      </c>
      <c r="AW138">
        <f t="shared" si="84"/>
        <v>27</v>
      </c>
      <c r="AX138">
        <f t="shared" si="85"/>
        <v>101</v>
      </c>
      <c r="AY138">
        <f t="shared" si="86"/>
        <v>92</v>
      </c>
      <c r="AZ138">
        <f t="shared" si="87"/>
        <v>60</v>
      </c>
      <c r="BA138">
        <f t="shared" si="88"/>
        <v>54</v>
      </c>
      <c r="BB138">
        <f t="shared" si="89"/>
        <v>40</v>
      </c>
    </row>
    <row r="139" spans="1:54" x14ac:dyDescent="0.15">
      <c r="A139">
        <v>89</v>
      </c>
      <c r="B139" t="s">
        <v>539</v>
      </c>
      <c r="C139">
        <v>91</v>
      </c>
      <c r="D139">
        <v>0</v>
      </c>
      <c r="E139" t="s">
        <v>540</v>
      </c>
      <c r="G139" t="s">
        <v>540</v>
      </c>
      <c r="H139" t="s">
        <v>541</v>
      </c>
      <c r="J139" t="s">
        <v>536</v>
      </c>
      <c r="K139">
        <v>132.5</v>
      </c>
      <c r="L139">
        <v>1.5</v>
      </c>
      <c r="M139" t="s">
        <v>71</v>
      </c>
      <c r="N139" t="s">
        <v>202</v>
      </c>
      <c r="O139" t="s">
        <v>481</v>
      </c>
      <c r="P139" t="s">
        <v>537</v>
      </c>
      <c r="Q139" t="s">
        <v>538</v>
      </c>
      <c r="R139">
        <v>9</v>
      </c>
      <c r="S139">
        <v>50</v>
      </c>
      <c r="T139">
        <v>95</v>
      </c>
      <c r="U139">
        <v>180</v>
      </c>
      <c r="V139">
        <v>85</v>
      </c>
      <c r="W139">
        <v>45</v>
      </c>
      <c r="X139">
        <v>70</v>
      </c>
      <c r="Y139">
        <f t="shared" si="60"/>
        <v>157</v>
      </c>
      <c r="Z139">
        <f t="shared" si="61"/>
        <v>157</v>
      </c>
      <c r="AA139">
        <f t="shared" si="62"/>
        <v>125</v>
      </c>
      <c r="AB139">
        <f t="shared" si="63"/>
        <v>125</v>
      </c>
      <c r="AC139">
        <f t="shared" si="64"/>
        <v>110</v>
      </c>
      <c r="AD139">
        <f t="shared" si="65"/>
        <v>161</v>
      </c>
      <c r="AE139">
        <f t="shared" si="66"/>
        <v>147</v>
      </c>
      <c r="AF139">
        <f t="shared" si="67"/>
        <v>115</v>
      </c>
      <c r="AG139">
        <f t="shared" si="68"/>
        <v>103</v>
      </c>
      <c r="AH139">
        <f t="shared" si="69"/>
        <v>90</v>
      </c>
      <c r="AI139">
        <f t="shared" si="70"/>
        <v>255</v>
      </c>
      <c r="AJ139">
        <f t="shared" si="71"/>
        <v>232</v>
      </c>
      <c r="AK139">
        <f t="shared" si="72"/>
        <v>200</v>
      </c>
      <c r="AL139">
        <f t="shared" si="73"/>
        <v>180</v>
      </c>
      <c r="AM139">
        <f t="shared" si="74"/>
        <v>166</v>
      </c>
      <c r="AN139">
        <f t="shared" si="75"/>
        <v>150</v>
      </c>
      <c r="AO139">
        <f t="shared" si="76"/>
        <v>137</v>
      </c>
      <c r="AP139">
        <f t="shared" si="77"/>
        <v>105</v>
      </c>
      <c r="AQ139">
        <f t="shared" si="78"/>
        <v>94</v>
      </c>
      <c r="AR139">
        <f t="shared" si="79"/>
        <v>81</v>
      </c>
      <c r="AS139">
        <f t="shared" si="80"/>
        <v>106</v>
      </c>
      <c r="AT139">
        <f t="shared" si="81"/>
        <v>97</v>
      </c>
      <c r="AU139">
        <f t="shared" si="82"/>
        <v>65</v>
      </c>
      <c r="AV139">
        <f t="shared" si="83"/>
        <v>58</v>
      </c>
      <c r="AW139">
        <f t="shared" si="84"/>
        <v>45</v>
      </c>
      <c r="AX139">
        <f t="shared" si="85"/>
        <v>134</v>
      </c>
      <c r="AY139">
        <f t="shared" si="86"/>
        <v>122</v>
      </c>
      <c r="AZ139">
        <f t="shared" si="87"/>
        <v>90</v>
      </c>
      <c r="BA139">
        <f t="shared" si="88"/>
        <v>81</v>
      </c>
      <c r="BB139">
        <f t="shared" si="89"/>
        <v>67</v>
      </c>
    </row>
    <row r="140" spans="1:54" x14ac:dyDescent="0.15">
      <c r="A140">
        <v>90</v>
      </c>
      <c r="B140" t="s">
        <v>542</v>
      </c>
      <c r="C140">
        <v>92</v>
      </c>
      <c r="D140">
        <v>0</v>
      </c>
      <c r="E140" t="s">
        <v>543</v>
      </c>
      <c r="G140" t="s">
        <v>543</v>
      </c>
      <c r="H140" t="s">
        <v>544</v>
      </c>
      <c r="J140" t="s">
        <v>545</v>
      </c>
      <c r="K140">
        <v>0.1</v>
      </c>
      <c r="L140">
        <v>1.3</v>
      </c>
      <c r="M140" t="s">
        <v>546</v>
      </c>
      <c r="N140" t="s">
        <v>27</v>
      </c>
      <c r="O140" t="s">
        <v>547</v>
      </c>
      <c r="R140">
        <v>9</v>
      </c>
      <c r="S140">
        <v>30</v>
      </c>
      <c r="T140">
        <v>35</v>
      </c>
      <c r="U140">
        <v>30</v>
      </c>
      <c r="V140">
        <v>100</v>
      </c>
      <c r="W140">
        <v>35</v>
      </c>
      <c r="X140">
        <v>80</v>
      </c>
      <c r="Y140">
        <f t="shared" si="60"/>
        <v>137</v>
      </c>
      <c r="Z140">
        <f t="shared" si="61"/>
        <v>137</v>
      </c>
      <c r="AA140">
        <f t="shared" si="62"/>
        <v>105</v>
      </c>
      <c r="AB140">
        <f t="shared" si="63"/>
        <v>105</v>
      </c>
      <c r="AC140">
        <f t="shared" si="64"/>
        <v>90</v>
      </c>
      <c r="AD140">
        <f t="shared" si="65"/>
        <v>95</v>
      </c>
      <c r="AE140">
        <f t="shared" si="66"/>
        <v>87</v>
      </c>
      <c r="AF140">
        <f t="shared" si="67"/>
        <v>55</v>
      </c>
      <c r="AG140">
        <f t="shared" si="68"/>
        <v>49</v>
      </c>
      <c r="AH140">
        <f t="shared" si="69"/>
        <v>36</v>
      </c>
      <c r="AI140">
        <f t="shared" si="70"/>
        <v>90</v>
      </c>
      <c r="AJ140">
        <f t="shared" si="71"/>
        <v>82</v>
      </c>
      <c r="AK140">
        <f t="shared" si="72"/>
        <v>50</v>
      </c>
      <c r="AL140">
        <f t="shared" si="73"/>
        <v>45</v>
      </c>
      <c r="AM140">
        <f t="shared" si="74"/>
        <v>31</v>
      </c>
      <c r="AN140">
        <f t="shared" si="75"/>
        <v>167</v>
      </c>
      <c r="AO140">
        <f t="shared" si="76"/>
        <v>152</v>
      </c>
      <c r="AP140">
        <f t="shared" si="77"/>
        <v>120</v>
      </c>
      <c r="AQ140">
        <f t="shared" si="78"/>
        <v>108</v>
      </c>
      <c r="AR140">
        <f t="shared" si="79"/>
        <v>94</v>
      </c>
      <c r="AS140">
        <f t="shared" si="80"/>
        <v>95</v>
      </c>
      <c r="AT140">
        <f t="shared" si="81"/>
        <v>87</v>
      </c>
      <c r="AU140">
        <f t="shared" si="82"/>
        <v>55</v>
      </c>
      <c r="AV140">
        <f t="shared" si="83"/>
        <v>49</v>
      </c>
      <c r="AW140">
        <f t="shared" si="84"/>
        <v>36</v>
      </c>
      <c r="AX140">
        <f t="shared" si="85"/>
        <v>145</v>
      </c>
      <c r="AY140">
        <f t="shared" si="86"/>
        <v>132</v>
      </c>
      <c r="AZ140">
        <f t="shared" si="87"/>
        <v>100</v>
      </c>
      <c r="BA140">
        <f t="shared" si="88"/>
        <v>90</v>
      </c>
      <c r="BB140">
        <f t="shared" si="89"/>
        <v>76</v>
      </c>
    </row>
    <row r="141" spans="1:54" x14ac:dyDescent="0.15">
      <c r="A141">
        <v>91</v>
      </c>
      <c r="B141" t="s">
        <v>548</v>
      </c>
      <c r="C141">
        <v>93</v>
      </c>
      <c r="D141">
        <v>0</v>
      </c>
      <c r="E141" t="s">
        <v>546</v>
      </c>
      <c r="G141" t="s">
        <v>546</v>
      </c>
      <c r="H141" t="s">
        <v>549</v>
      </c>
      <c r="J141" t="s">
        <v>545</v>
      </c>
      <c r="K141">
        <v>0.1</v>
      </c>
      <c r="L141">
        <v>1.6</v>
      </c>
      <c r="M141" t="s">
        <v>546</v>
      </c>
      <c r="N141" t="s">
        <v>27</v>
      </c>
      <c r="O141" t="s">
        <v>547</v>
      </c>
      <c r="R141">
        <v>9</v>
      </c>
      <c r="S141">
        <v>45</v>
      </c>
      <c r="T141">
        <v>50</v>
      </c>
      <c r="U141">
        <v>45</v>
      </c>
      <c r="V141">
        <v>115</v>
      </c>
      <c r="W141">
        <v>55</v>
      </c>
      <c r="X141">
        <v>95</v>
      </c>
      <c r="Y141">
        <f t="shared" si="60"/>
        <v>152</v>
      </c>
      <c r="Z141">
        <f t="shared" si="61"/>
        <v>152</v>
      </c>
      <c r="AA141">
        <f t="shared" si="62"/>
        <v>120</v>
      </c>
      <c r="AB141">
        <f t="shared" si="63"/>
        <v>120</v>
      </c>
      <c r="AC141">
        <f t="shared" si="64"/>
        <v>105</v>
      </c>
      <c r="AD141">
        <f t="shared" si="65"/>
        <v>112</v>
      </c>
      <c r="AE141">
        <f t="shared" si="66"/>
        <v>102</v>
      </c>
      <c r="AF141">
        <f t="shared" si="67"/>
        <v>70</v>
      </c>
      <c r="AG141">
        <f t="shared" si="68"/>
        <v>63</v>
      </c>
      <c r="AH141">
        <f t="shared" si="69"/>
        <v>49</v>
      </c>
      <c r="AI141">
        <f t="shared" si="70"/>
        <v>106</v>
      </c>
      <c r="AJ141">
        <f t="shared" si="71"/>
        <v>97</v>
      </c>
      <c r="AK141">
        <f t="shared" si="72"/>
        <v>65</v>
      </c>
      <c r="AL141">
        <f t="shared" si="73"/>
        <v>58</v>
      </c>
      <c r="AM141">
        <f t="shared" si="74"/>
        <v>45</v>
      </c>
      <c r="AN141">
        <f t="shared" si="75"/>
        <v>183</v>
      </c>
      <c r="AO141">
        <f t="shared" si="76"/>
        <v>167</v>
      </c>
      <c r="AP141">
        <f t="shared" si="77"/>
        <v>135</v>
      </c>
      <c r="AQ141">
        <f t="shared" si="78"/>
        <v>121</v>
      </c>
      <c r="AR141">
        <f t="shared" si="79"/>
        <v>108</v>
      </c>
      <c r="AS141">
        <f t="shared" si="80"/>
        <v>117</v>
      </c>
      <c r="AT141">
        <f t="shared" si="81"/>
        <v>107</v>
      </c>
      <c r="AU141">
        <f t="shared" si="82"/>
        <v>75</v>
      </c>
      <c r="AV141">
        <f t="shared" si="83"/>
        <v>67</v>
      </c>
      <c r="AW141">
        <f t="shared" si="84"/>
        <v>54</v>
      </c>
      <c r="AX141">
        <f t="shared" si="85"/>
        <v>161</v>
      </c>
      <c r="AY141">
        <f t="shared" si="86"/>
        <v>147</v>
      </c>
      <c r="AZ141">
        <f t="shared" si="87"/>
        <v>115</v>
      </c>
      <c r="BA141">
        <f t="shared" si="88"/>
        <v>103</v>
      </c>
      <c r="BB141">
        <f t="shared" si="89"/>
        <v>90</v>
      </c>
    </row>
    <row r="142" spans="1:54" x14ac:dyDescent="0.15">
      <c r="A142">
        <v>92</v>
      </c>
      <c r="B142" t="s">
        <v>550</v>
      </c>
      <c r="C142">
        <v>94</v>
      </c>
      <c r="D142">
        <v>0</v>
      </c>
      <c r="E142" t="s">
        <v>551</v>
      </c>
      <c r="G142" t="s">
        <v>551</v>
      </c>
      <c r="H142" t="s">
        <v>552</v>
      </c>
      <c r="J142" t="s">
        <v>553</v>
      </c>
      <c r="K142">
        <v>40.5</v>
      </c>
      <c r="L142">
        <v>1.5</v>
      </c>
      <c r="M142" t="s">
        <v>546</v>
      </c>
      <c r="N142" t="s">
        <v>27</v>
      </c>
      <c r="O142" t="s">
        <v>554</v>
      </c>
      <c r="R142">
        <v>9</v>
      </c>
      <c r="S142">
        <v>60</v>
      </c>
      <c r="T142">
        <v>65</v>
      </c>
      <c r="U142">
        <v>60</v>
      </c>
      <c r="V142">
        <v>130</v>
      </c>
      <c r="W142">
        <v>75</v>
      </c>
      <c r="X142">
        <v>110</v>
      </c>
      <c r="Y142">
        <f t="shared" si="60"/>
        <v>167</v>
      </c>
      <c r="Z142">
        <f t="shared" si="61"/>
        <v>167</v>
      </c>
      <c r="AA142">
        <f t="shared" si="62"/>
        <v>135</v>
      </c>
      <c r="AB142">
        <f t="shared" si="63"/>
        <v>135</v>
      </c>
      <c r="AC142">
        <f t="shared" si="64"/>
        <v>120</v>
      </c>
      <c r="AD142">
        <f t="shared" si="65"/>
        <v>128</v>
      </c>
      <c r="AE142">
        <f t="shared" si="66"/>
        <v>117</v>
      </c>
      <c r="AF142">
        <f t="shared" si="67"/>
        <v>85</v>
      </c>
      <c r="AG142">
        <f t="shared" si="68"/>
        <v>76</v>
      </c>
      <c r="AH142">
        <f t="shared" si="69"/>
        <v>63</v>
      </c>
      <c r="AI142">
        <f t="shared" si="70"/>
        <v>123</v>
      </c>
      <c r="AJ142">
        <f t="shared" si="71"/>
        <v>112</v>
      </c>
      <c r="AK142">
        <f t="shared" si="72"/>
        <v>80</v>
      </c>
      <c r="AL142">
        <f t="shared" si="73"/>
        <v>72</v>
      </c>
      <c r="AM142">
        <f t="shared" si="74"/>
        <v>58</v>
      </c>
      <c r="AN142">
        <f t="shared" si="75"/>
        <v>200</v>
      </c>
      <c r="AO142">
        <f t="shared" si="76"/>
        <v>182</v>
      </c>
      <c r="AP142">
        <f t="shared" si="77"/>
        <v>150</v>
      </c>
      <c r="AQ142">
        <f t="shared" si="78"/>
        <v>135</v>
      </c>
      <c r="AR142">
        <f t="shared" si="79"/>
        <v>121</v>
      </c>
      <c r="AS142">
        <f t="shared" si="80"/>
        <v>139</v>
      </c>
      <c r="AT142">
        <f t="shared" si="81"/>
        <v>127</v>
      </c>
      <c r="AU142">
        <f t="shared" si="82"/>
        <v>95</v>
      </c>
      <c r="AV142">
        <f t="shared" si="83"/>
        <v>85</v>
      </c>
      <c r="AW142">
        <f t="shared" si="84"/>
        <v>72</v>
      </c>
      <c r="AX142">
        <f t="shared" si="85"/>
        <v>178</v>
      </c>
      <c r="AY142">
        <f t="shared" si="86"/>
        <v>162</v>
      </c>
      <c r="AZ142">
        <f t="shared" si="87"/>
        <v>130</v>
      </c>
      <c r="BA142">
        <f t="shared" si="88"/>
        <v>117</v>
      </c>
      <c r="BB142">
        <f t="shared" si="89"/>
        <v>103</v>
      </c>
    </row>
    <row r="143" spans="1:54" x14ac:dyDescent="0.15">
      <c r="B143" t="s">
        <v>555</v>
      </c>
      <c r="C143">
        <v>94</v>
      </c>
      <c r="D143">
        <v>1</v>
      </c>
      <c r="E143" t="s">
        <v>551</v>
      </c>
      <c r="F143" t="s">
        <v>556</v>
      </c>
      <c r="G143" t="s">
        <v>556</v>
      </c>
      <c r="J143" t="s">
        <v>553</v>
      </c>
      <c r="K143">
        <v>40.5</v>
      </c>
      <c r="L143">
        <v>1.4</v>
      </c>
      <c r="M143" t="s">
        <v>546</v>
      </c>
      <c r="N143" t="s">
        <v>27</v>
      </c>
      <c r="O143" t="s">
        <v>557</v>
      </c>
      <c r="P143" t="s">
        <v>554</v>
      </c>
      <c r="R143">
        <v>7</v>
      </c>
      <c r="S143">
        <v>60</v>
      </c>
      <c r="T143">
        <v>65</v>
      </c>
      <c r="U143">
        <v>60</v>
      </c>
      <c r="V143">
        <v>130</v>
      </c>
      <c r="W143">
        <v>75</v>
      </c>
      <c r="X143">
        <v>110</v>
      </c>
      <c r="Y143">
        <f t="shared" si="60"/>
        <v>167</v>
      </c>
      <c r="Z143">
        <f t="shared" si="61"/>
        <v>167</v>
      </c>
      <c r="AA143">
        <f t="shared" si="62"/>
        <v>135</v>
      </c>
      <c r="AB143">
        <f t="shared" si="63"/>
        <v>135</v>
      </c>
      <c r="AC143">
        <f t="shared" si="64"/>
        <v>120</v>
      </c>
      <c r="AD143">
        <f t="shared" si="65"/>
        <v>128</v>
      </c>
      <c r="AE143">
        <f t="shared" si="66"/>
        <v>117</v>
      </c>
      <c r="AF143">
        <f t="shared" si="67"/>
        <v>85</v>
      </c>
      <c r="AG143">
        <f t="shared" si="68"/>
        <v>76</v>
      </c>
      <c r="AH143">
        <f t="shared" si="69"/>
        <v>63</v>
      </c>
      <c r="AI143">
        <f t="shared" si="70"/>
        <v>123</v>
      </c>
      <c r="AJ143">
        <f t="shared" si="71"/>
        <v>112</v>
      </c>
      <c r="AK143">
        <f t="shared" si="72"/>
        <v>80</v>
      </c>
      <c r="AL143">
        <f t="shared" si="73"/>
        <v>72</v>
      </c>
      <c r="AM143">
        <f t="shared" si="74"/>
        <v>58</v>
      </c>
      <c r="AN143">
        <f t="shared" si="75"/>
        <v>200</v>
      </c>
      <c r="AO143">
        <f t="shared" si="76"/>
        <v>182</v>
      </c>
      <c r="AP143">
        <f t="shared" si="77"/>
        <v>150</v>
      </c>
      <c r="AQ143">
        <f t="shared" si="78"/>
        <v>135</v>
      </c>
      <c r="AR143">
        <f t="shared" si="79"/>
        <v>121</v>
      </c>
      <c r="AS143">
        <f t="shared" si="80"/>
        <v>139</v>
      </c>
      <c r="AT143">
        <f t="shared" si="81"/>
        <v>127</v>
      </c>
      <c r="AU143">
        <f t="shared" si="82"/>
        <v>95</v>
      </c>
      <c r="AV143">
        <f t="shared" si="83"/>
        <v>85</v>
      </c>
      <c r="AW143">
        <f t="shared" si="84"/>
        <v>72</v>
      </c>
      <c r="AX143">
        <f t="shared" si="85"/>
        <v>178</v>
      </c>
      <c r="AY143">
        <f t="shared" si="86"/>
        <v>162</v>
      </c>
      <c r="AZ143">
        <f t="shared" si="87"/>
        <v>130</v>
      </c>
      <c r="BA143">
        <f t="shared" si="88"/>
        <v>117</v>
      </c>
      <c r="BB143">
        <f t="shared" si="89"/>
        <v>103</v>
      </c>
    </row>
    <row r="144" spans="1:54" x14ac:dyDescent="0.15">
      <c r="B144" t="s">
        <v>558</v>
      </c>
      <c r="C144">
        <v>94</v>
      </c>
      <c r="D144">
        <v>999</v>
      </c>
      <c r="E144" t="s">
        <v>551</v>
      </c>
      <c r="F144" t="s">
        <v>40</v>
      </c>
      <c r="G144" t="s">
        <v>559</v>
      </c>
      <c r="J144" t="s">
        <v>42</v>
      </c>
      <c r="K144">
        <v>9999.9</v>
      </c>
      <c r="L144">
        <v>20</v>
      </c>
      <c r="M144" t="s">
        <v>546</v>
      </c>
      <c r="N144" t="s">
        <v>27</v>
      </c>
      <c r="O144" t="s">
        <v>554</v>
      </c>
      <c r="R144">
        <v>8</v>
      </c>
      <c r="S144">
        <v>60</v>
      </c>
      <c r="T144">
        <v>65</v>
      </c>
      <c r="U144">
        <v>60</v>
      </c>
      <c r="V144">
        <v>130</v>
      </c>
      <c r="W144">
        <v>75</v>
      </c>
      <c r="X144">
        <v>110</v>
      </c>
      <c r="Y144">
        <f t="shared" si="60"/>
        <v>167</v>
      </c>
      <c r="Z144">
        <f t="shared" si="61"/>
        <v>167</v>
      </c>
      <c r="AA144">
        <f t="shared" si="62"/>
        <v>135</v>
      </c>
      <c r="AB144">
        <f t="shared" si="63"/>
        <v>135</v>
      </c>
      <c r="AC144">
        <f t="shared" si="64"/>
        <v>120</v>
      </c>
      <c r="AD144">
        <f t="shared" si="65"/>
        <v>128</v>
      </c>
      <c r="AE144">
        <f t="shared" si="66"/>
        <v>117</v>
      </c>
      <c r="AF144">
        <f t="shared" si="67"/>
        <v>85</v>
      </c>
      <c r="AG144">
        <f t="shared" si="68"/>
        <v>76</v>
      </c>
      <c r="AH144">
        <f t="shared" si="69"/>
        <v>63</v>
      </c>
      <c r="AI144">
        <f t="shared" si="70"/>
        <v>123</v>
      </c>
      <c r="AJ144">
        <f t="shared" si="71"/>
        <v>112</v>
      </c>
      <c r="AK144">
        <f t="shared" si="72"/>
        <v>80</v>
      </c>
      <c r="AL144">
        <f t="shared" si="73"/>
        <v>72</v>
      </c>
      <c r="AM144">
        <f t="shared" si="74"/>
        <v>58</v>
      </c>
      <c r="AN144">
        <f t="shared" si="75"/>
        <v>200</v>
      </c>
      <c r="AO144">
        <f t="shared" si="76"/>
        <v>182</v>
      </c>
      <c r="AP144">
        <f t="shared" si="77"/>
        <v>150</v>
      </c>
      <c r="AQ144">
        <f t="shared" si="78"/>
        <v>135</v>
      </c>
      <c r="AR144">
        <f t="shared" si="79"/>
        <v>121</v>
      </c>
      <c r="AS144">
        <f t="shared" si="80"/>
        <v>139</v>
      </c>
      <c r="AT144">
        <f t="shared" si="81"/>
        <v>127</v>
      </c>
      <c r="AU144">
        <f t="shared" si="82"/>
        <v>95</v>
      </c>
      <c r="AV144">
        <f t="shared" si="83"/>
        <v>85</v>
      </c>
      <c r="AW144">
        <f t="shared" si="84"/>
        <v>72</v>
      </c>
      <c r="AX144">
        <f t="shared" si="85"/>
        <v>178</v>
      </c>
      <c r="AY144">
        <f t="shared" si="86"/>
        <v>162</v>
      </c>
      <c r="AZ144">
        <f t="shared" si="87"/>
        <v>130</v>
      </c>
      <c r="BA144">
        <f t="shared" si="88"/>
        <v>117</v>
      </c>
      <c r="BB144">
        <f t="shared" si="89"/>
        <v>103</v>
      </c>
    </row>
    <row r="145" spans="1:54" x14ac:dyDescent="0.15">
      <c r="B145" t="s">
        <v>560</v>
      </c>
      <c r="C145">
        <v>95</v>
      </c>
      <c r="D145">
        <v>0</v>
      </c>
      <c r="E145" t="s">
        <v>561</v>
      </c>
      <c r="G145" t="s">
        <v>561</v>
      </c>
      <c r="J145" t="s">
        <v>562</v>
      </c>
      <c r="K145">
        <v>210</v>
      </c>
      <c r="L145">
        <v>8.8000000000000007</v>
      </c>
      <c r="M145" t="s">
        <v>371</v>
      </c>
      <c r="N145" t="s">
        <v>196</v>
      </c>
      <c r="O145" t="s">
        <v>434</v>
      </c>
      <c r="P145" t="s">
        <v>435</v>
      </c>
      <c r="Q145" t="s">
        <v>563</v>
      </c>
      <c r="R145">
        <v>8</v>
      </c>
      <c r="S145">
        <v>35</v>
      </c>
      <c r="T145">
        <v>45</v>
      </c>
      <c r="U145">
        <v>160</v>
      </c>
      <c r="V145">
        <v>30</v>
      </c>
      <c r="W145">
        <v>45</v>
      </c>
      <c r="X145">
        <v>70</v>
      </c>
      <c r="Y145">
        <f t="shared" si="60"/>
        <v>142</v>
      </c>
      <c r="Z145">
        <f t="shared" si="61"/>
        <v>142</v>
      </c>
      <c r="AA145">
        <f t="shared" si="62"/>
        <v>110</v>
      </c>
      <c r="AB145">
        <f t="shared" si="63"/>
        <v>110</v>
      </c>
      <c r="AC145">
        <f t="shared" si="64"/>
        <v>95</v>
      </c>
      <c r="AD145">
        <f t="shared" si="65"/>
        <v>106</v>
      </c>
      <c r="AE145">
        <f t="shared" si="66"/>
        <v>97</v>
      </c>
      <c r="AF145">
        <f t="shared" si="67"/>
        <v>65</v>
      </c>
      <c r="AG145">
        <f t="shared" si="68"/>
        <v>58</v>
      </c>
      <c r="AH145">
        <f t="shared" si="69"/>
        <v>45</v>
      </c>
      <c r="AI145">
        <f t="shared" si="70"/>
        <v>233</v>
      </c>
      <c r="AJ145">
        <f t="shared" si="71"/>
        <v>212</v>
      </c>
      <c r="AK145">
        <f t="shared" si="72"/>
        <v>180</v>
      </c>
      <c r="AL145">
        <f t="shared" si="73"/>
        <v>162</v>
      </c>
      <c r="AM145">
        <f t="shared" si="74"/>
        <v>148</v>
      </c>
      <c r="AN145">
        <f t="shared" si="75"/>
        <v>90</v>
      </c>
      <c r="AO145">
        <f t="shared" si="76"/>
        <v>82</v>
      </c>
      <c r="AP145">
        <f t="shared" si="77"/>
        <v>50</v>
      </c>
      <c r="AQ145">
        <f t="shared" si="78"/>
        <v>45</v>
      </c>
      <c r="AR145">
        <f t="shared" si="79"/>
        <v>31</v>
      </c>
      <c r="AS145">
        <f t="shared" si="80"/>
        <v>106</v>
      </c>
      <c r="AT145">
        <f t="shared" si="81"/>
        <v>97</v>
      </c>
      <c r="AU145">
        <f t="shared" si="82"/>
        <v>65</v>
      </c>
      <c r="AV145">
        <f t="shared" si="83"/>
        <v>58</v>
      </c>
      <c r="AW145">
        <f t="shared" si="84"/>
        <v>45</v>
      </c>
      <c r="AX145">
        <f t="shared" si="85"/>
        <v>134</v>
      </c>
      <c r="AY145">
        <f t="shared" si="86"/>
        <v>122</v>
      </c>
      <c r="AZ145">
        <f t="shared" si="87"/>
        <v>90</v>
      </c>
      <c r="BA145">
        <f t="shared" si="88"/>
        <v>81</v>
      </c>
      <c r="BB145">
        <f t="shared" si="89"/>
        <v>67</v>
      </c>
    </row>
    <row r="146" spans="1:54" x14ac:dyDescent="0.15">
      <c r="A146">
        <v>93</v>
      </c>
      <c r="B146" t="s">
        <v>564</v>
      </c>
      <c r="C146">
        <v>96</v>
      </c>
      <c r="D146">
        <v>0</v>
      </c>
      <c r="E146" t="s">
        <v>565</v>
      </c>
      <c r="G146" t="s">
        <v>565</v>
      </c>
      <c r="H146" t="s">
        <v>566</v>
      </c>
      <c r="J146" t="s">
        <v>567</v>
      </c>
      <c r="K146">
        <v>32.4</v>
      </c>
      <c r="L146">
        <v>1</v>
      </c>
      <c r="M146" t="s">
        <v>191</v>
      </c>
      <c r="O146" t="s">
        <v>568</v>
      </c>
      <c r="P146" t="s">
        <v>569</v>
      </c>
      <c r="Q146" t="s">
        <v>268</v>
      </c>
      <c r="R146">
        <v>9</v>
      </c>
      <c r="S146">
        <v>60</v>
      </c>
      <c r="T146">
        <v>48</v>
      </c>
      <c r="U146">
        <v>45</v>
      </c>
      <c r="V146">
        <v>43</v>
      </c>
      <c r="W146">
        <v>90</v>
      </c>
      <c r="X146">
        <v>42</v>
      </c>
      <c r="Y146">
        <f t="shared" si="60"/>
        <v>167</v>
      </c>
      <c r="Z146">
        <f t="shared" si="61"/>
        <v>167</v>
      </c>
      <c r="AA146">
        <f t="shared" si="62"/>
        <v>135</v>
      </c>
      <c r="AB146">
        <f t="shared" si="63"/>
        <v>135</v>
      </c>
      <c r="AC146">
        <f t="shared" si="64"/>
        <v>120</v>
      </c>
      <c r="AD146">
        <f t="shared" si="65"/>
        <v>110</v>
      </c>
      <c r="AE146">
        <f t="shared" si="66"/>
        <v>100</v>
      </c>
      <c r="AF146">
        <f t="shared" si="67"/>
        <v>68</v>
      </c>
      <c r="AG146">
        <f t="shared" si="68"/>
        <v>61</v>
      </c>
      <c r="AH146">
        <f t="shared" si="69"/>
        <v>47</v>
      </c>
      <c r="AI146">
        <f t="shared" si="70"/>
        <v>106</v>
      </c>
      <c r="AJ146">
        <f t="shared" si="71"/>
        <v>97</v>
      </c>
      <c r="AK146">
        <f t="shared" si="72"/>
        <v>65</v>
      </c>
      <c r="AL146">
        <f t="shared" si="73"/>
        <v>58</v>
      </c>
      <c r="AM146">
        <f t="shared" si="74"/>
        <v>45</v>
      </c>
      <c r="AN146">
        <f t="shared" si="75"/>
        <v>104</v>
      </c>
      <c r="AO146">
        <f t="shared" si="76"/>
        <v>95</v>
      </c>
      <c r="AP146">
        <f t="shared" si="77"/>
        <v>63</v>
      </c>
      <c r="AQ146">
        <f t="shared" si="78"/>
        <v>56</v>
      </c>
      <c r="AR146">
        <f t="shared" si="79"/>
        <v>43</v>
      </c>
      <c r="AS146">
        <f t="shared" si="80"/>
        <v>156</v>
      </c>
      <c r="AT146">
        <f t="shared" si="81"/>
        <v>142</v>
      </c>
      <c r="AU146">
        <f t="shared" si="82"/>
        <v>110</v>
      </c>
      <c r="AV146">
        <f t="shared" si="83"/>
        <v>99</v>
      </c>
      <c r="AW146">
        <f t="shared" si="84"/>
        <v>85</v>
      </c>
      <c r="AX146">
        <f t="shared" si="85"/>
        <v>103</v>
      </c>
      <c r="AY146">
        <f t="shared" si="86"/>
        <v>94</v>
      </c>
      <c r="AZ146">
        <f t="shared" si="87"/>
        <v>62</v>
      </c>
      <c r="BA146">
        <f t="shared" si="88"/>
        <v>55</v>
      </c>
      <c r="BB146">
        <f t="shared" si="89"/>
        <v>42</v>
      </c>
    </row>
    <row r="147" spans="1:54" x14ac:dyDescent="0.15">
      <c r="A147">
        <v>94</v>
      </c>
      <c r="B147" t="s">
        <v>570</v>
      </c>
      <c r="C147">
        <v>97</v>
      </c>
      <c r="D147">
        <v>0</v>
      </c>
      <c r="E147" t="s">
        <v>571</v>
      </c>
      <c r="G147" t="s">
        <v>571</v>
      </c>
      <c r="H147" t="s">
        <v>572</v>
      </c>
      <c r="J147" t="s">
        <v>567</v>
      </c>
      <c r="K147">
        <v>75.599999999999994</v>
      </c>
      <c r="L147">
        <v>1.6</v>
      </c>
      <c r="M147" t="s">
        <v>191</v>
      </c>
      <c r="O147" t="s">
        <v>568</v>
      </c>
      <c r="P147" t="s">
        <v>569</v>
      </c>
      <c r="Q147" t="s">
        <v>268</v>
      </c>
      <c r="R147">
        <v>9</v>
      </c>
      <c r="S147">
        <v>85</v>
      </c>
      <c r="T147">
        <v>73</v>
      </c>
      <c r="U147">
        <v>70</v>
      </c>
      <c r="V147">
        <v>73</v>
      </c>
      <c r="W147">
        <v>115</v>
      </c>
      <c r="X147">
        <v>67</v>
      </c>
      <c r="Y147">
        <f t="shared" si="60"/>
        <v>192</v>
      </c>
      <c r="Z147">
        <f t="shared" si="61"/>
        <v>192</v>
      </c>
      <c r="AA147">
        <f t="shared" si="62"/>
        <v>160</v>
      </c>
      <c r="AB147">
        <f t="shared" si="63"/>
        <v>160</v>
      </c>
      <c r="AC147">
        <f t="shared" si="64"/>
        <v>145</v>
      </c>
      <c r="AD147">
        <f t="shared" si="65"/>
        <v>137</v>
      </c>
      <c r="AE147">
        <f t="shared" si="66"/>
        <v>125</v>
      </c>
      <c r="AF147">
        <f t="shared" si="67"/>
        <v>93</v>
      </c>
      <c r="AG147">
        <f t="shared" si="68"/>
        <v>83</v>
      </c>
      <c r="AH147">
        <f t="shared" si="69"/>
        <v>70</v>
      </c>
      <c r="AI147">
        <f t="shared" si="70"/>
        <v>134</v>
      </c>
      <c r="AJ147">
        <f t="shared" si="71"/>
        <v>122</v>
      </c>
      <c r="AK147">
        <f t="shared" si="72"/>
        <v>90</v>
      </c>
      <c r="AL147">
        <f t="shared" si="73"/>
        <v>81</v>
      </c>
      <c r="AM147">
        <f t="shared" si="74"/>
        <v>67</v>
      </c>
      <c r="AN147">
        <f t="shared" si="75"/>
        <v>137</v>
      </c>
      <c r="AO147">
        <f t="shared" si="76"/>
        <v>125</v>
      </c>
      <c r="AP147">
        <f t="shared" si="77"/>
        <v>93</v>
      </c>
      <c r="AQ147">
        <f t="shared" si="78"/>
        <v>83</v>
      </c>
      <c r="AR147">
        <f t="shared" si="79"/>
        <v>70</v>
      </c>
      <c r="AS147">
        <f t="shared" si="80"/>
        <v>183</v>
      </c>
      <c r="AT147">
        <f t="shared" si="81"/>
        <v>167</v>
      </c>
      <c r="AU147">
        <f t="shared" si="82"/>
        <v>135</v>
      </c>
      <c r="AV147">
        <f t="shared" si="83"/>
        <v>121</v>
      </c>
      <c r="AW147">
        <f t="shared" si="84"/>
        <v>108</v>
      </c>
      <c r="AX147">
        <f t="shared" si="85"/>
        <v>130</v>
      </c>
      <c r="AY147">
        <f t="shared" si="86"/>
        <v>119</v>
      </c>
      <c r="AZ147">
        <f t="shared" si="87"/>
        <v>87</v>
      </c>
      <c r="BA147">
        <f t="shared" si="88"/>
        <v>78</v>
      </c>
      <c r="BB147">
        <f t="shared" si="89"/>
        <v>64</v>
      </c>
    </row>
    <row r="148" spans="1:54" x14ac:dyDescent="0.15">
      <c r="B148" t="s">
        <v>573</v>
      </c>
      <c r="C148">
        <v>98</v>
      </c>
      <c r="D148">
        <v>0</v>
      </c>
      <c r="E148" t="s">
        <v>574</v>
      </c>
      <c r="G148" t="s">
        <v>574</v>
      </c>
      <c r="J148" t="s">
        <v>575</v>
      </c>
      <c r="K148">
        <v>6.5</v>
      </c>
      <c r="L148">
        <v>0.4</v>
      </c>
      <c r="M148" t="s">
        <v>71</v>
      </c>
      <c r="O148" t="s">
        <v>576</v>
      </c>
      <c r="P148" t="s">
        <v>481</v>
      </c>
      <c r="Q148" t="s">
        <v>222</v>
      </c>
      <c r="R148">
        <v>8</v>
      </c>
      <c r="S148">
        <v>30</v>
      </c>
      <c r="T148">
        <v>105</v>
      </c>
      <c r="U148">
        <v>90</v>
      </c>
      <c r="V148">
        <v>25</v>
      </c>
      <c r="W148">
        <v>25</v>
      </c>
      <c r="X148">
        <v>50</v>
      </c>
      <c r="Y148">
        <f t="shared" si="60"/>
        <v>137</v>
      </c>
      <c r="Z148">
        <f t="shared" si="61"/>
        <v>137</v>
      </c>
      <c r="AA148">
        <f t="shared" si="62"/>
        <v>105</v>
      </c>
      <c r="AB148">
        <f t="shared" si="63"/>
        <v>105</v>
      </c>
      <c r="AC148">
        <f t="shared" si="64"/>
        <v>90</v>
      </c>
      <c r="AD148">
        <f t="shared" si="65"/>
        <v>172</v>
      </c>
      <c r="AE148">
        <f t="shared" si="66"/>
        <v>157</v>
      </c>
      <c r="AF148">
        <f t="shared" si="67"/>
        <v>125</v>
      </c>
      <c r="AG148">
        <f t="shared" si="68"/>
        <v>112</v>
      </c>
      <c r="AH148">
        <f t="shared" si="69"/>
        <v>99</v>
      </c>
      <c r="AI148">
        <f t="shared" si="70"/>
        <v>156</v>
      </c>
      <c r="AJ148">
        <f t="shared" si="71"/>
        <v>142</v>
      </c>
      <c r="AK148">
        <f t="shared" si="72"/>
        <v>110</v>
      </c>
      <c r="AL148">
        <f t="shared" si="73"/>
        <v>99</v>
      </c>
      <c r="AM148">
        <f t="shared" si="74"/>
        <v>85</v>
      </c>
      <c r="AN148">
        <f t="shared" si="75"/>
        <v>84</v>
      </c>
      <c r="AO148">
        <f t="shared" si="76"/>
        <v>77</v>
      </c>
      <c r="AP148">
        <f t="shared" si="77"/>
        <v>45</v>
      </c>
      <c r="AQ148">
        <f t="shared" si="78"/>
        <v>40</v>
      </c>
      <c r="AR148">
        <f t="shared" si="79"/>
        <v>27</v>
      </c>
      <c r="AS148">
        <f t="shared" si="80"/>
        <v>84</v>
      </c>
      <c r="AT148">
        <f t="shared" si="81"/>
        <v>77</v>
      </c>
      <c r="AU148">
        <f t="shared" si="82"/>
        <v>45</v>
      </c>
      <c r="AV148">
        <f t="shared" si="83"/>
        <v>40</v>
      </c>
      <c r="AW148">
        <f t="shared" si="84"/>
        <v>27</v>
      </c>
      <c r="AX148">
        <f t="shared" si="85"/>
        <v>112</v>
      </c>
      <c r="AY148">
        <f t="shared" si="86"/>
        <v>102</v>
      </c>
      <c r="AZ148">
        <f t="shared" si="87"/>
        <v>70</v>
      </c>
      <c r="BA148">
        <f t="shared" si="88"/>
        <v>63</v>
      </c>
      <c r="BB148">
        <f t="shared" si="89"/>
        <v>49</v>
      </c>
    </row>
    <row r="149" spans="1:54" x14ac:dyDescent="0.15">
      <c r="B149" t="s">
        <v>577</v>
      </c>
      <c r="C149">
        <v>99</v>
      </c>
      <c r="D149">
        <v>0</v>
      </c>
      <c r="E149" t="s">
        <v>578</v>
      </c>
      <c r="G149" t="s">
        <v>578</v>
      </c>
      <c r="J149" t="s">
        <v>579</v>
      </c>
      <c r="K149">
        <v>60</v>
      </c>
      <c r="L149">
        <v>1.3</v>
      </c>
      <c r="M149" t="s">
        <v>71</v>
      </c>
      <c r="O149" t="s">
        <v>576</v>
      </c>
      <c r="P149" t="s">
        <v>481</v>
      </c>
      <c r="Q149" t="s">
        <v>222</v>
      </c>
      <c r="R149">
        <v>8</v>
      </c>
      <c r="S149">
        <v>55</v>
      </c>
      <c r="T149">
        <v>130</v>
      </c>
      <c r="U149">
        <v>115</v>
      </c>
      <c r="V149">
        <v>50</v>
      </c>
      <c r="W149">
        <v>50</v>
      </c>
      <c r="X149">
        <v>75</v>
      </c>
      <c r="Y149">
        <f t="shared" si="60"/>
        <v>162</v>
      </c>
      <c r="Z149">
        <f t="shared" si="61"/>
        <v>162</v>
      </c>
      <c r="AA149">
        <f t="shared" si="62"/>
        <v>130</v>
      </c>
      <c r="AB149">
        <f t="shared" si="63"/>
        <v>130</v>
      </c>
      <c r="AC149">
        <f t="shared" si="64"/>
        <v>115</v>
      </c>
      <c r="AD149">
        <f t="shared" si="65"/>
        <v>200</v>
      </c>
      <c r="AE149">
        <f t="shared" si="66"/>
        <v>182</v>
      </c>
      <c r="AF149">
        <f t="shared" si="67"/>
        <v>150</v>
      </c>
      <c r="AG149">
        <f t="shared" si="68"/>
        <v>135</v>
      </c>
      <c r="AH149">
        <f t="shared" si="69"/>
        <v>121</v>
      </c>
      <c r="AI149">
        <f t="shared" si="70"/>
        <v>183</v>
      </c>
      <c r="AJ149">
        <f t="shared" si="71"/>
        <v>167</v>
      </c>
      <c r="AK149">
        <f t="shared" si="72"/>
        <v>135</v>
      </c>
      <c r="AL149">
        <f t="shared" si="73"/>
        <v>121</v>
      </c>
      <c r="AM149">
        <f t="shared" si="74"/>
        <v>108</v>
      </c>
      <c r="AN149">
        <f t="shared" si="75"/>
        <v>112</v>
      </c>
      <c r="AO149">
        <f t="shared" si="76"/>
        <v>102</v>
      </c>
      <c r="AP149">
        <f t="shared" si="77"/>
        <v>70</v>
      </c>
      <c r="AQ149">
        <f t="shared" si="78"/>
        <v>63</v>
      </c>
      <c r="AR149">
        <f t="shared" si="79"/>
        <v>49</v>
      </c>
      <c r="AS149">
        <f t="shared" si="80"/>
        <v>112</v>
      </c>
      <c r="AT149">
        <f t="shared" si="81"/>
        <v>102</v>
      </c>
      <c r="AU149">
        <f t="shared" si="82"/>
        <v>70</v>
      </c>
      <c r="AV149">
        <f t="shared" si="83"/>
        <v>63</v>
      </c>
      <c r="AW149">
        <f t="shared" si="84"/>
        <v>49</v>
      </c>
      <c r="AX149">
        <f t="shared" si="85"/>
        <v>139</v>
      </c>
      <c r="AY149">
        <f t="shared" si="86"/>
        <v>127</v>
      </c>
      <c r="AZ149">
        <f t="shared" si="87"/>
        <v>95</v>
      </c>
      <c r="BA149">
        <f t="shared" si="88"/>
        <v>85</v>
      </c>
      <c r="BB149">
        <f t="shared" si="89"/>
        <v>72</v>
      </c>
    </row>
    <row r="150" spans="1:54" x14ac:dyDescent="0.15">
      <c r="B150" t="s">
        <v>580</v>
      </c>
      <c r="C150">
        <v>99</v>
      </c>
      <c r="D150">
        <v>999</v>
      </c>
      <c r="E150" t="s">
        <v>578</v>
      </c>
      <c r="F150" t="s">
        <v>40</v>
      </c>
      <c r="G150" t="s">
        <v>581</v>
      </c>
      <c r="J150" t="s">
        <v>42</v>
      </c>
      <c r="K150">
        <v>9999.9</v>
      </c>
      <c r="L150">
        <v>19</v>
      </c>
      <c r="M150" t="s">
        <v>71</v>
      </c>
      <c r="O150" t="s">
        <v>576</v>
      </c>
      <c r="P150" t="s">
        <v>481</v>
      </c>
      <c r="Q150" t="s">
        <v>222</v>
      </c>
      <c r="R150">
        <v>8</v>
      </c>
      <c r="S150">
        <v>55</v>
      </c>
      <c r="T150">
        <v>130</v>
      </c>
      <c r="U150">
        <v>115</v>
      </c>
      <c r="V150">
        <v>50</v>
      </c>
      <c r="W150">
        <v>50</v>
      </c>
      <c r="X150">
        <v>75</v>
      </c>
      <c r="Y150">
        <f t="shared" si="60"/>
        <v>162</v>
      </c>
      <c r="Z150">
        <f t="shared" si="61"/>
        <v>162</v>
      </c>
      <c r="AA150">
        <f t="shared" si="62"/>
        <v>130</v>
      </c>
      <c r="AB150">
        <f t="shared" si="63"/>
        <v>130</v>
      </c>
      <c r="AC150">
        <f t="shared" si="64"/>
        <v>115</v>
      </c>
      <c r="AD150">
        <f t="shared" si="65"/>
        <v>200</v>
      </c>
      <c r="AE150">
        <f t="shared" si="66"/>
        <v>182</v>
      </c>
      <c r="AF150">
        <f t="shared" si="67"/>
        <v>150</v>
      </c>
      <c r="AG150">
        <f t="shared" si="68"/>
        <v>135</v>
      </c>
      <c r="AH150">
        <f t="shared" si="69"/>
        <v>121</v>
      </c>
      <c r="AI150">
        <f t="shared" si="70"/>
        <v>183</v>
      </c>
      <c r="AJ150">
        <f t="shared" si="71"/>
        <v>167</v>
      </c>
      <c r="AK150">
        <f t="shared" si="72"/>
        <v>135</v>
      </c>
      <c r="AL150">
        <f t="shared" si="73"/>
        <v>121</v>
      </c>
      <c r="AM150">
        <f t="shared" si="74"/>
        <v>108</v>
      </c>
      <c r="AN150">
        <f t="shared" si="75"/>
        <v>112</v>
      </c>
      <c r="AO150">
        <f t="shared" si="76"/>
        <v>102</v>
      </c>
      <c r="AP150">
        <f t="shared" si="77"/>
        <v>70</v>
      </c>
      <c r="AQ150">
        <f t="shared" si="78"/>
        <v>63</v>
      </c>
      <c r="AR150">
        <f t="shared" si="79"/>
        <v>49</v>
      </c>
      <c r="AS150">
        <f t="shared" si="80"/>
        <v>112</v>
      </c>
      <c r="AT150">
        <f t="shared" si="81"/>
        <v>102</v>
      </c>
      <c r="AU150">
        <f t="shared" si="82"/>
        <v>70</v>
      </c>
      <c r="AV150">
        <f t="shared" si="83"/>
        <v>63</v>
      </c>
      <c r="AW150">
        <f t="shared" si="84"/>
        <v>49</v>
      </c>
      <c r="AX150">
        <f t="shared" si="85"/>
        <v>139</v>
      </c>
      <c r="AY150">
        <f t="shared" si="86"/>
        <v>127</v>
      </c>
      <c r="AZ150">
        <f t="shared" si="87"/>
        <v>95</v>
      </c>
      <c r="BA150">
        <f t="shared" si="88"/>
        <v>85</v>
      </c>
      <c r="BB150">
        <f t="shared" si="89"/>
        <v>72</v>
      </c>
    </row>
    <row r="151" spans="1:54" x14ac:dyDescent="0.15">
      <c r="A151">
        <v>95</v>
      </c>
      <c r="B151" t="s">
        <v>582</v>
      </c>
      <c r="C151">
        <v>100</v>
      </c>
      <c r="D151">
        <v>0</v>
      </c>
      <c r="E151" t="s">
        <v>583</v>
      </c>
      <c r="G151" t="s">
        <v>583</v>
      </c>
      <c r="H151" t="s">
        <v>584</v>
      </c>
      <c r="J151" t="s">
        <v>585</v>
      </c>
      <c r="K151">
        <v>10.4</v>
      </c>
      <c r="L151">
        <v>0.5</v>
      </c>
      <c r="M151" t="s">
        <v>164</v>
      </c>
      <c r="O151" t="s">
        <v>586</v>
      </c>
      <c r="P151" t="s">
        <v>165</v>
      </c>
      <c r="Q151" t="s">
        <v>587</v>
      </c>
      <c r="R151">
        <v>9</v>
      </c>
      <c r="S151">
        <v>40</v>
      </c>
      <c r="T151">
        <v>30</v>
      </c>
      <c r="U151">
        <v>50</v>
      </c>
      <c r="V151">
        <v>55</v>
      </c>
      <c r="W151">
        <v>55</v>
      </c>
      <c r="X151">
        <v>100</v>
      </c>
      <c r="Y151">
        <f t="shared" si="60"/>
        <v>147</v>
      </c>
      <c r="Z151">
        <f t="shared" si="61"/>
        <v>147</v>
      </c>
      <c r="AA151">
        <f t="shared" si="62"/>
        <v>115</v>
      </c>
      <c r="AB151">
        <f t="shared" si="63"/>
        <v>115</v>
      </c>
      <c r="AC151">
        <f t="shared" si="64"/>
        <v>100</v>
      </c>
      <c r="AD151">
        <f t="shared" si="65"/>
        <v>90</v>
      </c>
      <c r="AE151">
        <f t="shared" si="66"/>
        <v>82</v>
      </c>
      <c r="AF151">
        <f t="shared" si="67"/>
        <v>50</v>
      </c>
      <c r="AG151">
        <f t="shared" si="68"/>
        <v>45</v>
      </c>
      <c r="AH151">
        <f t="shared" si="69"/>
        <v>31</v>
      </c>
      <c r="AI151">
        <f t="shared" si="70"/>
        <v>112</v>
      </c>
      <c r="AJ151">
        <f t="shared" si="71"/>
        <v>102</v>
      </c>
      <c r="AK151">
        <f t="shared" si="72"/>
        <v>70</v>
      </c>
      <c r="AL151">
        <f t="shared" si="73"/>
        <v>63</v>
      </c>
      <c r="AM151">
        <f t="shared" si="74"/>
        <v>49</v>
      </c>
      <c r="AN151">
        <f t="shared" si="75"/>
        <v>117</v>
      </c>
      <c r="AO151">
        <f t="shared" si="76"/>
        <v>107</v>
      </c>
      <c r="AP151">
        <f t="shared" si="77"/>
        <v>75</v>
      </c>
      <c r="AQ151">
        <f t="shared" si="78"/>
        <v>67</v>
      </c>
      <c r="AR151">
        <f t="shared" si="79"/>
        <v>54</v>
      </c>
      <c r="AS151">
        <f t="shared" si="80"/>
        <v>117</v>
      </c>
      <c r="AT151">
        <f t="shared" si="81"/>
        <v>107</v>
      </c>
      <c r="AU151">
        <f t="shared" si="82"/>
        <v>75</v>
      </c>
      <c r="AV151">
        <f t="shared" si="83"/>
        <v>67</v>
      </c>
      <c r="AW151">
        <f t="shared" si="84"/>
        <v>54</v>
      </c>
      <c r="AX151">
        <f t="shared" si="85"/>
        <v>167</v>
      </c>
      <c r="AY151">
        <f t="shared" si="86"/>
        <v>152</v>
      </c>
      <c r="AZ151">
        <f t="shared" si="87"/>
        <v>120</v>
      </c>
      <c r="BA151">
        <f t="shared" si="88"/>
        <v>108</v>
      </c>
      <c r="BB151">
        <f t="shared" si="89"/>
        <v>94</v>
      </c>
    </row>
    <row r="152" spans="1:54" x14ac:dyDescent="0.15">
      <c r="A152">
        <v>96</v>
      </c>
      <c r="B152" t="s">
        <v>588</v>
      </c>
      <c r="C152">
        <v>100</v>
      </c>
      <c r="D152">
        <v>1</v>
      </c>
      <c r="E152" t="s">
        <v>583</v>
      </c>
      <c r="F152" t="s">
        <v>367</v>
      </c>
      <c r="G152" t="s">
        <v>589</v>
      </c>
      <c r="H152" t="s">
        <v>590</v>
      </c>
      <c r="J152" t="s">
        <v>591</v>
      </c>
      <c r="K152">
        <v>13</v>
      </c>
      <c r="L152">
        <v>0.5</v>
      </c>
      <c r="M152" t="s">
        <v>164</v>
      </c>
      <c r="N152" t="s">
        <v>26</v>
      </c>
      <c r="O152" t="s">
        <v>586</v>
      </c>
      <c r="P152" t="s">
        <v>165</v>
      </c>
      <c r="Q152" t="s">
        <v>587</v>
      </c>
      <c r="R152">
        <v>9</v>
      </c>
      <c r="S152">
        <v>40</v>
      </c>
      <c r="T152">
        <v>30</v>
      </c>
      <c r="U152">
        <v>50</v>
      </c>
      <c r="V152">
        <v>55</v>
      </c>
      <c r="W152">
        <v>55</v>
      </c>
      <c r="X152">
        <v>100</v>
      </c>
      <c r="Y152">
        <f t="shared" si="60"/>
        <v>147</v>
      </c>
      <c r="Z152">
        <f t="shared" si="61"/>
        <v>147</v>
      </c>
      <c r="AA152">
        <f t="shared" si="62"/>
        <v>115</v>
      </c>
      <c r="AB152">
        <f t="shared" si="63"/>
        <v>115</v>
      </c>
      <c r="AC152">
        <f t="shared" si="64"/>
        <v>100</v>
      </c>
      <c r="AD152">
        <f t="shared" si="65"/>
        <v>90</v>
      </c>
      <c r="AE152">
        <f t="shared" si="66"/>
        <v>82</v>
      </c>
      <c r="AF152">
        <f t="shared" si="67"/>
        <v>50</v>
      </c>
      <c r="AG152">
        <f t="shared" si="68"/>
        <v>45</v>
      </c>
      <c r="AH152">
        <f t="shared" si="69"/>
        <v>31</v>
      </c>
      <c r="AI152">
        <f t="shared" si="70"/>
        <v>112</v>
      </c>
      <c r="AJ152">
        <f t="shared" si="71"/>
        <v>102</v>
      </c>
      <c r="AK152">
        <f t="shared" si="72"/>
        <v>70</v>
      </c>
      <c r="AL152">
        <f t="shared" si="73"/>
        <v>63</v>
      </c>
      <c r="AM152">
        <f t="shared" si="74"/>
        <v>49</v>
      </c>
      <c r="AN152">
        <f t="shared" si="75"/>
        <v>117</v>
      </c>
      <c r="AO152">
        <f t="shared" si="76"/>
        <v>107</v>
      </c>
      <c r="AP152">
        <f t="shared" si="77"/>
        <v>75</v>
      </c>
      <c r="AQ152">
        <f t="shared" si="78"/>
        <v>67</v>
      </c>
      <c r="AR152">
        <f t="shared" si="79"/>
        <v>54</v>
      </c>
      <c r="AS152">
        <f t="shared" si="80"/>
        <v>117</v>
      </c>
      <c r="AT152">
        <f t="shared" si="81"/>
        <v>107</v>
      </c>
      <c r="AU152">
        <f t="shared" si="82"/>
        <v>75</v>
      </c>
      <c r="AV152">
        <f t="shared" si="83"/>
        <v>67</v>
      </c>
      <c r="AW152">
        <f t="shared" si="84"/>
        <v>54</v>
      </c>
      <c r="AX152">
        <f t="shared" si="85"/>
        <v>167</v>
      </c>
      <c r="AY152">
        <f t="shared" si="86"/>
        <v>152</v>
      </c>
      <c r="AZ152">
        <f t="shared" si="87"/>
        <v>120</v>
      </c>
      <c r="BA152">
        <f t="shared" si="88"/>
        <v>108</v>
      </c>
      <c r="BB152">
        <f t="shared" si="89"/>
        <v>94</v>
      </c>
    </row>
    <row r="153" spans="1:54" x14ac:dyDescent="0.15">
      <c r="A153">
        <v>97</v>
      </c>
      <c r="B153" t="s">
        <v>592</v>
      </c>
      <c r="C153">
        <v>101</v>
      </c>
      <c r="D153">
        <v>0</v>
      </c>
      <c r="E153" t="s">
        <v>593</v>
      </c>
      <c r="G153" t="s">
        <v>593</v>
      </c>
      <c r="H153" t="s">
        <v>594</v>
      </c>
      <c r="J153" t="s">
        <v>585</v>
      </c>
      <c r="K153">
        <v>66.599999999999994</v>
      </c>
      <c r="L153">
        <v>1.2</v>
      </c>
      <c r="M153" t="s">
        <v>164</v>
      </c>
      <c r="O153" t="s">
        <v>586</v>
      </c>
      <c r="P153" t="s">
        <v>165</v>
      </c>
      <c r="Q153" t="s">
        <v>587</v>
      </c>
      <c r="R153">
        <v>9</v>
      </c>
      <c r="S153">
        <v>60</v>
      </c>
      <c r="T153">
        <v>50</v>
      </c>
      <c r="U153">
        <v>70</v>
      </c>
      <c r="V153">
        <v>80</v>
      </c>
      <c r="W153">
        <v>80</v>
      </c>
      <c r="X153">
        <v>150</v>
      </c>
      <c r="Y153">
        <f t="shared" si="60"/>
        <v>167</v>
      </c>
      <c r="Z153">
        <f t="shared" si="61"/>
        <v>167</v>
      </c>
      <c r="AA153">
        <f t="shared" si="62"/>
        <v>135</v>
      </c>
      <c r="AB153">
        <f t="shared" si="63"/>
        <v>135</v>
      </c>
      <c r="AC153">
        <f t="shared" si="64"/>
        <v>120</v>
      </c>
      <c r="AD153">
        <f t="shared" si="65"/>
        <v>112</v>
      </c>
      <c r="AE153">
        <f t="shared" si="66"/>
        <v>102</v>
      </c>
      <c r="AF153">
        <f t="shared" si="67"/>
        <v>70</v>
      </c>
      <c r="AG153">
        <f t="shared" si="68"/>
        <v>63</v>
      </c>
      <c r="AH153">
        <f t="shared" si="69"/>
        <v>49</v>
      </c>
      <c r="AI153">
        <f t="shared" si="70"/>
        <v>134</v>
      </c>
      <c r="AJ153">
        <f t="shared" si="71"/>
        <v>122</v>
      </c>
      <c r="AK153">
        <f t="shared" si="72"/>
        <v>90</v>
      </c>
      <c r="AL153">
        <f t="shared" si="73"/>
        <v>81</v>
      </c>
      <c r="AM153">
        <f t="shared" si="74"/>
        <v>67</v>
      </c>
      <c r="AN153">
        <f t="shared" si="75"/>
        <v>145</v>
      </c>
      <c r="AO153">
        <f t="shared" si="76"/>
        <v>132</v>
      </c>
      <c r="AP153">
        <f t="shared" si="77"/>
        <v>100</v>
      </c>
      <c r="AQ153">
        <f t="shared" si="78"/>
        <v>90</v>
      </c>
      <c r="AR153">
        <f t="shared" si="79"/>
        <v>76</v>
      </c>
      <c r="AS153">
        <f t="shared" si="80"/>
        <v>145</v>
      </c>
      <c r="AT153">
        <f t="shared" si="81"/>
        <v>132</v>
      </c>
      <c r="AU153">
        <f t="shared" si="82"/>
        <v>100</v>
      </c>
      <c r="AV153">
        <f t="shared" si="83"/>
        <v>90</v>
      </c>
      <c r="AW153">
        <f t="shared" si="84"/>
        <v>76</v>
      </c>
      <c r="AX153">
        <f t="shared" si="85"/>
        <v>222</v>
      </c>
      <c r="AY153">
        <f t="shared" si="86"/>
        <v>202</v>
      </c>
      <c r="AZ153">
        <f t="shared" si="87"/>
        <v>170</v>
      </c>
      <c r="BA153">
        <f t="shared" si="88"/>
        <v>153</v>
      </c>
      <c r="BB153">
        <f t="shared" si="89"/>
        <v>139</v>
      </c>
    </row>
    <row r="154" spans="1:54" x14ac:dyDescent="0.15">
      <c r="A154">
        <v>98</v>
      </c>
      <c r="B154" t="s">
        <v>595</v>
      </c>
      <c r="C154">
        <v>101</v>
      </c>
      <c r="D154">
        <v>1</v>
      </c>
      <c r="E154" t="s">
        <v>593</v>
      </c>
      <c r="F154" t="s">
        <v>367</v>
      </c>
      <c r="G154" t="s">
        <v>596</v>
      </c>
      <c r="H154" t="s">
        <v>597</v>
      </c>
      <c r="J154" t="s">
        <v>591</v>
      </c>
      <c r="K154">
        <v>71</v>
      </c>
      <c r="L154">
        <v>1.2</v>
      </c>
      <c r="M154" t="s">
        <v>164</v>
      </c>
      <c r="N154" t="s">
        <v>26</v>
      </c>
      <c r="O154" t="s">
        <v>586</v>
      </c>
      <c r="P154" t="s">
        <v>165</v>
      </c>
      <c r="Q154" t="s">
        <v>587</v>
      </c>
      <c r="R154">
        <v>9</v>
      </c>
      <c r="S154">
        <v>60</v>
      </c>
      <c r="T154">
        <v>50</v>
      </c>
      <c r="U154">
        <v>70</v>
      </c>
      <c r="V154">
        <v>80</v>
      </c>
      <c r="W154">
        <v>80</v>
      </c>
      <c r="X154">
        <v>150</v>
      </c>
      <c r="Y154">
        <f t="shared" si="60"/>
        <v>167</v>
      </c>
      <c r="Z154">
        <f t="shared" si="61"/>
        <v>167</v>
      </c>
      <c r="AA154">
        <f t="shared" si="62"/>
        <v>135</v>
      </c>
      <c r="AB154">
        <f t="shared" si="63"/>
        <v>135</v>
      </c>
      <c r="AC154">
        <f t="shared" si="64"/>
        <v>120</v>
      </c>
      <c r="AD154">
        <f t="shared" si="65"/>
        <v>112</v>
      </c>
      <c r="AE154">
        <f t="shared" si="66"/>
        <v>102</v>
      </c>
      <c r="AF154">
        <f t="shared" si="67"/>
        <v>70</v>
      </c>
      <c r="AG154">
        <f t="shared" si="68"/>
        <v>63</v>
      </c>
      <c r="AH154">
        <f t="shared" si="69"/>
        <v>49</v>
      </c>
      <c r="AI154">
        <f t="shared" si="70"/>
        <v>134</v>
      </c>
      <c r="AJ154">
        <f t="shared" si="71"/>
        <v>122</v>
      </c>
      <c r="AK154">
        <f t="shared" si="72"/>
        <v>90</v>
      </c>
      <c r="AL154">
        <f t="shared" si="73"/>
        <v>81</v>
      </c>
      <c r="AM154">
        <f t="shared" si="74"/>
        <v>67</v>
      </c>
      <c r="AN154">
        <f t="shared" si="75"/>
        <v>145</v>
      </c>
      <c r="AO154">
        <f t="shared" si="76"/>
        <v>132</v>
      </c>
      <c r="AP154">
        <f t="shared" si="77"/>
        <v>100</v>
      </c>
      <c r="AQ154">
        <f t="shared" si="78"/>
        <v>90</v>
      </c>
      <c r="AR154">
        <f t="shared" si="79"/>
        <v>76</v>
      </c>
      <c r="AS154">
        <f t="shared" si="80"/>
        <v>145</v>
      </c>
      <c r="AT154">
        <f t="shared" si="81"/>
        <v>132</v>
      </c>
      <c r="AU154">
        <f t="shared" si="82"/>
        <v>100</v>
      </c>
      <c r="AV154">
        <f t="shared" si="83"/>
        <v>90</v>
      </c>
      <c r="AW154">
        <f t="shared" si="84"/>
        <v>76</v>
      </c>
      <c r="AX154">
        <f t="shared" si="85"/>
        <v>222</v>
      </c>
      <c r="AY154">
        <f t="shared" si="86"/>
        <v>202</v>
      </c>
      <c r="AZ154">
        <f t="shared" si="87"/>
        <v>170</v>
      </c>
      <c r="BA154">
        <f t="shared" si="88"/>
        <v>153</v>
      </c>
      <c r="BB154">
        <f t="shared" si="89"/>
        <v>139</v>
      </c>
    </row>
    <row r="155" spans="1:54" x14ac:dyDescent="0.15">
      <c r="A155">
        <v>99</v>
      </c>
      <c r="B155" t="s">
        <v>598</v>
      </c>
      <c r="C155">
        <v>102</v>
      </c>
      <c r="D155">
        <v>0</v>
      </c>
      <c r="E155" t="s">
        <v>599</v>
      </c>
      <c r="G155" t="s">
        <v>599</v>
      </c>
      <c r="H155" t="s">
        <v>600</v>
      </c>
      <c r="J155" t="s">
        <v>601</v>
      </c>
      <c r="K155">
        <v>2.5</v>
      </c>
      <c r="L155">
        <v>0.4</v>
      </c>
      <c r="M155" t="s">
        <v>26</v>
      </c>
      <c r="N155" t="s">
        <v>191</v>
      </c>
      <c r="O155" t="s">
        <v>29</v>
      </c>
      <c r="P155" t="s">
        <v>602</v>
      </c>
      <c r="R155">
        <v>9</v>
      </c>
      <c r="S155">
        <v>60</v>
      </c>
      <c r="T155">
        <v>40</v>
      </c>
      <c r="U155">
        <v>80</v>
      </c>
      <c r="V155">
        <v>60</v>
      </c>
      <c r="W155">
        <v>45</v>
      </c>
      <c r="X155">
        <v>40</v>
      </c>
      <c r="Y155">
        <f t="shared" si="60"/>
        <v>167</v>
      </c>
      <c r="Z155">
        <f t="shared" si="61"/>
        <v>167</v>
      </c>
      <c r="AA155">
        <f t="shared" si="62"/>
        <v>135</v>
      </c>
      <c r="AB155">
        <f t="shared" si="63"/>
        <v>135</v>
      </c>
      <c r="AC155">
        <f t="shared" si="64"/>
        <v>120</v>
      </c>
      <c r="AD155">
        <f t="shared" si="65"/>
        <v>101</v>
      </c>
      <c r="AE155">
        <f t="shared" si="66"/>
        <v>92</v>
      </c>
      <c r="AF155">
        <f t="shared" si="67"/>
        <v>60</v>
      </c>
      <c r="AG155">
        <f t="shared" si="68"/>
        <v>54</v>
      </c>
      <c r="AH155">
        <f t="shared" si="69"/>
        <v>40</v>
      </c>
      <c r="AI155">
        <f t="shared" si="70"/>
        <v>145</v>
      </c>
      <c r="AJ155">
        <f t="shared" si="71"/>
        <v>132</v>
      </c>
      <c r="AK155">
        <f t="shared" si="72"/>
        <v>100</v>
      </c>
      <c r="AL155">
        <f t="shared" si="73"/>
        <v>90</v>
      </c>
      <c r="AM155">
        <f t="shared" si="74"/>
        <v>76</v>
      </c>
      <c r="AN155">
        <f t="shared" si="75"/>
        <v>123</v>
      </c>
      <c r="AO155">
        <f t="shared" si="76"/>
        <v>112</v>
      </c>
      <c r="AP155">
        <f t="shared" si="77"/>
        <v>80</v>
      </c>
      <c r="AQ155">
        <f t="shared" si="78"/>
        <v>72</v>
      </c>
      <c r="AR155">
        <f t="shared" si="79"/>
        <v>58</v>
      </c>
      <c r="AS155">
        <f t="shared" si="80"/>
        <v>106</v>
      </c>
      <c r="AT155">
        <f t="shared" si="81"/>
        <v>97</v>
      </c>
      <c r="AU155">
        <f t="shared" si="82"/>
        <v>65</v>
      </c>
      <c r="AV155">
        <f t="shared" si="83"/>
        <v>58</v>
      </c>
      <c r="AW155">
        <f t="shared" si="84"/>
        <v>45</v>
      </c>
      <c r="AX155">
        <f t="shared" si="85"/>
        <v>101</v>
      </c>
      <c r="AY155">
        <f t="shared" si="86"/>
        <v>92</v>
      </c>
      <c r="AZ155">
        <f t="shared" si="87"/>
        <v>60</v>
      </c>
      <c r="BA155">
        <f t="shared" si="88"/>
        <v>54</v>
      </c>
      <c r="BB155">
        <f t="shared" si="89"/>
        <v>40</v>
      </c>
    </row>
    <row r="156" spans="1:54" x14ac:dyDescent="0.15">
      <c r="A156">
        <v>100</v>
      </c>
      <c r="B156" t="s">
        <v>603</v>
      </c>
      <c r="C156">
        <v>103</v>
      </c>
      <c r="D156">
        <v>0</v>
      </c>
      <c r="E156" t="s">
        <v>604</v>
      </c>
      <c r="G156" t="s">
        <v>604</v>
      </c>
      <c r="H156" t="s">
        <v>605</v>
      </c>
      <c r="J156" t="s">
        <v>606</v>
      </c>
      <c r="K156">
        <v>120</v>
      </c>
      <c r="L156">
        <v>2</v>
      </c>
      <c r="M156" t="s">
        <v>26</v>
      </c>
      <c r="N156" t="s">
        <v>191</v>
      </c>
      <c r="O156" t="s">
        <v>29</v>
      </c>
      <c r="P156" t="s">
        <v>602</v>
      </c>
      <c r="R156">
        <v>9</v>
      </c>
      <c r="S156">
        <v>95</v>
      </c>
      <c r="T156">
        <v>95</v>
      </c>
      <c r="U156">
        <v>85</v>
      </c>
      <c r="V156">
        <v>125</v>
      </c>
      <c r="W156">
        <v>75</v>
      </c>
      <c r="X156">
        <v>55</v>
      </c>
      <c r="Y156">
        <f t="shared" si="60"/>
        <v>202</v>
      </c>
      <c r="Z156">
        <f t="shared" si="61"/>
        <v>202</v>
      </c>
      <c r="AA156">
        <f t="shared" si="62"/>
        <v>170</v>
      </c>
      <c r="AB156">
        <f t="shared" si="63"/>
        <v>170</v>
      </c>
      <c r="AC156">
        <f t="shared" si="64"/>
        <v>155</v>
      </c>
      <c r="AD156">
        <f t="shared" si="65"/>
        <v>161</v>
      </c>
      <c r="AE156">
        <f t="shared" si="66"/>
        <v>147</v>
      </c>
      <c r="AF156">
        <f t="shared" si="67"/>
        <v>115</v>
      </c>
      <c r="AG156">
        <f t="shared" si="68"/>
        <v>103</v>
      </c>
      <c r="AH156">
        <f t="shared" si="69"/>
        <v>90</v>
      </c>
      <c r="AI156">
        <f t="shared" si="70"/>
        <v>150</v>
      </c>
      <c r="AJ156">
        <f t="shared" si="71"/>
        <v>137</v>
      </c>
      <c r="AK156">
        <f t="shared" si="72"/>
        <v>105</v>
      </c>
      <c r="AL156">
        <f t="shared" si="73"/>
        <v>94</v>
      </c>
      <c r="AM156">
        <f t="shared" si="74"/>
        <v>81</v>
      </c>
      <c r="AN156">
        <f t="shared" si="75"/>
        <v>194</v>
      </c>
      <c r="AO156">
        <f t="shared" si="76"/>
        <v>177</v>
      </c>
      <c r="AP156">
        <f t="shared" si="77"/>
        <v>145</v>
      </c>
      <c r="AQ156">
        <f t="shared" si="78"/>
        <v>130</v>
      </c>
      <c r="AR156">
        <f t="shared" si="79"/>
        <v>117</v>
      </c>
      <c r="AS156">
        <f t="shared" si="80"/>
        <v>139</v>
      </c>
      <c r="AT156">
        <f t="shared" si="81"/>
        <v>127</v>
      </c>
      <c r="AU156">
        <f t="shared" si="82"/>
        <v>95</v>
      </c>
      <c r="AV156">
        <f t="shared" si="83"/>
        <v>85</v>
      </c>
      <c r="AW156">
        <f t="shared" si="84"/>
        <v>72</v>
      </c>
      <c r="AX156">
        <f t="shared" si="85"/>
        <v>117</v>
      </c>
      <c r="AY156">
        <f t="shared" si="86"/>
        <v>107</v>
      </c>
      <c r="AZ156">
        <f t="shared" si="87"/>
        <v>75</v>
      </c>
      <c r="BA156">
        <f t="shared" si="88"/>
        <v>67</v>
      </c>
      <c r="BB156">
        <f t="shared" si="89"/>
        <v>54</v>
      </c>
    </row>
    <row r="157" spans="1:54" x14ac:dyDescent="0.15">
      <c r="A157">
        <v>101</v>
      </c>
      <c r="B157" t="s">
        <v>607</v>
      </c>
      <c r="C157">
        <v>103</v>
      </c>
      <c r="D157">
        <v>1</v>
      </c>
      <c r="E157" t="s">
        <v>604</v>
      </c>
      <c r="F157" t="s">
        <v>138</v>
      </c>
      <c r="G157" t="s">
        <v>608</v>
      </c>
      <c r="H157" t="s">
        <v>609</v>
      </c>
      <c r="J157" t="s">
        <v>606</v>
      </c>
      <c r="K157">
        <v>415.6</v>
      </c>
      <c r="L157">
        <v>10.9</v>
      </c>
      <c r="M157" t="s">
        <v>26</v>
      </c>
      <c r="N157" t="s">
        <v>60</v>
      </c>
      <c r="O157" t="s">
        <v>264</v>
      </c>
      <c r="P157" t="s">
        <v>602</v>
      </c>
      <c r="R157">
        <v>9</v>
      </c>
      <c r="S157">
        <v>95</v>
      </c>
      <c r="T157">
        <v>105</v>
      </c>
      <c r="U157">
        <v>85</v>
      </c>
      <c r="V157">
        <v>125</v>
      </c>
      <c r="W157">
        <v>75</v>
      </c>
      <c r="X157">
        <v>45</v>
      </c>
      <c r="Y157">
        <f t="shared" si="60"/>
        <v>202</v>
      </c>
      <c r="Z157">
        <f t="shared" si="61"/>
        <v>202</v>
      </c>
      <c r="AA157">
        <f t="shared" si="62"/>
        <v>170</v>
      </c>
      <c r="AB157">
        <f t="shared" si="63"/>
        <v>170</v>
      </c>
      <c r="AC157">
        <f t="shared" si="64"/>
        <v>155</v>
      </c>
      <c r="AD157">
        <f t="shared" si="65"/>
        <v>172</v>
      </c>
      <c r="AE157">
        <f t="shared" si="66"/>
        <v>157</v>
      </c>
      <c r="AF157">
        <f t="shared" si="67"/>
        <v>125</v>
      </c>
      <c r="AG157">
        <f t="shared" si="68"/>
        <v>112</v>
      </c>
      <c r="AH157">
        <f t="shared" si="69"/>
        <v>99</v>
      </c>
      <c r="AI157">
        <f t="shared" si="70"/>
        <v>150</v>
      </c>
      <c r="AJ157">
        <f t="shared" si="71"/>
        <v>137</v>
      </c>
      <c r="AK157">
        <f t="shared" si="72"/>
        <v>105</v>
      </c>
      <c r="AL157">
        <f t="shared" si="73"/>
        <v>94</v>
      </c>
      <c r="AM157">
        <f t="shared" si="74"/>
        <v>81</v>
      </c>
      <c r="AN157">
        <f t="shared" si="75"/>
        <v>194</v>
      </c>
      <c r="AO157">
        <f t="shared" si="76"/>
        <v>177</v>
      </c>
      <c r="AP157">
        <f t="shared" si="77"/>
        <v>145</v>
      </c>
      <c r="AQ157">
        <f t="shared" si="78"/>
        <v>130</v>
      </c>
      <c r="AR157">
        <f t="shared" si="79"/>
        <v>117</v>
      </c>
      <c r="AS157">
        <f t="shared" si="80"/>
        <v>139</v>
      </c>
      <c r="AT157">
        <f t="shared" si="81"/>
        <v>127</v>
      </c>
      <c r="AU157">
        <f t="shared" si="82"/>
        <v>95</v>
      </c>
      <c r="AV157">
        <f t="shared" si="83"/>
        <v>85</v>
      </c>
      <c r="AW157">
        <f t="shared" si="84"/>
        <v>72</v>
      </c>
      <c r="AX157">
        <f t="shared" si="85"/>
        <v>106</v>
      </c>
      <c r="AY157">
        <f t="shared" si="86"/>
        <v>97</v>
      </c>
      <c r="AZ157">
        <f t="shared" si="87"/>
        <v>65</v>
      </c>
      <c r="BA157">
        <f t="shared" si="88"/>
        <v>58</v>
      </c>
      <c r="BB157">
        <f t="shared" si="89"/>
        <v>45</v>
      </c>
    </row>
    <row r="158" spans="1:54" x14ac:dyDescent="0.15">
      <c r="B158" t="s">
        <v>610</v>
      </c>
      <c r="C158">
        <v>104</v>
      </c>
      <c r="D158">
        <v>0</v>
      </c>
      <c r="E158" t="s">
        <v>611</v>
      </c>
      <c r="G158" t="s">
        <v>611</v>
      </c>
      <c r="J158" t="s">
        <v>612</v>
      </c>
      <c r="K158">
        <v>6.5</v>
      </c>
      <c r="L158">
        <v>0.4</v>
      </c>
      <c r="M158" t="s">
        <v>196</v>
      </c>
      <c r="O158" t="s">
        <v>434</v>
      </c>
      <c r="P158" t="s">
        <v>166</v>
      </c>
      <c r="Q158" t="s">
        <v>613</v>
      </c>
      <c r="R158">
        <v>8</v>
      </c>
      <c r="S158">
        <v>50</v>
      </c>
      <c r="T158">
        <v>50</v>
      </c>
      <c r="U158">
        <v>95</v>
      </c>
      <c r="V158">
        <v>40</v>
      </c>
      <c r="W158">
        <v>50</v>
      </c>
      <c r="X158">
        <v>35</v>
      </c>
      <c r="Y158">
        <f t="shared" si="60"/>
        <v>157</v>
      </c>
      <c r="Z158">
        <f t="shared" si="61"/>
        <v>157</v>
      </c>
      <c r="AA158">
        <f t="shared" si="62"/>
        <v>125</v>
      </c>
      <c r="AB158">
        <f t="shared" si="63"/>
        <v>125</v>
      </c>
      <c r="AC158">
        <f t="shared" si="64"/>
        <v>110</v>
      </c>
      <c r="AD158">
        <f t="shared" si="65"/>
        <v>112</v>
      </c>
      <c r="AE158">
        <f t="shared" si="66"/>
        <v>102</v>
      </c>
      <c r="AF158">
        <f t="shared" si="67"/>
        <v>70</v>
      </c>
      <c r="AG158">
        <f t="shared" si="68"/>
        <v>63</v>
      </c>
      <c r="AH158">
        <f t="shared" si="69"/>
        <v>49</v>
      </c>
      <c r="AI158">
        <f t="shared" si="70"/>
        <v>161</v>
      </c>
      <c r="AJ158">
        <f t="shared" si="71"/>
        <v>147</v>
      </c>
      <c r="AK158">
        <f t="shared" si="72"/>
        <v>115</v>
      </c>
      <c r="AL158">
        <f t="shared" si="73"/>
        <v>103</v>
      </c>
      <c r="AM158">
        <f t="shared" si="74"/>
        <v>90</v>
      </c>
      <c r="AN158">
        <f t="shared" si="75"/>
        <v>101</v>
      </c>
      <c r="AO158">
        <f t="shared" si="76"/>
        <v>92</v>
      </c>
      <c r="AP158">
        <f t="shared" si="77"/>
        <v>60</v>
      </c>
      <c r="AQ158">
        <f t="shared" si="78"/>
        <v>54</v>
      </c>
      <c r="AR158">
        <f t="shared" si="79"/>
        <v>40</v>
      </c>
      <c r="AS158">
        <f t="shared" si="80"/>
        <v>112</v>
      </c>
      <c r="AT158">
        <f t="shared" si="81"/>
        <v>102</v>
      </c>
      <c r="AU158">
        <f t="shared" si="82"/>
        <v>70</v>
      </c>
      <c r="AV158">
        <f t="shared" si="83"/>
        <v>63</v>
      </c>
      <c r="AW158">
        <f t="shared" si="84"/>
        <v>49</v>
      </c>
      <c r="AX158">
        <f t="shared" si="85"/>
        <v>95</v>
      </c>
      <c r="AY158">
        <f t="shared" si="86"/>
        <v>87</v>
      </c>
      <c r="AZ158">
        <f t="shared" si="87"/>
        <v>55</v>
      </c>
      <c r="BA158">
        <f t="shared" si="88"/>
        <v>49</v>
      </c>
      <c r="BB158">
        <f t="shared" si="89"/>
        <v>36</v>
      </c>
    </row>
    <row r="159" spans="1:54" x14ac:dyDescent="0.15">
      <c r="B159" t="s">
        <v>614</v>
      </c>
      <c r="C159">
        <v>105</v>
      </c>
      <c r="D159">
        <v>0</v>
      </c>
      <c r="E159" t="s">
        <v>615</v>
      </c>
      <c r="G159" t="s">
        <v>615</v>
      </c>
      <c r="J159" t="s">
        <v>616</v>
      </c>
      <c r="K159">
        <v>45</v>
      </c>
      <c r="L159">
        <v>1</v>
      </c>
      <c r="M159" t="s">
        <v>196</v>
      </c>
      <c r="O159" t="s">
        <v>434</v>
      </c>
      <c r="P159" t="s">
        <v>166</v>
      </c>
      <c r="Q159" t="s">
        <v>613</v>
      </c>
      <c r="R159">
        <v>8</v>
      </c>
      <c r="S159">
        <v>60</v>
      </c>
      <c r="T159">
        <v>80</v>
      </c>
      <c r="U159">
        <v>110</v>
      </c>
      <c r="V159">
        <v>50</v>
      </c>
      <c r="W159">
        <v>80</v>
      </c>
      <c r="X159">
        <v>45</v>
      </c>
      <c r="Y159">
        <f t="shared" si="60"/>
        <v>167</v>
      </c>
      <c r="Z159">
        <f t="shared" si="61"/>
        <v>167</v>
      </c>
      <c r="AA159">
        <f t="shared" si="62"/>
        <v>135</v>
      </c>
      <c r="AB159">
        <f t="shared" si="63"/>
        <v>135</v>
      </c>
      <c r="AC159">
        <f t="shared" si="64"/>
        <v>120</v>
      </c>
      <c r="AD159">
        <f t="shared" si="65"/>
        <v>145</v>
      </c>
      <c r="AE159">
        <f t="shared" si="66"/>
        <v>132</v>
      </c>
      <c r="AF159">
        <f t="shared" si="67"/>
        <v>100</v>
      </c>
      <c r="AG159">
        <f t="shared" si="68"/>
        <v>90</v>
      </c>
      <c r="AH159">
        <f t="shared" si="69"/>
        <v>76</v>
      </c>
      <c r="AI159">
        <f t="shared" si="70"/>
        <v>178</v>
      </c>
      <c r="AJ159">
        <f t="shared" si="71"/>
        <v>162</v>
      </c>
      <c r="AK159">
        <f t="shared" si="72"/>
        <v>130</v>
      </c>
      <c r="AL159">
        <f t="shared" si="73"/>
        <v>117</v>
      </c>
      <c r="AM159">
        <f t="shared" si="74"/>
        <v>103</v>
      </c>
      <c r="AN159">
        <f t="shared" si="75"/>
        <v>112</v>
      </c>
      <c r="AO159">
        <f t="shared" si="76"/>
        <v>102</v>
      </c>
      <c r="AP159">
        <f t="shared" si="77"/>
        <v>70</v>
      </c>
      <c r="AQ159">
        <f t="shared" si="78"/>
        <v>63</v>
      </c>
      <c r="AR159">
        <f t="shared" si="79"/>
        <v>49</v>
      </c>
      <c r="AS159">
        <f t="shared" si="80"/>
        <v>145</v>
      </c>
      <c r="AT159">
        <f t="shared" si="81"/>
        <v>132</v>
      </c>
      <c r="AU159">
        <f t="shared" si="82"/>
        <v>100</v>
      </c>
      <c r="AV159">
        <f t="shared" si="83"/>
        <v>90</v>
      </c>
      <c r="AW159">
        <f t="shared" si="84"/>
        <v>76</v>
      </c>
      <c r="AX159">
        <f t="shared" si="85"/>
        <v>106</v>
      </c>
      <c r="AY159">
        <f t="shared" si="86"/>
        <v>97</v>
      </c>
      <c r="AZ159">
        <f t="shared" si="87"/>
        <v>65</v>
      </c>
      <c r="BA159">
        <f t="shared" si="88"/>
        <v>58</v>
      </c>
      <c r="BB159">
        <f t="shared" si="89"/>
        <v>45</v>
      </c>
    </row>
    <row r="160" spans="1:54" x14ac:dyDescent="0.15">
      <c r="B160" t="s">
        <v>617</v>
      </c>
      <c r="C160">
        <v>105</v>
      </c>
      <c r="D160">
        <v>1</v>
      </c>
      <c r="E160" t="s">
        <v>615</v>
      </c>
      <c r="F160" t="s">
        <v>138</v>
      </c>
      <c r="G160" t="s">
        <v>618</v>
      </c>
      <c r="J160" t="s">
        <v>616</v>
      </c>
      <c r="K160">
        <v>34</v>
      </c>
      <c r="L160">
        <v>1</v>
      </c>
      <c r="M160" t="s">
        <v>47</v>
      </c>
      <c r="N160" t="s">
        <v>546</v>
      </c>
      <c r="O160" t="s">
        <v>554</v>
      </c>
      <c r="P160" t="s">
        <v>166</v>
      </c>
      <c r="Q160" t="s">
        <v>613</v>
      </c>
      <c r="R160">
        <v>8</v>
      </c>
      <c r="S160">
        <v>60</v>
      </c>
      <c r="T160">
        <v>80</v>
      </c>
      <c r="U160">
        <v>110</v>
      </c>
      <c r="V160">
        <v>50</v>
      </c>
      <c r="W160">
        <v>80</v>
      </c>
      <c r="X160">
        <v>45</v>
      </c>
      <c r="Y160">
        <f t="shared" si="60"/>
        <v>167</v>
      </c>
      <c r="Z160">
        <f t="shared" si="61"/>
        <v>167</v>
      </c>
      <c r="AA160">
        <f t="shared" si="62"/>
        <v>135</v>
      </c>
      <c r="AB160">
        <f t="shared" si="63"/>
        <v>135</v>
      </c>
      <c r="AC160">
        <f t="shared" si="64"/>
        <v>120</v>
      </c>
      <c r="AD160">
        <f t="shared" si="65"/>
        <v>145</v>
      </c>
      <c r="AE160">
        <f t="shared" si="66"/>
        <v>132</v>
      </c>
      <c r="AF160">
        <f t="shared" si="67"/>
        <v>100</v>
      </c>
      <c r="AG160">
        <f t="shared" si="68"/>
        <v>90</v>
      </c>
      <c r="AH160">
        <f t="shared" si="69"/>
        <v>76</v>
      </c>
      <c r="AI160">
        <f t="shared" si="70"/>
        <v>178</v>
      </c>
      <c r="AJ160">
        <f t="shared" si="71"/>
        <v>162</v>
      </c>
      <c r="AK160">
        <f t="shared" si="72"/>
        <v>130</v>
      </c>
      <c r="AL160">
        <f t="shared" si="73"/>
        <v>117</v>
      </c>
      <c r="AM160">
        <f t="shared" si="74"/>
        <v>103</v>
      </c>
      <c r="AN160">
        <f t="shared" si="75"/>
        <v>112</v>
      </c>
      <c r="AO160">
        <f t="shared" si="76"/>
        <v>102</v>
      </c>
      <c r="AP160">
        <f t="shared" si="77"/>
        <v>70</v>
      </c>
      <c r="AQ160">
        <f t="shared" si="78"/>
        <v>63</v>
      </c>
      <c r="AR160">
        <f t="shared" si="79"/>
        <v>49</v>
      </c>
      <c r="AS160">
        <f t="shared" si="80"/>
        <v>145</v>
      </c>
      <c r="AT160">
        <f t="shared" si="81"/>
        <v>132</v>
      </c>
      <c r="AU160">
        <f t="shared" si="82"/>
        <v>100</v>
      </c>
      <c r="AV160">
        <f t="shared" si="83"/>
        <v>90</v>
      </c>
      <c r="AW160">
        <f t="shared" si="84"/>
        <v>76</v>
      </c>
      <c r="AX160">
        <f t="shared" si="85"/>
        <v>106</v>
      </c>
      <c r="AY160">
        <f t="shared" si="86"/>
        <v>97</v>
      </c>
      <c r="AZ160">
        <f t="shared" si="87"/>
        <v>65</v>
      </c>
      <c r="BA160">
        <f t="shared" si="88"/>
        <v>58</v>
      </c>
      <c r="BB160">
        <f t="shared" si="89"/>
        <v>45</v>
      </c>
    </row>
    <row r="161" spans="1:54" x14ac:dyDescent="0.15">
      <c r="A161">
        <v>102</v>
      </c>
      <c r="B161" t="s">
        <v>619</v>
      </c>
      <c r="C161">
        <v>106</v>
      </c>
      <c r="D161">
        <v>0</v>
      </c>
      <c r="E161" t="s">
        <v>620</v>
      </c>
      <c r="G161" t="s">
        <v>620</v>
      </c>
      <c r="H161" t="s">
        <v>621</v>
      </c>
      <c r="J161" t="s">
        <v>622</v>
      </c>
      <c r="K161">
        <v>49.8</v>
      </c>
      <c r="L161">
        <v>1.5</v>
      </c>
      <c r="M161" t="s">
        <v>354</v>
      </c>
      <c r="O161" t="s">
        <v>336</v>
      </c>
      <c r="P161" t="s">
        <v>623</v>
      </c>
      <c r="Q161" t="s">
        <v>624</v>
      </c>
      <c r="R161">
        <v>9</v>
      </c>
      <c r="S161">
        <v>50</v>
      </c>
      <c r="T161">
        <v>120</v>
      </c>
      <c r="U161">
        <v>53</v>
      </c>
      <c r="V161">
        <v>35</v>
      </c>
      <c r="W161">
        <v>110</v>
      </c>
      <c r="X161">
        <v>87</v>
      </c>
      <c r="Y161">
        <f t="shared" si="60"/>
        <v>157</v>
      </c>
      <c r="Z161">
        <f t="shared" si="61"/>
        <v>157</v>
      </c>
      <c r="AA161">
        <f t="shared" si="62"/>
        <v>125</v>
      </c>
      <c r="AB161">
        <f t="shared" si="63"/>
        <v>125</v>
      </c>
      <c r="AC161">
        <f t="shared" si="64"/>
        <v>110</v>
      </c>
      <c r="AD161">
        <f t="shared" si="65"/>
        <v>189</v>
      </c>
      <c r="AE161">
        <f t="shared" si="66"/>
        <v>172</v>
      </c>
      <c r="AF161">
        <f t="shared" si="67"/>
        <v>140</v>
      </c>
      <c r="AG161">
        <f t="shared" si="68"/>
        <v>126</v>
      </c>
      <c r="AH161">
        <f t="shared" si="69"/>
        <v>112</v>
      </c>
      <c r="AI161">
        <f t="shared" si="70"/>
        <v>115</v>
      </c>
      <c r="AJ161">
        <f t="shared" si="71"/>
        <v>105</v>
      </c>
      <c r="AK161">
        <f t="shared" si="72"/>
        <v>73</v>
      </c>
      <c r="AL161">
        <f t="shared" si="73"/>
        <v>65</v>
      </c>
      <c r="AM161">
        <f t="shared" si="74"/>
        <v>52</v>
      </c>
      <c r="AN161">
        <f t="shared" si="75"/>
        <v>95</v>
      </c>
      <c r="AO161">
        <f t="shared" si="76"/>
        <v>87</v>
      </c>
      <c r="AP161">
        <f t="shared" si="77"/>
        <v>55</v>
      </c>
      <c r="AQ161">
        <f t="shared" si="78"/>
        <v>49</v>
      </c>
      <c r="AR161">
        <f t="shared" si="79"/>
        <v>36</v>
      </c>
      <c r="AS161">
        <f t="shared" si="80"/>
        <v>178</v>
      </c>
      <c r="AT161">
        <f t="shared" si="81"/>
        <v>162</v>
      </c>
      <c r="AU161">
        <f t="shared" si="82"/>
        <v>130</v>
      </c>
      <c r="AV161">
        <f t="shared" si="83"/>
        <v>117</v>
      </c>
      <c r="AW161">
        <f t="shared" si="84"/>
        <v>103</v>
      </c>
      <c r="AX161">
        <f t="shared" si="85"/>
        <v>152</v>
      </c>
      <c r="AY161">
        <f t="shared" si="86"/>
        <v>139</v>
      </c>
      <c r="AZ161">
        <f t="shared" si="87"/>
        <v>107</v>
      </c>
      <c r="BA161">
        <f t="shared" si="88"/>
        <v>96</v>
      </c>
      <c r="BB161">
        <f t="shared" si="89"/>
        <v>82</v>
      </c>
    </row>
    <row r="162" spans="1:54" x14ac:dyDescent="0.15">
      <c r="A162">
        <v>103</v>
      </c>
      <c r="B162" t="s">
        <v>625</v>
      </c>
      <c r="C162">
        <v>107</v>
      </c>
      <c r="D162">
        <v>0</v>
      </c>
      <c r="E162" t="s">
        <v>626</v>
      </c>
      <c r="G162" t="s">
        <v>626</v>
      </c>
      <c r="H162" t="s">
        <v>627</v>
      </c>
      <c r="J162" t="s">
        <v>628</v>
      </c>
      <c r="K162">
        <v>50.2</v>
      </c>
      <c r="L162">
        <v>1.4</v>
      </c>
      <c r="M162" t="s">
        <v>354</v>
      </c>
      <c r="O162" t="s">
        <v>121</v>
      </c>
      <c r="P162" t="s">
        <v>629</v>
      </c>
      <c r="Q162" t="s">
        <v>268</v>
      </c>
      <c r="R162">
        <v>9</v>
      </c>
      <c r="S162">
        <v>50</v>
      </c>
      <c r="T162">
        <v>105</v>
      </c>
      <c r="U162">
        <v>79</v>
      </c>
      <c r="V162">
        <v>35</v>
      </c>
      <c r="W162">
        <v>110</v>
      </c>
      <c r="X162">
        <v>76</v>
      </c>
      <c r="Y162">
        <f t="shared" si="60"/>
        <v>157</v>
      </c>
      <c r="Z162">
        <f t="shared" si="61"/>
        <v>157</v>
      </c>
      <c r="AA162">
        <f t="shared" si="62"/>
        <v>125</v>
      </c>
      <c r="AB162">
        <f t="shared" si="63"/>
        <v>125</v>
      </c>
      <c r="AC162">
        <f t="shared" si="64"/>
        <v>110</v>
      </c>
      <c r="AD162">
        <f t="shared" si="65"/>
        <v>172</v>
      </c>
      <c r="AE162">
        <f t="shared" si="66"/>
        <v>157</v>
      </c>
      <c r="AF162">
        <f t="shared" si="67"/>
        <v>125</v>
      </c>
      <c r="AG162">
        <f t="shared" si="68"/>
        <v>112</v>
      </c>
      <c r="AH162">
        <f t="shared" si="69"/>
        <v>99</v>
      </c>
      <c r="AI162">
        <f t="shared" si="70"/>
        <v>144</v>
      </c>
      <c r="AJ162">
        <f t="shared" si="71"/>
        <v>131</v>
      </c>
      <c r="AK162">
        <f t="shared" si="72"/>
        <v>99</v>
      </c>
      <c r="AL162">
        <f t="shared" si="73"/>
        <v>89</v>
      </c>
      <c r="AM162">
        <f t="shared" si="74"/>
        <v>75</v>
      </c>
      <c r="AN162">
        <f t="shared" si="75"/>
        <v>95</v>
      </c>
      <c r="AO162">
        <f t="shared" si="76"/>
        <v>87</v>
      </c>
      <c r="AP162">
        <f t="shared" si="77"/>
        <v>55</v>
      </c>
      <c r="AQ162">
        <f t="shared" si="78"/>
        <v>49</v>
      </c>
      <c r="AR162">
        <f t="shared" si="79"/>
        <v>36</v>
      </c>
      <c r="AS162">
        <f t="shared" si="80"/>
        <v>178</v>
      </c>
      <c r="AT162">
        <f t="shared" si="81"/>
        <v>162</v>
      </c>
      <c r="AU162">
        <f t="shared" si="82"/>
        <v>130</v>
      </c>
      <c r="AV162">
        <f t="shared" si="83"/>
        <v>117</v>
      </c>
      <c r="AW162">
        <f t="shared" si="84"/>
        <v>103</v>
      </c>
      <c r="AX162">
        <f t="shared" si="85"/>
        <v>140</v>
      </c>
      <c r="AY162">
        <f t="shared" si="86"/>
        <v>128</v>
      </c>
      <c r="AZ162">
        <f t="shared" si="87"/>
        <v>96</v>
      </c>
      <c r="BA162">
        <f t="shared" si="88"/>
        <v>86</v>
      </c>
      <c r="BB162">
        <f t="shared" si="89"/>
        <v>72</v>
      </c>
    </row>
    <row r="163" spans="1:54" x14ac:dyDescent="0.15">
      <c r="B163" t="s">
        <v>630</v>
      </c>
      <c r="C163">
        <v>108</v>
      </c>
      <c r="D163">
        <v>0</v>
      </c>
      <c r="E163" t="s">
        <v>631</v>
      </c>
      <c r="G163" t="s">
        <v>631</v>
      </c>
      <c r="J163" t="s">
        <v>632</v>
      </c>
      <c r="K163">
        <v>65.5</v>
      </c>
      <c r="L163">
        <v>1.2</v>
      </c>
      <c r="M163" t="s">
        <v>120</v>
      </c>
      <c r="O163" t="s">
        <v>470</v>
      </c>
      <c r="P163" t="s">
        <v>469</v>
      </c>
      <c r="Q163" t="s">
        <v>345</v>
      </c>
      <c r="R163">
        <v>8</v>
      </c>
      <c r="S163">
        <v>90</v>
      </c>
      <c r="T163">
        <v>55</v>
      </c>
      <c r="U163">
        <v>75</v>
      </c>
      <c r="V163">
        <v>60</v>
      </c>
      <c r="W163">
        <v>75</v>
      </c>
      <c r="X163">
        <v>30</v>
      </c>
      <c r="Y163">
        <f t="shared" si="60"/>
        <v>197</v>
      </c>
      <c r="Z163">
        <f t="shared" si="61"/>
        <v>197</v>
      </c>
      <c r="AA163">
        <f t="shared" si="62"/>
        <v>165</v>
      </c>
      <c r="AB163">
        <f t="shared" si="63"/>
        <v>165</v>
      </c>
      <c r="AC163">
        <f t="shared" si="64"/>
        <v>150</v>
      </c>
      <c r="AD163">
        <f t="shared" si="65"/>
        <v>117</v>
      </c>
      <c r="AE163">
        <f t="shared" si="66"/>
        <v>107</v>
      </c>
      <c r="AF163">
        <f t="shared" si="67"/>
        <v>75</v>
      </c>
      <c r="AG163">
        <f t="shared" si="68"/>
        <v>67</v>
      </c>
      <c r="AH163">
        <f t="shared" si="69"/>
        <v>54</v>
      </c>
      <c r="AI163">
        <f t="shared" si="70"/>
        <v>139</v>
      </c>
      <c r="AJ163">
        <f t="shared" si="71"/>
        <v>127</v>
      </c>
      <c r="AK163">
        <f t="shared" si="72"/>
        <v>95</v>
      </c>
      <c r="AL163">
        <f t="shared" si="73"/>
        <v>85</v>
      </c>
      <c r="AM163">
        <f t="shared" si="74"/>
        <v>72</v>
      </c>
      <c r="AN163">
        <f t="shared" si="75"/>
        <v>123</v>
      </c>
      <c r="AO163">
        <f t="shared" si="76"/>
        <v>112</v>
      </c>
      <c r="AP163">
        <f t="shared" si="77"/>
        <v>80</v>
      </c>
      <c r="AQ163">
        <f t="shared" si="78"/>
        <v>72</v>
      </c>
      <c r="AR163">
        <f t="shared" si="79"/>
        <v>58</v>
      </c>
      <c r="AS163">
        <f t="shared" si="80"/>
        <v>139</v>
      </c>
      <c r="AT163">
        <f t="shared" si="81"/>
        <v>127</v>
      </c>
      <c r="AU163">
        <f t="shared" si="82"/>
        <v>95</v>
      </c>
      <c r="AV163">
        <f t="shared" si="83"/>
        <v>85</v>
      </c>
      <c r="AW163">
        <f t="shared" si="84"/>
        <v>72</v>
      </c>
      <c r="AX163">
        <f t="shared" si="85"/>
        <v>90</v>
      </c>
      <c r="AY163">
        <f t="shared" si="86"/>
        <v>82</v>
      </c>
      <c r="AZ163">
        <f t="shared" si="87"/>
        <v>50</v>
      </c>
      <c r="BA163">
        <f t="shared" si="88"/>
        <v>45</v>
      </c>
      <c r="BB163">
        <f t="shared" si="89"/>
        <v>31</v>
      </c>
    </row>
    <row r="164" spans="1:54" x14ac:dyDescent="0.15">
      <c r="A164">
        <v>104</v>
      </c>
      <c r="B164" t="s">
        <v>633</v>
      </c>
      <c r="C164">
        <v>109</v>
      </c>
      <c r="D164">
        <v>0</v>
      </c>
      <c r="E164" t="s">
        <v>634</v>
      </c>
      <c r="G164" t="s">
        <v>634</v>
      </c>
      <c r="H164" t="s">
        <v>635</v>
      </c>
      <c r="J164" t="s">
        <v>636</v>
      </c>
      <c r="K164">
        <v>1</v>
      </c>
      <c r="L164">
        <v>0.6</v>
      </c>
      <c r="M164" t="s">
        <v>27</v>
      </c>
      <c r="O164" t="s">
        <v>547</v>
      </c>
      <c r="P164" t="s">
        <v>637</v>
      </c>
      <c r="Q164" t="s">
        <v>279</v>
      </c>
      <c r="R164">
        <v>9</v>
      </c>
      <c r="S164">
        <v>40</v>
      </c>
      <c r="T164">
        <v>65</v>
      </c>
      <c r="U164">
        <v>95</v>
      </c>
      <c r="V164">
        <v>60</v>
      </c>
      <c r="W164">
        <v>45</v>
      </c>
      <c r="X164">
        <v>35</v>
      </c>
      <c r="Y164">
        <f t="shared" si="60"/>
        <v>147</v>
      </c>
      <c r="Z164">
        <f t="shared" si="61"/>
        <v>147</v>
      </c>
      <c r="AA164">
        <f t="shared" si="62"/>
        <v>115</v>
      </c>
      <c r="AB164">
        <f t="shared" si="63"/>
        <v>115</v>
      </c>
      <c r="AC164">
        <f t="shared" si="64"/>
        <v>100</v>
      </c>
      <c r="AD164">
        <f t="shared" si="65"/>
        <v>128</v>
      </c>
      <c r="AE164">
        <f t="shared" si="66"/>
        <v>117</v>
      </c>
      <c r="AF164">
        <f t="shared" si="67"/>
        <v>85</v>
      </c>
      <c r="AG164">
        <f t="shared" si="68"/>
        <v>76</v>
      </c>
      <c r="AH164">
        <f t="shared" si="69"/>
        <v>63</v>
      </c>
      <c r="AI164">
        <f t="shared" si="70"/>
        <v>161</v>
      </c>
      <c r="AJ164">
        <f t="shared" si="71"/>
        <v>147</v>
      </c>
      <c r="AK164">
        <f t="shared" si="72"/>
        <v>115</v>
      </c>
      <c r="AL164">
        <f t="shared" si="73"/>
        <v>103</v>
      </c>
      <c r="AM164">
        <f t="shared" si="74"/>
        <v>90</v>
      </c>
      <c r="AN164">
        <f t="shared" si="75"/>
        <v>123</v>
      </c>
      <c r="AO164">
        <f t="shared" si="76"/>
        <v>112</v>
      </c>
      <c r="AP164">
        <f t="shared" si="77"/>
        <v>80</v>
      </c>
      <c r="AQ164">
        <f t="shared" si="78"/>
        <v>72</v>
      </c>
      <c r="AR164">
        <f t="shared" si="79"/>
        <v>58</v>
      </c>
      <c r="AS164">
        <f t="shared" si="80"/>
        <v>106</v>
      </c>
      <c r="AT164">
        <f t="shared" si="81"/>
        <v>97</v>
      </c>
      <c r="AU164">
        <f t="shared" si="82"/>
        <v>65</v>
      </c>
      <c r="AV164">
        <f t="shared" si="83"/>
        <v>58</v>
      </c>
      <c r="AW164">
        <f t="shared" si="84"/>
        <v>45</v>
      </c>
      <c r="AX164">
        <f t="shared" si="85"/>
        <v>95</v>
      </c>
      <c r="AY164">
        <f t="shared" si="86"/>
        <v>87</v>
      </c>
      <c r="AZ164">
        <f t="shared" si="87"/>
        <v>55</v>
      </c>
      <c r="BA164">
        <f t="shared" si="88"/>
        <v>49</v>
      </c>
      <c r="BB164">
        <f t="shared" si="89"/>
        <v>36</v>
      </c>
    </row>
    <row r="165" spans="1:54" x14ac:dyDescent="0.15">
      <c r="A165">
        <v>105</v>
      </c>
      <c r="B165" t="s">
        <v>638</v>
      </c>
      <c r="C165">
        <v>110</v>
      </c>
      <c r="D165">
        <v>0</v>
      </c>
      <c r="E165" t="s">
        <v>639</v>
      </c>
      <c r="G165" t="s">
        <v>639</v>
      </c>
      <c r="H165" t="s">
        <v>640</v>
      </c>
      <c r="J165" t="s">
        <v>636</v>
      </c>
      <c r="K165">
        <v>9.5</v>
      </c>
      <c r="L165">
        <v>1.2</v>
      </c>
      <c r="M165" t="s">
        <v>27</v>
      </c>
      <c r="O165" t="s">
        <v>547</v>
      </c>
      <c r="P165" t="s">
        <v>637</v>
      </c>
      <c r="Q165" t="s">
        <v>279</v>
      </c>
      <c r="R165">
        <v>9</v>
      </c>
      <c r="S165">
        <v>65</v>
      </c>
      <c r="T165">
        <v>90</v>
      </c>
      <c r="U165">
        <v>120</v>
      </c>
      <c r="V165">
        <v>85</v>
      </c>
      <c r="W165">
        <v>70</v>
      </c>
      <c r="X165">
        <v>60</v>
      </c>
      <c r="Y165">
        <f t="shared" si="60"/>
        <v>172</v>
      </c>
      <c r="Z165">
        <f t="shared" si="61"/>
        <v>172</v>
      </c>
      <c r="AA165">
        <f t="shared" si="62"/>
        <v>140</v>
      </c>
      <c r="AB165">
        <f t="shared" si="63"/>
        <v>140</v>
      </c>
      <c r="AC165">
        <f t="shared" si="64"/>
        <v>125</v>
      </c>
      <c r="AD165">
        <f t="shared" si="65"/>
        <v>156</v>
      </c>
      <c r="AE165">
        <f t="shared" si="66"/>
        <v>142</v>
      </c>
      <c r="AF165">
        <f t="shared" si="67"/>
        <v>110</v>
      </c>
      <c r="AG165">
        <f t="shared" si="68"/>
        <v>99</v>
      </c>
      <c r="AH165">
        <f t="shared" si="69"/>
        <v>85</v>
      </c>
      <c r="AI165">
        <f t="shared" si="70"/>
        <v>189</v>
      </c>
      <c r="AJ165">
        <f t="shared" si="71"/>
        <v>172</v>
      </c>
      <c r="AK165">
        <f t="shared" si="72"/>
        <v>140</v>
      </c>
      <c r="AL165">
        <f t="shared" si="73"/>
        <v>126</v>
      </c>
      <c r="AM165">
        <f t="shared" si="74"/>
        <v>112</v>
      </c>
      <c r="AN165">
        <f t="shared" si="75"/>
        <v>150</v>
      </c>
      <c r="AO165">
        <f t="shared" si="76"/>
        <v>137</v>
      </c>
      <c r="AP165">
        <f t="shared" si="77"/>
        <v>105</v>
      </c>
      <c r="AQ165">
        <f t="shared" si="78"/>
        <v>94</v>
      </c>
      <c r="AR165">
        <f t="shared" si="79"/>
        <v>81</v>
      </c>
      <c r="AS165">
        <f t="shared" si="80"/>
        <v>134</v>
      </c>
      <c r="AT165">
        <f t="shared" si="81"/>
        <v>122</v>
      </c>
      <c r="AU165">
        <f t="shared" si="82"/>
        <v>90</v>
      </c>
      <c r="AV165">
        <f t="shared" si="83"/>
        <v>81</v>
      </c>
      <c r="AW165">
        <f t="shared" si="84"/>
        <v>67</v>
      </c>
      <c r="AX165">
        <f t="shared" si="85"/>
        <v>123</v>
      </c>
      <c r="AY165">
        <f t="shared" si="86"/>
        <v>112</v>
      </c>
      <c r="AZ165">
        <f t="shared" si="87"/>
        <v>80</v>
      </c>
      <c r="BA165">
        <f t="shared" si="88"/>
        <v>72</v>
      </c>
      <c r="BB165">
        <f t="shared" si="89"/>
        <v>58</v>
      </c>
    </row>
    <row r="166" spans="1:54" x14ac:dyDescent="0.15">
      <c r="A166">
        <v>106</v>
      </c>
      <c r="B166" t="s">
        <v>641</v>
      </c>
      <c r="C166">
        <v>110</v>
      </c>
      <c r="D166">
        <v>1</v>
      </c>
      <c r="E166" t="s">
        <v>639</v>
      </c>
      <c r="F166" t="s">
        <v>327</v>
      </c>
      <c r="G166" t="s">
        <v>642</v>
      </c>
      <c r="H166" t="s">
        <v>643</v>
      </c>
      <c r="J166" t="s">
        <v>636</v>
      </c>
      <c r="K166">
        <v>16</v>
      </c>
      <c r="L166">
        <v>3</v>
      </c>
      <c r="M166" t="s">
        <v>27</v>
      </c>
      <c r="N166" t="s">
        <v>233</v>
      </c>
      <c r="O166" t="s">
        <v>547</v>
      </c>
      <c r="P166" t="s">
        <v>637</v>
      </c>
      <c r="Q166" t="s">
        <v>279</v>
      </c>
      <c r="R166">
        <v>9</v>
      </c>
      <c r="S166">
        <v>65</v>
      </c>
      <c r="T166">
        <v>90</v>
      </c>
      <c r="U166">
        <v>120</v>
      </c>
      <c r="V166">
        <v>85</v>
      </c>
      <c r="W166">
        <v>70</v>
      </c>
      <c r="X166">
        <v>60</v>
      </c>
      <c r="Y166">
        <f t="shared" si="60"/>
        <v>172</v>
      </c>
      <c r="Z166">
        <f t="shared" si="61"/>
        <v>172</v>
      </c>
      <c r="AA166">
        <f t="shared" si="62"/>
        <v>140</v>
      </c>
      <c r="AB166">
        <f t="shared" si="63"/>
        <v>140</v>
      </c>
      <c r="AC166">
        <f t="shared" si="64"/>
        <v>125</v>
      </c>
      <c r="AD166">
        <f t="shared" si="65"/>
        <v>156</v>
      </c>
      <c r="AE166">
        <f t="shared" si="66"/>
        <v>142</v>
      </c>
      <c r="AF166">
        <f t="shared" si="67"/>
        <v>110</v>
      </c>
      <c r="AG166">
        <f t="shared" si="68"/>
        <v>99</v>
      </c>
      <c r="AH166">
        <f t="shared" si="69"/>
        <v>85</v>
      </c>
      <c r="AI166">
        <f t="shared" si="70"/>
        <v>189</v>
      </c>
      <c r="AJ166">
        <f t="shared" si="71"/>
        <v>172</v>
      </c>
      <c r="AK166">
        <f t="shared" si="72"/>
        <v>140</v>
      </c>
      <c r="AL166">
        <f t="shared" si="73"/>
        <v>126</v>
      </c>
      <c r="AM166">
        <f t="shared" si="74"/>
        <v>112</v>
      </c>
      <c r="AN166">
        <f t="shared" si="75"/>
        <v>150</v>
      </c>
      <c r="AO166">
        <f t="shared" si="76"/>
        <v>137</v>
      </c>
      <c r="AP166">
        <f t="shared" si="77"/>
        <v>105</v>
      </c>
      <c r="AQ166">
        <f t="shared" si="78"/>
        <v>94</v>
      </c>
      <c r="AR166">
        <f t="shared" si="79"/>
        <v>81</v>
      </c>
      <c r="AS166">
        <f t="shared" si="80"/>
        <v>134</v>
      </c>
      <c r="AT166">
        <f t="shared" si="81"/>
        <v>122</v>
      </c>
      <c r="AU166">
        <f t="shared" si="82"/>
        <v>90</v>
      </c>
      <c r="AV166">
        <f t="shared" si="83"/>
        <v>81</v>
      </c>
      <c r="AW166">
        <f t="shared" si="84"/>
        <v>67</v>
      </c>
      <c r="AX166">
        <f t="shared" si="85"/>
        <v>123</v>
      </c>
      <c r="AY166">
        <f t="shared" si="86"/>
        <v>112</v>
      </c>
      <c r="AZ166">
        <f t="shared" si="87"/>
        <v>80</v>
      </c>
      <c r="BA166">
        <f t="shared" si="88"/>
        <v>72</v>
      </c>
      <c r="BB166">
        <f t="shared" si="89"/>
        <v>58</v>
      </c>
    </row>
    <row r="167" spans="1:54" x14ac:dyDescent="0.15">
      <c r="A167">
        <v>107</v>
      </c>
      <c r="B167" t="s">
        <v>644</v>
      </c>
      <c r="C167">
        <v>111</v>
      </c>
      <c r="D167">
        <v>0</v>
      </c>
      <c r="E167" t="s">
        <v>645</v>
      </c>
      <c r="G167" t="s">
        <v>645</v>
      </c>
      <c r="H167" t="s">
        <v>646</v>
      </c>
      <c r="J167" t="s">
        <v>647</v>
      </c>
      <c r="K167">
        <v>115</v>
      </c>
      <c r="L167">
        <v>1</v>
      </c>
      <c r="M167" t="s">
        <v>196</v>
      </c>
      <c r="N167" t="s">
        <v>371</v>
      </c>
      <c r="O167" t="s">
        <v>166</v>
      </c>
      <c r="P167" t="s">
        <v>434</v>
      </c>
      <c r="Q167" t="s">
        <v>623</v>
      </c>
      <c r="R167">
        <v>9</v>
      </c>
      <c r="S167">
        <v>80</v>
      </c>
      <c r="T167">
        <v>85</v>
      </c>
      <c r="U167">
        <v>95</v>
      </c>
      <c r="V167">
        <v>30</v>
      </c>
      <c r="W167">
        <v>30</v>
      </c>
      <c r="X167">
        <v>25</v>
      </c>
      <c r="Y167">
        <f t="shared" si="60"/>
        <v>187</v>
      </c>
      <c r="Z167">
        <f t="shared" si="61"/>
        <v>187</v>
      </c>
      <c r="AA167">
        <f t="shared" si="62"/>
        <v>155</v>
      </c>
      <c r="AB167">
        <f t="shared" si="63"/>
        <v>155</v>
      </c>
      <c r="AC167">
        <f t="shared" si="64"/>
        <v>140</v>
      </c>
      <c r="AD167">
        <f t="shared" si="65"/>
        <v>150</v>
      </c>
      <c r="AE167">
        <f t="shared" si="66"/>
        <v>137</v>
      </c>
      <c r="AF167">
        <f t="shared" si="67"/>
        <v>105</v>
      </c>
      <c r="AG167">
        <f t="shared" si="68"/>
        <v>94</v>
      </c>
      <c r="AH167">
        <f t="shared" si="69"/>
        <v>81</v>
      </c>
      <c r="AI167">
        <f t="shared" si="70"/>
        <v>161</v>
      </c>
      <c r="AJ167">
        <f t="shared" si="71"/>
        <v>147</v>
      </c>
      <c r="AK167">
        <f t="shared" si="72"/>
        <v>115</v>
      </c>
      <c r="AL167">
        <f t="shared" si="73"/>
        <v>103</v>
      </c>
      <c r="AM167">
        <f t="shared" si="74"/>
        <v>90</v>
      </c>
      <c r="AN167">
        <f t="shared" si="75"/>
        <v>90</v>
      </c>
      <c r="AO167">
        <f t="shared" si="76"/>
        <v>82</v>
      </c>
      <c r="AP167">
        <f t="shared" si="77"/>
        <v>50</v>
      </c>
      <c r="AQ167">
        <f t="shared" si="78"/>
        <v>45</v>
      </c>
      <c r="AR167">
        <f t="shared" si="79"/>
        <v>31</v>
      </c>
      <c r="AS167">
        <f t="shared" si="80"/>
        <v>90</v>
      </c>
      <c r="AT167">
        <f t="shared" si="81"/>
        <v>82</v>
      </c>
      <c r="AU167">
        <f t="shared" si="82"/>
        <v>50</v>
      </c>
      <c r="AV167">
        <f t="shared" si="83"/>
        <v>45</v>
      </c>
      <c r="AW167">
        <f t="shared" si="84"/>
        <v>31</v>
      </c>
      <c r="AX167">
        <f t="shared" si="85"/>
        <v>84</v>
      </c>
      <c r="AY167">
        <f t="shared" si="86"/>
        <v>77</v>
      </c>
      <c r="AZ167">
        <f t="shared" si="87"/>
        <v>45</v>
      </c>
      <c r="BA167">
        <f t="shared" si="88"/>
        <v>40</v>
      </c>
      <c r="BB167">
        <f t="shared" si="89"/>
        <v>27</v>
      </c>
    </row>
    <row r="168" spans="1:54" x14ac:dyDescent="0.15">
      <c r="A168">
        <v>109</v>
      </c>
      <c r="B168" t="s">
        <v>648</v>
      </c>
      <c r="C168">
        <v>112</v>
      </c>
      <c r="D168">
        <v>0</v>
      </c>
      <c r="E168" t="s">
        <v>649</v>
      </c>
      <c r="G168" t="s">
        <v>649</v>
      </c>
      <c r="H168" t="s">
        <v>650</v>
      </c>
      <c r="J168" t="s">
        <v>221</v>
      </c>
      <c r="K168">
        <v>120</v>
      </c>
      <c r="L168">
        <v>1.9</v>
      </c>
      <c r="M168" t="s">
        <v>196</v>
      </c>
      <c r="N168" t="s">
        <v>371</v>
      </c>
      <c r="O168" t="s">
        <v>166</v>
      </c>
      <c r="P168" t="s">
        <v>434</v>
      </c>
      <c r="Q168" t="s">
        <v>623</v>
      </c>
      <c r="R168">
        <v>9</v>
      </c>
      <c r="S168">
        <v>105</v>
      </c>
      <c r="T168">
        <v>130</v>
      </c>
      <c r="U168">
        <v>120</v>
      </c>
      <c r="V168">
        <v>45</v>
      </c>
      <c r="W168">
        <v>45</v>
      </c>
      <c r="X168">
        <v>40</v>
      </c>
      <c r="Y168">
        <f t="shared" si="60"/>
        <v>212</v>
      </c>
      <c r="Z168">
        <f t="shared" si="61"/>
        <v>212</v>
      </c>
      <c r="AA168">
        <f t="shared" si="62"/>
        <v>180</v>
      </c>
      <c r="AB168">
        <f t="shared" si="63"/>
        <v>180</v>
      </c>
      <c r="AC168">
        <f t="shared" si="64"/>
        <v>165</v>
      </c>
      <c r="AD168">
        <f t="shared" si="65"/>
        <v>200</v>
      </c>
      <c r="AE168">
        <f t="shared" si="66"/>
        <v>182</v>
      </c>
      <c r="AF168">
        <f t="shared" si="67"/>
        <v>150</v>
      </c>
      <c r="AG168">
        <f t="shared" si="68"/>
        <v>135</v>
      </c>
      <c r="AH168">
        <f t="shared" si="69"/>
        <v>121</v>
      </c>
      <c r="AI168">
        <f t="shared" si="70"/>
        <v>189</v>
      </c>
      <c r="AJ168">
        <f t="shared" si="71"/>
        <v>172</v>
      </c>
      <c r="AK168">
        <f t="shared" si="72"/>
        <v>140</v>
      </c>
      <c r="AL168">
        <f t="shared" si="73"/>
        <v>126</v>
      </c>
      <c r="AM168">
        <f t="shared" si="74"/>
        <v>112</v>
      </c>
      <c r="AN168">
        <f t="shared" si="75"/>
        <v>106</v>
      </c>
      <c r="AO168">
        <f t="shared" si="76"/>
        <v>97</v>
      </c>
      <c r="AP168">
        <f t="shared" si="77"/>
        <v>65</v>
      </c>
      <c r="AQ168">
        <f t="shared" si="78"/>
        <v>58</v>
      </c>
      <c r="AR168">
        <f t="shared" si="79"/>
        <v>45</v>
      </c>
      <c r="AS168">
        <f t="shared" si="80"/>
        <v>106</v>
      </c>
      <c r="AT168">
        <f t="shared" si="81"/>
        <v>97</v>
      </c>
      <c r="AU168">
        <f t="shared" si="82"/>
        <v>65</v>
      </c>
      <c r="AV168">
        <f t="shared" si="83"/>
        <v>58</v>
      </c>
      <c r="AW168">
        <f t="shared" si="84"/>
        <v>45</v>
      </c>
      <c r="AX168">
        <f t="shared" si="85"/>
        <v>101</v>
      </c>
      <c r="AY168">
        <f t="shared" si="86"/>
        <v>92</v>
      </c>
      <c r="AZ168">
        <f t="shared" si="87"/>
        <v>60</v>
      </c>
      <c r="BA168">
        <f t="shared" si="88"/>
        <v>54</v>
      </c>
      <c r="BB168">
        <f t="shared" si="89"/>
        <v>40</v>
      </c>
    </row>
    <row r="169" spans="1:54" x14ac:dyDescent="0.15">
      <c r="A169">
        <v>110</v>
      </c>
      <c r="B169" t="s">
        <v>651</v>
      </c>
      <c r="C169">
        <v>113</v>
      </c>
      <c r="D169">
        <v>0</v>
      </c>
      <c r="E169" t="s">
        <v>652</v>
      </c>
      <c r="G169" t="s">
        <v>652</v>
      </c>
      <c r="H169" t="s">
        <v>653</v>
      </c>
      <c r="J169" t="s">
        <v>601</v>
      </c>
      <c r="K169">
        <v>34.6</v>
      </c>
      <c r="L169">
        <v>1.1000000000000001</v>
      </c>
      <c r="M169" t="s">
        <v>120</v>
      </c>
      <c r="O169" t="s">
        <v>654</v>
      </c>
      <c r="P169" t="s">
        <v>655</v>
      </c>
      <c r="Q169" t="s">
        <v>656</v>
      </c>
      <c r="R169">
        <v>9</v>
      </c>
      <c r="S169">
        <v>250</v>
      </c>
      <c r="T169">
        <v>5</v>
      </c>
      <c r="U169">
        <v>5</v>
      </c>
      <c r="V169">
        <v>35</v>
      </c>
      <c r="W169">
        <v>105</v>
      </c>
      <c r="X169">
        <v>50</v>
      </c>
      <c r="Y169">
        <f t="shared" si="60"/>
        <v>357</v>
      </c>
      <c r="Z169">
        <f t="shared" si="61"/>
        <v>357</v>
      </c>
      <c r="AA169">
        <f t="shared" si="62"/>
        <v>325</v>
      </c>
      <c r="AB169">
        <f t="shared" si="63"/>
        <v>325</v>
      </c>
      <c r="AC169">
        <f t="shared" si="64"/>
        <v>310</v>
      </c>
      <c r="AD169">
        <f t="shared" si="65"/>
        <v>62</v>
      </c>
      <c r="AE169">
        <f t="shared" si="66"/>
        <v>57</v>
      </c>
      <c r="AF169">
        <f t="shared" si="67"/>
        <v>25</v>
      </c>
      <c r="AG169">
        <f t="shared" si="68"/>
        <v>22</v>
      </c>
      <c r="AH169">
        <f t="shared" si="69"/>
        <v>9</v>
      </c>
      <c r="AI169">
        <f t="shared" si="70"/>
        <v>62</v>
      </c>
      <c r="AJ169">
        <f t="shared" si="71"/>
        <v>57</v>
      </c>
      <c r="AK169">
        <f t="shared" si="72"/>
        <v>25</v>
      </c>
      <c r="AL169">
        <f t="shared" si="73"/>
        <v>22</v>
      </c>
      <c r="AM169">
        <f t="shared" si="74"/>
        <v>9</v>
      </c>
      <c r="AN169">
        <f t="shared" si="75"/>
        <v>95</v>
      </c>
      <c r="AO169">
        <f t="shared" si="76"/>
        <v>87</v>
      </c>
      <c r="AP169">
        <f t="shared" si="77"/>
        <v>55</v>
      </c>
      <c r="AQ169">
        <f t="shared" si="78"/>
        <v>49</v>
      </c>
      <c r="AR169">
        <f t="shared" si="79"/>
        <v>36</v>
      </c>
      <c r="AS169">
        <f t="shared" si="80"/>
        <v>172</v>
      </c>
      <c r="AT169">
        <f t="shared" si="81"/>
        <v>157</v>
      </c>
      <c r="AU169">
        <f t="shared" si="82"/>
        <v>125</v>
      </c>
      <c r="AV169">
        <f t="shared" si="83"/>
        <v>112</v>
      </c>
      <c r="AW169">
        <f t="shared" si="84"/>
        <v>99</v>
      </c>
      <c r="AX169">
        <f t="shared" si="85"/>
        <v>112</v>
      </c>
      <c r="AY169">
        <f t="shared" si="86"/>
        <v>102</v>
      </c>
      <c r="AZ169">
        <f t="shared" si="87"/>
        <v>70</v>
      </c>
      <c r="BA169">
        <f t="shared" si="88"/>
        <v>63</v>
      </c>
      <c r="BB169">
        <f t="shared" si="89"/>
        <v>49</v>
      </c>
    </row>
    <row r="170" spans="1:54" x14ac:dyDescent="0.15">
      <c r="B170" t="s">
        <v>657</v>
      </c>
      <c r="C170">
        <v>114</v>
      </c>
      <c r="D170">
        <v>0</v>
      </c>
      <c r="E170" t="s">
        <v>658</v>
      </c>
      <c r="G170" t="s">
        <v>658</v>
      </c>
      <c r="J170" t="s">
        <v>659</v>
      </c>
      <c r="K170">
        <v>35</v>
      </c>
      <c r="L170">
        <v>1</v>
      </c>
      <c r="M170" t="s">
        <v>26</v>
      </c>
      <c r="O170" t="s">
        <v>29</v>
      </c>
      <c r="P170" t="s">
        <v>660</v>
      </c>
      <c r="Q170" t="s">
        <v>471</v>
      </c>
      <c r="R170">
        <v>8</v>
      </c>
      <c r="S170">
        <v>65</v>
      </c>
      <c r="T170">
        <v>55</v>
      </c>
      <c r="U170">
        <v>115</v>
      </c>
      <c r="V170">
        <v>100</v>
      </c>
      <c r="W170">
        <v>40</v>
      </c>
      <c r="X170">
        <v>60</v>
      </c>
      <c r="Y170">
        <f t="shared" si="60"/>
        <v>172</v>
      </c>
      <c r="Z170">
        <f t="shared" si="61"/>
        <v>172</v>
      </c>
      <c r="AA170">
        <f t="shared" si="62"/>
        <v>140</v>
      </c>
      <c r="AB170">
        <f t="shared" si="63"/>
        <v>140</v>
      </c>
      <c r="AC170">
        <f t="shared" si="64"/>
        <v>125</v>
      </c>
      <c r="AD170">
        <f t="shared" si="65"/>
        <v>117</v>
      </c>
      <c r="AE170">
        <f t="shared" si="66"/>
        <v>107</v>
      </c>
      <c r="AF170">
        <f t="shared" si="67"/>
        <v>75</v>
      </c>
      <c r="AG170">
        <f t="shared" si="68"/>
        <v>67</v>
      </c>
      <c r="AH170">
        <f t="shared" si="69"/>
        <v>54</v>
      </c>
      <c r="AI170">
        <f t="shared" si="70"/>
        <v>183</v>
      </c>
      <c r="AJ170">
        <f t="shared" si="71"/>
        <v>167</v>
      </c>
      <c r="AK170">
        <f t="shared" si="72"/>
        <v>135</v>
      </c>
      <c r="AL170">
        <f t="shared" si="73"/>
        <v>121</v>
      </c>
      <c r="AM170">
        <f t="shared" si="74"/>
        <v>108</v>
      </c>
      <c r="AN170">
        <f t="shared" si="75"/>
        <v>167</v>
      </c>
      <c r="AO170">
        <f t="shared" si="76"/>
        <v>152</v>
      </c>
      <c r="AP170">
        <f t="shared" si="77"/>
        <v>120</v>
      </c>
      <c r="AQ170">
        <f t="shared" si="78"/>
        <v>108</v>
      </c>
      <c r="AR170">
        <f t="shared" si="79"/>
        <v>94</v>
      </c>
      <c r="AS170">
        <f t="shared" si="80"/>
        <v>101</v>
      </c>
      <c r="AT170">
        <f t="shared" si="81"/>
        <v>92</v>
      </c>
      <c r="AU170">
        <f t="shared" si="82"/>
        <v>60</v>
      </c>
      <c r="AV170">
        <f t="shared" si="83"/>
        <v>54</v>
      </c>
      <c r="AW170">
        <f t="shared" si="84"/>
        <v>40</v>
      </c>
      <c r="AX170">
        <f t="shared" si="85"/>
        <v>123</v>
      </c>
      <c r="AY170">
        <f t="shared" si="86"/>
        <v>112</v>
      </c>
      <c r="AZ170">
        <f t="shared" si="87"/>
        <v>80</v>
      </c>
      <c r="BA170">
        <f t="shared" si="88"/>
        <v>72</v>
      </c>
      <c r="BB170">
        <f t="shared" si="89"/>
        <v>58</v>
      </c>
    </row>
    <row r="171" spans="1:54" x14ac:dyDescent="0.15">
      <c r="B171" t="s">
        <v>661</v>
      </c>
      <c r="C171">
        <v>115</v>
      </c>
      <c r="D171">
        <v>0</v>
      </c>
      <c r="E171" t="s">
        <v>662</v>
      </c>
      <c r="G171" t="s">
        <v>662</v>
      </c>
      <c r="J171" t="s">
        <v>663</v>
      </c>
      <c r="K171">
        <v>80</v>
      </c>
      <c r="L171">
        <v>2.2000000000000002</v>
      </c>
      <c r="M171" t="s">
        <v>120</v>
      </c>
      <c r="O171" t="s">
        <v>504</v>
      </c>
      <c r="P171" t="s">
        <v>499</v>
      </c>
      <c r="Q171" t="s">
        <v>268</v>
      </c>
      <c r="R171">
        <v>8</v>
      </c>
      <c r="S171">
        <v>105</v>
      </c>
      <c r="T171">
        <v>95</v>
      </c>
      <c r="U171">
        <v>80</v>
      </c>
      <c r="V171">
        <v>40</v>
      </c>
      <c r="W171">
        <v>80</v>
      </c>
      <c r="X171">
        <v>90</v>
      </c>
      <c r="Y171">
        <f t="shared" si="60"/>
        <v>212</v>
      </c>
      <c r="Z171">
        <f t="shared" si="61"/>
        <v>212</v>
      </c>
      <c r="AA171">
        <f t="shared" si="62"/>
        <v>180</v>
      </c>
      <c r="AB171">
        <f t="shared" si="63"/>
        <v>180</v>
      </c>
      <c r="AC171">
        <f t="shared" si="64"/>
        <v>165</v>
      </c>
      <c r="AD171">
        <f t="shared" si="65"/>
        <v>161</v>
      </c>
      <c r="AE171">
        <f t="shared" si="66"/>
        <v>147</v>
      </c>
      <c r="AF171">
        <f t="shared" si="67"/>
        <v>115</v>
      </c>
      <c r="AG171">
        <f t="shared" si="68"/>
        <v>103</v>
      </c>
      <c r="AH171">
        <f t="shared" si="69"/>
        <v>90</v>
      </c>
      <c r="AI171">
        <f t="shared" si="70"/>
        <v>145</v>
      </c>
      <c r="AJ171">
        <f t="shared" si="71"/>
        <v>132</v>
      </c>
      <c r="AK171">
        <f t="shared" si="72"/>
        <v>100</v>
      </c>
      <c r="AL171">
        <f t="shared" si="73"/>
        <v>90</v>
      </c>
      <c r="AM171">
        <f t="shared" si="74"/>
        <v>76</v>
      </c>
      <c r="AN171">
        <f t="shared" si="75"/>
        <v>101</v>
      </c>
      <c r="AO171">
        <f t="shared" si="76"/>
        <v>92</v>
      </c>
      <c r="AP171">
        <f t="shared" si="77"/>
        <v>60</v>
      </c>
      <c r="AQ171">
        <f t="shared" si="78"/>
        <v>54</v>
      </c>
      <c r="AR171">
        <f t="shared" si="79"/>
        <v>40</v>
      </c>
      <c r="AS171">
        <f t="shared" si="80"/>
        <v>145</v>
      </c>
      <c r="AT171">
        <f t="shared" si="81"/>
        <v>132</v>
      </c>
      <c r="AU171">
        <f t="shared" si="82"/>
        <v>100</v>
      </c>
      <c r="AV171">
        <f t="shared" si="83"/>
        <v>90</v>
      </c>
      <c r="AW171">
        <f t="shared" si="84"/>
        <v>76</v>
      </c>
      <c r="AX171">
        <f t="shared" si="85"/>
        <v>156</v>
      </c>
      <c r="AY171">
        <f t="shared" si="86"/>
        <v>142</v>
      </c>
      <c r="AZ171">
        <f t="shared" si="87"/>
        <v>110</v>
      </c>
      <c r="BA171">
        <f t="shared" si="88"/>
        <v>99</v>
      </c>
      <c r="BB171">
        <f t="shared" si="89"/>
        <v>85</v>
      </c>
    </row>
    <row r="172" spans="1:54" x14ac:dyDescent="0.15">
      <c r="B172" t="s">
        <v>664</v>
      </c>
      <c r="C172">
        <v>115</v>
      </c>
      <c r="D172">
        <v>1</v>
      </c>
      <c r="E172" t="s">
        <v>662</v>
      </c>
      <c r="F172" t="s">
        <v>665</v>
      </c>
      <c r="G172" t="s">
        <v>665</v>
      </c>
      <c r="J172" t="s">
        <v>663</v>
      </c>
      <c r="K172">
        <v>100</v>
      </c>
      <c r="L172">
        <v>2.2000000000000002</v>
      </c>
      <c r="M172" t="s">
        <v>120</v>
      </c>
      <c r="O172" t="s">
        <v>666</v>
      </c>
      <c r="P172" t="s">
        <v>268</v>
      </c>
      <c r="R172">
        <v>7</v>
      </c>
      <c r="S172">
        <v>105</v>
      </c>
      <c r="T172">
        <v>95</v>
      </c>
      <c r="U172">
        <v>80</v>
      </c>
      <c r="V172">
        <v>40</v>
      </c>
      <c r="W172">
        <v>80</v>
      </c>
      <c r="X172">
        <v>90</v>
      </c>
      <c r="Y172">
        <f t="shared" si="60"/>
        <v>212</v>
      </c>
      <c r="Z172">
        <f t="shared" si="61"/>
        <v>212</v>
      </c>
      <c r="AA172">
        <f t="shared" si="62"/>
        <v>180</v>
      </c>
      <c r="AB172">
        <f t="shared" si="63"/>
        <v>180</v>
      </c>
      <c r="AC172">
        <f t="shared" si="64"/>
        <v>165</v>
      </c>
      <c r="AD172">
        <f t="shared" si="65"/>
        <v>161</v>
      </c>
      <c r="AE172">
        <f t="shared" si="66"/>
        <v>147</v>
      </c>
      <c r="AF172">
        <f t="shared" si="67"/>
        <v>115</v>
      </c>
      <c r="AG172">
        <f t="shared" si="68"/>
        <v>103</v>
      </c>
      <c r="AH172">
        <f t="shared" si="69"/>
        <v>90</v>
      </c>
      <c r="AI172">
        <f t="shared" si="70"/>
        <v>145</v>
      </c>
      <c r="AJ172">
        <f t="shared" si="71"/>
        <v>132</v>
      </c>
      <c r="AK172">
        <f t="shared" si="72"/>
        <v>100</v>
      </c>
      <c r="AL172">
        <f t="shared" si="73"/>
        <v>90</v>
      </c>
      <c r="AM172">
        <f t="shared" si="74"/>
        <v>76</v>
      </c>
      <c r="AN172">
        <f t="shared" si="75"/>
        <v>101</v>
      </c>
      <c r="AO172">
        <f t="shared" si="76"/>
        <v>92</v>
      </c>
      <c r="AP172">
        <f t="shared" si="77"/>
        <v>60</v>
      </c>
      <c r="AQ172">
        <f t="shared" si="78"/>
        <v>54</v>
      </c>
      <c r="AR172">
        <f t="shared" si="79"/>
        <v>40</v>
      </c>
      <c r="AS172">
        <f t="shared" si="80"/>
        <v>145</v>
      </c>
      <c r="AT172">
        <f t="shared" si="81"/>
        <v>132</v>
      </c>
      <c r="AU172">
        <f t="shared" si="82"/>
        <v>100</v>
      </c>
      <c r="AV172">
        <f t="shared" si="83"/>
        <v>90</v>
      </c>
      <c r="AW172">
        <f t="shared" si="84"/>
        <v>76</v>
      </c>
      <c r="AX172">
        <f t="shared" si="85"/>
        <v>156</v>
      </c>
      <c r="AY172">
        <f t="shared" si="86"/>
        <v>142</v>
      </c>
      <c r="AZ172">
        <f t="shared" si="87"/>
        <v>110</v>
      </c>
      <c r="BA172">
        <f t="shared" si="88"/>
        <v>99</v>
      </c>
      <c r="BB172">
        <f t="shared" si="89"/>
        <v>85</v>
      </c>
    </row>
    <row r="173" spans="1:54" x14ac:dyDescent="0.15">
      <c r="A173">
        <v>111</v>
      </c>
      <c r="B173" t="s">
        <v>667</v>
      </c>
      <c r="C173">
        <v>116</v>
      </c>
      <c r="D173">
        <v>0</v>
      </c>
      <c r="E173" t="s">
        <v>668</v>
      </c>
      <c r="G173" t="s">
        <v>668</v>
      </c>
      <c r="H173" t="s">
        <v>669</v>
      </c>
      <c r="J173" t="s">
        <v>670</v>
      </c>
      <c r="K173">
        <v>8</v>
      </c>
      <c r="L173">
        <v>0.4</v>
      </c>
      <c r="M173" t="s">
        <v>71</v>
      </c>
      <c r="O173" t="s">
        <v>346</v>
      </c>
      <c r="P173" t="s">
        <v>113</v>
      </c>
      <c r="Q173" t="s">
        <v>289</v>
      </c>
      <c r="R173">
        <v>9</v>
      </c>
      <c r="S173">
        <v>30</v>
      </c>
      <c r="T173">
        <v>40</v>
      </c>
      <c r="U173">
        <v>70</v>
      </c>
      <c r="V173">
        <v>70</v>
      </c>
      <c r="W173">
        <v>25</v>
      </c>
      <c r="X173">
        <v>60</v>
      </c>
      <c r="Y173">
        <f t="shared" si="60"/>
        <v>137</v>
      </c>
      <c r="Z173">
        <f t="shared" si="61"/>
        <v>137</v>
      </c>
      <c r="AA173">
        <f t="shared" si="62"/>
        <v>105</v>
      </c>
      <c r="AB173">
        <f t="shared" si="63"/>
        <v>105</v>
      </c>
      <c r="AC173">
        <f t="shared" si="64"/>
        <v>90</v>
      </c>
      <c r="AD173">
        <f t="shared" si="65"/>
        <v>101</v>
      </c>
      <c r="AE173">
        <f t="shared" si="66"/>
        <v>92</v>
      </c>
      <c r="AF173">
        <f t="shared" si="67"/>
        <v>60</v>
      </c>
      <c r="AG173">
        <f t="shared" si="68"/>
        <v>54</v>
      </c>
      <c r="AH173">
        <f t="shared" si="69"/>
        <v>40</v>
      </c>
      <c r="AI173">
        <f t="shared" si="70"/>
        <v>134</v>
      </c>
      <c r="AJ173">
        <f t="shared" si="71"/>
        <v>122</v>
      </c>
      <c r="AK173">
        <f t="shared" si="72"/>
        <v>90</v>
      </c>
      <c r="AL173">
        <f t="shared" si="73"/>
        <v>81</v>
      </c>
      <c r="AM173">
        <f t="shared" si="74"/>
        <v>67</v>
      </c>
      <c r="AN173">
        <f t="shared" si="75"/>
        <v>134</v>
      </c>
      <c r="AO173">
        <f t="shared" si="76"/>
        <v>122</v>
      </c>
      <c r="AP173">
        <f t="shared" si="77"/>
        <v>90</v>
      </c>
      <c r="AQ173">
        <f t="shared" si="78"/>
        <v>81</v>
      </c>
      <c r="AR173">
        <f t="shared" si="79"/>
        <v>67</v>
      </c>
      <c r="AS173">
        <f t="shared" si="80"/>
        <v>84</v>
      </c>
      <c r="AT173">
        <f t="shared" si="81"/>
        <v>77</v>
      </c>
      <c r="AU173">
        <f t="shared" si="82"/>
        <v>45</v>
      </c>
      <c r="AV173">
        <f t="shared" si="83"/>
        <v>40</v>
      </c>
      <c r="AW173">
        <f t="shared" si="84"/>
        <v>27</v>
      </c>
      <c r="AX173">
        <f t="shared" si="85"/>
        <v>123</v>
      </c>
      <c r="AY173">
        <f t="shared" si="86"/>
        <v>112</v>
      </c>
      <c r="AZ173">
        <f t="shared" si="87"/>
        <v>80</v>
      </c>
      <c r="BA173">
        <f t="shared" si="88"/>
        <v>72</v>
      </c>
      <c r="BB173">
        <f t="shared" si="89"/>
        <v>58</v>
      </c>
    </row>
    <row r="174" spans="1:54" x14ac:dyDescent="0.15">
      <c r="A174">
        <v>112</v>
      </c>
      <c r="B174" t="s">
        <v>671</v>
      </c>
      <c r="C174">
        <v>117</v>
      </c>
      <c r="D174">
        <v>0</v>
      </c>
      <c r="E174" t="s">
        <v>672</v>
      </c>
      <c r="G174" t="s">
        <v>672</v>
      </c>
      <c r="H174" t="s">
        <v>673</v>
      </c>
      <c r="J174" t="s">
        <v>670</v>
      </c>
      <c r="K174">
        <v>25</v>
      </c>
      <c r="L174">
        <v>1.2</v>
      </c>
      <c r="M174" t="s">
        <v>71</v>
      </c>
      <c r="O174" t="s">
        <v>215</v>
      </c>
      <c r="P174" t="s">
        <v>113</v>
      </c>
      <c r="Q174" t="s">
        <v>289</v>
      </c>
      <c r="R174">
        <v>9</v>
      </c>
      <c r="S174">
        <v>55</v>
      </c>
      <c r="T174">
        <v>65</v>
      </c>
      <c r="U174">
        <v>95</v>
      </c>
      <c r="V174">
        <v>95</v>
      </c>
      <c r="W174">
        <v>45</v>
      </c>
      <c r="X174">
        <v>85</v>
      </c>
      <c r="Y174">
        <f t="shared" si="60"/>
        <v>162</v>
      </c>
      <c r="Z174">
        <f t="shared" si="61"/>
        <v>162</v>
      </c>
      <c r="AA174">
        <f t="shared" si="62"/>
        <v>130</v>
      </c>
      <c r="AB174">
        <f t="shared" si="63"/>
        <v>130</v>
      </c>
      <c r="AC174">
        <f t="shared" si="64"/>
        <v>115</v>
      </c>
      <c r="AD174">
        <f t="shared" si="65"/>
        <v>128</v>
      </c>
      <c r="AE174">
        <f t="shared" si="66"/>
        <v>117</v>
      </c>
      <c r="AF174">
        <f t="shared" si="67"/>
        <v>85</v>
      </c>
      <c r="AG174">
        <f t="shared" si="68"/>
        <v>76</v>
      </c>
      <c r="AH174">
        <f t="shared" si="69"/>
        <v>63</v>
      </c>
      <c r="AI174">
        <f t="shared" si="70"/>
        <v>161</v>
      </c>
      <c r="AJ174">
        <f t="shared" si="71"/>
        <v>147</v>
      </c>
      <c r="AK174">
        <f t="shared" si="72"/>
        <v>115</v>
      </c>
      <c r="AL174">
        <f t="shared" si="73"/>
        <v>103</v>
      </c>
      <c r="AM174">
        <f t="shared" si="74"/>
        <v>90</v>
      </c>
      <c r="AN174">
        <f t="shared" si="75"/>
        <v>161</v>
      </c>
      <c r="AO174">
        <f t="shared" si="76"/>
        <v>147</v>
      </c>
      <c r="AP174">
        <f t="shared" si="77"/>
        <v>115</v>
      </c>
      <c r="AQ174">
        <f t="shared" si="78"/>
        <v>103</v>
      </c>
      <c r="AR174">
        <f t="shared" si="79"/>
        <v>90</v>
      </c>
      <c r="AS174">
        <f t="shared" si="80"/>
        <v>106</v>
      </c>
      <c r="AT174">
        <f t="shared" si="81"/>
        <v>97</v>
      </c>
      <c r="AU174">
        <f t="shared" si="82"/>
        <v>65</v>
      </c>
      <c r="AV174">
        <f t="shared" si="83"/>
        <v>58</v>
      </c>
      <c r="AW174">
        <f t="shared" si="84"/>
        <v>45</v>
      </c>
      <c r="AX174">
        <f t="shared" si="85"/>
        <v>150</v>
      </c>
      <c r="AY174">
        <f t="shared" si="86"/>
        <v>137</v>
      </c>
      <c r="AZ174">
        <f t="shared" si="87"/>
        <v>105</v>
      </c>
      <c r="BA174">
        <f t="shared" si="88"/>
        <v>94</v>
      </c>
      <c r="BB174">
        <f t="shared" si="89"/>
        <v>81</v>
      </c>
    </row>
    <row r="175" spans="1:54" x14ac:dyDescent="0.15">
      <c r="B175" t="s">
        <v>674</v>
      </c>
      <c r="C175">
        <v>118</v>
      </c>
      <c r="D175">
        <v>0</v>
      </c>
      <c r="E175" t="s">
        <v>675</v>
      </c>
      <c r="G175" t="s">
        <v>675</v>
      </c>
      <c r="J175" t="s">
        <v>676</v>
      </c>
      <c r="K175">
        <v>15</v>
      </c>
      <c r="L175">
        <v>0.6</v>
      </c>
      <c r="M175" t="s">
        <v>71</v>
      </c>
      <c r="O175" t="s">
        <v>346</v>
      </c>
      <c r="P175" t="s">
        <v>677</v>
      </c>
      <c r="Q175" t="s">
        <v>166</v>
      </c>
      <c r="R175">
        <v>8</v>
      </c>
      <c r="S175">
        <v>45</v>
      </c>
      <c r="T175">
        <v>67</v>
      </c>
      <c r="U175">
        <v>60</v>
      </c>
      <c r="V175">
        <v>35</v>
      </c>
      <c r="W175">
        <v>50</v>
      </c>
      <c r="X175">
        <v>63</v>
      </c>
      <c r="Y175">
        <f t="shared" si="60"/>
        <v>152</v>
      </c>
      <c r="Z175">
        <f t="shared" si="61"/>
        <v>152</v>
      </c>
      <c r="AA175">
        <f t="shared" si="62"/>
        <v>120</v>
      </c>
      <c r="AB175">
        <f t="shared" si="63"/>
        <v>120</v>
      </c>
      <c r="AC175">
        <f t="shared" si="64"/>
        <v>105</v>
      </c>
      <c r="AD175">
        <f t="shared" si="65"/>
        <v>130</v>
      </c>
      <c r="AE175">
        <f t="shared" si="66"/>
        <v>119</v>
      </c>
      <c r="AF175">
        <f t="shared" si="67"/>
        <v>87</v>
      </c>
      <c r="AG175">
        <f t="shared" si="68"/>
        <v>78</v>
      </c>
      <c r="AH175">
        <f t="shared" si="69"/>
        <v>64</v>
      </c>
      <c r="AI175">
        <f t="shared" si="70"/>
        <v>123</v>
      </c>
      <c r="AJ175">
        <f t="shared" si="71"/>
        <v>112</v>
      </c>
      <c r="AK175">
        <f t="shared" si="72"/>
        <v>80</v>
      </c>
      <c r="AL175">
        <f t="shared" si="73"/>
        <v>72</v>
      </c>
      <c r="AM175">
        <f t="shared" si="74"/>
        <v>58</v>
      </c>
      <c r="AN175">
        <f t="shared" si="75"/>
        <v>95</v>
      </c>
      <c r="AO175">
        <f t="shared" si="76"/>
        <v>87</v>
      </c>
      <c r="AP175">
        <f t="shared" si="77"/>
        <v>55</v>
      </c>
      <c r="AQ175">
        <f t="shared" si="78"/>
        <v>49</v>
      </c>
      <c r="AR175">
        <f t="shared" si="79"/>
        <v>36</v>
      </c>
      <c r="AS175">
        <f t="shared" si="80"/>
        <v>112</v>
      </c>
      <c r="AT175">
        <f t="shared" si="81"/>
        <v>102</v>
      </c>
      <c r="AU175">
        <f t="shared" si="82"/>
        <v>70</v>
      </c>
      <c r="AV175">
        <f t="shared" si="83"/>
        <v>63</v>
      </c>
      <c r="AW175">
        <f t="shared" si="84"/>
        <v>49</v>
      </c>
      <c r="AX175">
        <f t="shared" si="85"/>
        <v>126</v>
      </c>
      <c r="AY175">
        <f t="shared" si="86"/>
        <v>115</v>
      </c>
      <c r="AZ175">
        <f t="shared" si="87"/>
        <v>83</v>
      </c>
      <c r="BA175">
        <f t="shared" si="88"/>
        <v>74</v>
      </c>
      <c r="BB175">
        <f t="shared" si="89"/>
        <v>61</v>
      </c>
    </row>
    <row r="176" spans="1:54" x14ac:dyDescent="0.15">
      <c r="B176" t="s">
        <v>678</v>
      </c>
      <c r="C176">
        <v>119</v>
      </c>
      <c r="D176">
        <v>0</v>
      </c>
      <c r="E176" t="s">
        <v>679</v>
      </c>
      <c r="G176" t="s">
        <v>679</v>
      </c>
      <c r="J176" t="s">
        <v>676</v>
      </c>
      <c r="K176">
        <v>39</v>
      </c>
      <c r="L176">
        <v>1.3</v>
      </c>
      <c r="M176" t="s">
        <v>71</v>
      </c>
      <c r="O176" t="s">
        <v>346</v>
      </c>
      <c r="P176" t="s">
        <v>677</v>
      </c>
      <c r="Q176" t="s">
        <v>166</v>
      </c>
      <c r="R176">
        <v>8</v>
      </c>
      <c r="S176">
        <v>80</v>
      </c>
      <c r="T176">
        <v>92</v>
      </c>
      <c r="U176">
        <v>65</v>
      </c>
      <c r="V176">
        <v>65</v>
      </c>
      <c r="W176">
        <v>80</v>
      </c>
      <c r="X176">
        <v>68</v>
      </c>
      <c r="Y176">
        <f t="shared" si="60"/>
        <v>187</v>
      </c>
      <c r="Z176">
        <f t="shared" si="61"/>
        <v>187</v>
      </c>
      <c r="AA176">
        <f t="shared" si="62"/>
        <v>155</v>
      </c>
      <c r="AB176">
        <f t="shared" si="63"/>
        <v>155</v>
      </c>
      <c r="AC176">
        <f t="shared" si="64"/>
        <v>140</v>
      </c>
      <c r="AD176">
        <f t="shared" si="65"/>
        <v>158</v>
      </c>
      <c r="AE176">
        <f t="shared" si="66"/>
        <v>144</v>
      </c>
      <c r="AF176">
        <f t="shared" si="67"/>
        <v>112</v>
      </c>
      <c r="AG176">
        <f t="shared" si="68"/>
        <v>100</v>
      </c>
      <c r="AH176">
        <f t="shared" si="69"/>
        <v>87</v>
      </c>
      <c r="AI176">
        <f t="shared" si="70"/>
        <v>128</v>
      </c>
      <c r="AJ176">
        <f t="shared" si="71"/>
        <v>117</v>
      </c>
      <c r="AK176">
        <f t="shared" si="72"/>
        <v>85</v>
      </c>
      <c r="AL176">
        <f t="shared" si="73"/>
        <v>76</v>
      </c>
      <c r="AM176">
        <f t="shared" si="74"/>
        <v>63</v>
      </c>
      <c r="AN176">
        <f t="shared" si="75"/>
        <v>128</v>
      </c>
      <c r="AO176">
        <f t="shared" si="76"/>
        <v>117</v>
      </c>
      <c r="AP176">
        <f t="shared" si="77"/>
        <v>85</v>
      </c>
      <c r="AQ176">
        <f t="shared" si="78"/>
        <v>76</v>
      </c>
      <c r="AR176">
        <f t="shared" si="79"/>
        <v>63</v>
      </c>
      <c r="AS176">
        <f t="shared" si="80"/>
        <v>145</v>
      </c>
      <c r="AT176">
        <f t="shared" si="81"/>
        <v>132</v>
      </c>
      <c r="AU176">
        <f t="shared" si="82"/>
        <v>100</v>
      </c>
      <c r="AV176">
        <f t="shared" si="83"/>
        <v>90</v>
      </c>
      <c r="AW176">
        <f t="shared" si="84"/>
        <v>76</v>
      </c>
      <c r="AX176">
        <f t="shared" si="85"/>
        <v>132</v>
      </c>
      <c r="AY176">
        <f t="shared" si="86"/>
        <v>120</v>
      </c>
      <c r="AZ176">
        <f t="shared" si="87"/>
        <v>88</v>
      </c>
      <c r="BA176">
        <f t="shared" si="88"/>
        <v>79</v>
      </c>
      <c r="BB176">
        <f t="shared" si="89"/>
        <v>65</v>
      </c>
    </row>
    <row r="177" spans="1:54" x14ac:dyDescent="0.15">
      <c r="B177" t="s">
        <v>680</v>
      </c>
      <c r="C177">
        <v>120</v>
      </c>
      <c r="D177">
        <v>0</v>
      </c>
      <c r="E177" t="s">
        <v>681</v>
      </c>
      <c r="G177" t="s">
        <v>681</v>
      </c>
      <c r="J177" t="s">
        <v>682</v>
      </c>
      <c r="K177">
        <v>34.5</v>
      </c>
      <c r="L177">
        <v>0.8</v>
      </c>
      <c r="M177" t="s">
        <v>71</v>
      </c>
      <c r="O177" t="s">
        <v>683</v>
      </c>
      <c r="P177" t="s">
        <v>654</v>
      </c>
      <c r="Q177" t="s">
        <v>490</v>
      </c>
      <c r="R177">
        <v>8</v>
      </c>
      <c r="S177">
        <v>30</v>
      </c>
      <c r="T177">
        <v>45</v>
      </c>
      <c r="U177">
        <v>55</v>
      </c>
      <c r="V177">
        <v>70</v>
      </c>
      <c r="W177">
        <v>55</v>
      </c>
      <c r="X177">
        <v>85</v>
      </c>
      <c r="Y177">
        <f t="shared" si="60"/>
        <v>137</v>
      </c>
      <c r="Z177">
        <f t="shared" si="61"/>
        <v>137</v>
      </c>
      <c r="AA177">
        <f t="shared" si="62"/>
        <v>105</v>
      </c>
      <c r="AB177">
        <f t="shared" si="63"/>
        <v>105</v>
      </c>
      <c r="AC177">
        <f t="shared" si="64"/>
        <v>90</v>
      </c>
      <c r="AD177">
        <f t="shared" si="65"/>
        <v>106</v>
      </c>
      <c r="AE177">
        <f t="shared" si="66"/>
        <v>97</v>
      </c>
      <c r="AF177">
        <f t="shared" si="67"/>
        <v>65</v>
      </c>
      <c r="AG177">
        <f t="shared" si="68"/>
        <v>58</v>
      </c>
      <c r="AH177">
        <f t="shared" si="69"/>
        <v>45</v>
      </c>
      <c r="AI177">
        <f t="shared" si="70"/>
        <v>117</v>
      </c>
      <c r="AJ177">
        <f t="shared" si="71"/>
        <v>107</v>
      </c>
      <c r="AK177">
        <f t="shared" si="72"/>
        <v>75</v>
      </c>
      <c r="AL177">
        <f t="shared" si="73"/>
        <v>67</v>
      </c>
      <c r="AM177">
        <f t="shared" si="74"/>
        <v>54</v>
      </c>
      <c r="AN177">
        <f t="shared" si="75"/>
        <v>134</v>
      </c>
      <c r="AO177">
        <f t="shared" si="76"/>
        <v>122</v>
      </c>
      <c r="AP177">
        <f t="shared" si="77"/>
        <v>90</v>
      </c>
      <c r="AQ177">
        <f t="shared" si="78"/>
        <v>81</v>
      </c>
      <c r="AR177">
        <f t="shared" si="79"/>
        <v>67</v>
      </c>
      <c r="AS177">
        <f t="shared" si="80"/>
        <v>117</v>
      </c>
      <c r="AT177">
        <f t="shared" si="81"/>
        <v>107</v>
      </c>
      <c r="AU177">
        <f t="shared" si="82"/>
        <v>75</v>
      </c>
      <c r="AV177">
        <f t="shared" si="83"/>
        <v>67</v>
      </c>
      <c r="AW177">
        <f t="shared" si="84"/>
        <v>54</v>
      </c>
      <c r="AX177">
        <f t="shared" si="85"/>
        <v>150</v>
      </c>
      <c r="AY177">
        <f t="shared" si="86"/>
        <v>137</v>
      </c>
      <c r="AZ177">
        <f t="shared" si="87"/>
        <v>105</v>
      </c>
      <c r="BA177">
        <f t="shared" si="88"/>
        <v>94</v>
      </c>
      <c r="BB177">
        <f t="shared" si="89"/>
        <v>81</v>
      </c>
    </row>
    <row r="178" spans="1:54" x14ac:dyDescent="0.15">
      <c r="B178" t="s">
        <v>684</v>
      </c>
      <c r="C178">
        <v>121</v>
      </c>
      <c r="D178">
        <v>0</v>
      </c>
      <c r="E178" t="s">
        <v>685</v>
      </c>
      <c r="G178" t="s">
        <v>685</v>
      </c>
      <c r="J178" t="s">
        <v>686</v>
      </c>
      <c r="K178">
        <v>80</v>
      </c>
      <c r="L178">
        <v>1.1000000000000001</v>
      </c>
      <c r="M178" t="s">
        <v>71</v>
      </c>
      <c r="N178" t="s">
        <v>191</v>
      </c>
      <c r="O178" t="s">
        <v>683</v>
      </c>
      <c r="P178" t="s">
        <v>654</v>
      </c>
      <c r="Q178" t="s">
        <v>490</v>
      </c>
      <c r="R178">
        <v>8</v>
      </c>
      <c r="S178">
        <v>60</v>
      </c>
      <c r="T178">
        <v>75</v>
      </c>
      <c r="U178">
        <v>85</v>
      </c>
      <c r="V178">
        <v>100</v>
      </c>
      <c r="W178">
        <v>85</v>
      </c>
      <c r="X178">
        <v>115</v>
      </c>
      <c r="Y178">
        <f t="shared" si="60"/>
        <v>167</v>
      </c>
      <c r="Z178">
        <f t="shared" si="61"/>
        <v>167</v>
      </c>
      <c r="AA178">
        <f t="shared" si="62"/>
        <v>135</v>
      </c>
      <c r="AB178">
        <f t="shared" si="63"/>
        <v>135</v>
      </c>
      <c r="AC178">
        <f t="shared" si="64"/>
        <v>120</v>
      </c>
      <c r="AD178">
        <f t="shared" si="65"/>
        <v>139</v>
      </c>
      <c r="AE178">
        <f t="shared" si="66"/>
        <v>127</v>
      </c>
      <c r="AF178">
        <f t="shared" si="67"/>
        <v>95</v>
      </c>
      <c r="AG178">
        <f t="shared" si="68"/>
        <v>85</v>
      </c>
      <c r="AH178">
        <f t="shared" si="69"/>
        <v>72</v>
      </c>
      <c r="AI178">
        <f t="shared" si="70"/>
        <v>150</v>
      </c>
      <c r="AJ178">
        <f t="shared" si="71"/>
        <v>137</v>
      </c>
      <c r="AK178">
        <f t="shared" si="72"/>
        <v>105</v>
      </c>
      <c r="AL178">
        <f t="shared" si="73"/>
        <v>94</v>
      </c>
      <c r="AM178">
        <f t="shared" si="74"/>
        <v>81</v>
      </c>
      <c r="AN178">
        <f t="shared" si="75"/>
        <v>167</v>
      </c>
      <c r="AO178">
        <f t="shared" si="76"/>
        <v>152</v>
      </c>
      <c r="AP178">
        <f t="shared" si="77"/>
        <v>120</v>
      </c>
      <c r="AQ178">
        <f t="shared" si="78"/>
        <v>108</v>
      </c>
      <c r="AR178">
        <f t="shared" si="79"/>
        <v>94</v>
      </c>
      <c r="AS178">
        <f t="shared" si="80"/>
        <v>150</v>
      </c>
      <c r="AT178">
        <f t="shared" si="81"/>
        <v>137</v>
      </c>
      <c r="AU178">
        <f t="shared" si="82"/>
        <v>105</v>
      </c>
      <c r="AV178">
        <f t="shared" si="83"/>
        <v>94</v>
      </c>
      <c r="AW178">
        <f t="shared" si="84"/>
        <v>81</v>
      </c>
      <c r="AX178">
        <f t="shared" si="85"/>
        <v>183</v>
      </c>
      <c r="AY178">
        <f t="shared" si="86"/>
        <v>167</v>
      </c>
      <c r="AZ178">
        <f t="shared" si="87"/>
        <v>135</v>
      </c>
      <c r="BA178">
        <f t="shared" si="88"/>
        <v>121</v>
      </c>
      <c r="BB178">
        <f t="shared" si="89"/>
        <v>108</v>
      </c>
    </row>
    <row r="179" spans="1:54" x14ac:dyDescent="0.15">
      <c r="B179" t="s">
        <v>687</v>
      </c>
      <c r="C179">
        <v>122</v>
      </c>
      <c r="D179">
        <v>0</v>
      </c>
      <c r="E179" t="s">
        <v>688</v>
      </c>
      <c r="G179" t="s">
        <v>688</v>
      </c>
      <c r="J179" t="s">
        <v>689</v>
      </c>
      <c r="K179">
        <v>54.5</v>
      </c>
      <c r="L179">
        <v>1.3</v>
      </c>
      <c r="M179" t="s">
        <v>191</v>
      </c>
      <c r="N179" t="s">
        <v>233</v>
      </c>
      <c r="O179" t="s">
        <v>586</v>
      </c>
      <c r="P179" t="s">
        <v>690</v>
      </c>
      <c r="Q179" t="s">
        <v>322</v>
      </c>
      <c r="R179">
        <v>8</v>
      </c>
      <c r="S179">
        <v>40</v>
      </c>
      <c r="T179">
        <v>45</v>
      </c>
      <c r="U179">
        <v>65</v>
      </c>
      <c r="V179">
        <v>100</v>
      </c>
      <c r="W179">
        <v>120</v>
      </c>
      <c r="X179">
        <v>90</v>
      </c>
      <c r="Y179">
        <f t="shared" si="60"/>
        <v>147</v>
      </c>
      <c r="Z179">
        <f t="shared" si="61"/>
        <v>147</v>
      </c>
      <c r="AA179">
        <f t="shared" si="62"/>
        <v>115</v>
      </c>
      <c r="AB179">
        <f t="shared" si="63"/>
        <v>115</v>
      </c>
      <c r="AC179">
        <f t="shared" si="64"/>
        <v>100</v>
      </c>
      <c r="AD179">
        <f t="shared" si="65"/>
        <v>106</v>
      </c>
      <c r="AE179">
        <f t="shared" si="66"/>
        <v>97</v>
      </c>
      <c r="AF179">
        <f t="shared" si="67"/>
        <v>65</v>
      </c>
      <c r="AG179">
        <f t="shared" si="68"/>
        <v>58</v>
      </c>
      <c r="AH179">
        <f t="shared" si="69"/>
        <v>45</v>
      </c>
      <c r="AI179">
        <f t="shared" si="70"/>
        <v>128</v>
      </c>
      <c r="AJ179">
        <f t="shared" si="71"/>
        <v>117</v>
      </c>
      <c r="AK179">
        <f t="shared" si="72"/>
        <v>85</v>
      </c>
      <c r="AL179">
        <f t="shared" si="73"/>
        <v>76</v>
      </c>
      <c r="AM179">
        <f t="shared" si="74"/>
        <v>63</v>
      </c>
      <c r="AN179">
        <f t="shared" si="75"/>
        <v>167</v>
      </c>
      <c r="AO179">
        <f t="shared" si="76"/>
        <v>152</v>
      </c>
      <c r="AP179">
        <f t="shared" si="77"/>
        <v>120</v>
      </c>
      <c r="AQ179">
        <f t="shared" si="78"/>
        <v>108</v>
      </c>
      <c r="AR179">
        <f t="shared" si="79"/>
        <v>94</v>
      </c>
      <c r="AS179">
        <f t="shared" si="80"/>
        <v>189</v>
      </c>
      <c r="AT179">
        <f t="shared" si="81"/>
        <v>172</v>
      </c>
      <c r="AU179">
        <f t="shared" si="82"/>
        <v>140</v>
      </c>
      <c r="AV179">
        <f t="shared" si="83"/>
        <v>126</v>
      </c>
      <c r="AW179">
        <f t="shared" si="84"/>
        <v>112</v>
      </c>
      <c r="AX179">
        <f t="shared" si="85"/>
        <v>156</v>
      </c>
      <c r="AY179">
        <f t="shared" si="86"/>
        <v>142</v>
      </c>
      <c r="AZ179">
        <f t="shared" si="87"/>
        <v>110</v>
      </c>
      <c r="BA179">
        <f t="shared" si="88"/>
        <v>99</v>
      </c>
      <c r="BB179">
        <f t="shared" si="89"/>
        <v>85</v>
      </c>
    </row>
    <row r="180" spans="1:54" x14ac:dyDescent="0.15">
      <c r="B180" t="s">
        <v>691</v>
      </c>
      <c r="C180">
        <v>122</v>
      </c>
      <c r="D180">
        <v>1</v>
      </c>
      <c r="E180" t="s">
        <v>688</v>
      </c>
      <c r="F180" t="s">
        <v>327</v>
      </c>
      <c r="G180" t="s">
        <v>692</v>
      </c>
      <c r="J180" t="s">
        <v>693</v>
      </c>
      <c r="K180">
        <v>56.8</v>
      </c>
      <c r="L180">
        <v>1.4</v>
      </c>
      <c r="M180" t="s">
        <v>202</v>
      </c>
      <c r="N180" t="s">
        <v>191</v>
      </c>
      <c r="O180" t="s">
        <v>355</v>
      </c>
      <c r="P180" t="s">
        <v>694</v>
      </c>
      <c r="Q180" t="s">
        <v>322</v>
      </c>
      <c r="R180">
        <v>8</v>
      </c>
      <c r="S180">
        <v>50</v>
      </c>
      <c r="T180">
        <v>65</v>
      </c>
      <c r="U180">
        <v>65</v>
      </c>
      <c r="V180">
        <v>90</v>
      </c>
      <c r="W180">
        <v>90</v>
      </c>
      <c r="X180">
        <v>100</v>
      </c>
      <c r="Y180">
        <f t="shared" si="60"/>
        <v>157</v>
      </c>
      <c r="Z180">
        <f t="shared" si="61"/>
        <v>157</v>
      </c>
      <c r="AA180">
        <f t="shared" si="62"/>
        <v>125</v>
      </c>
      <c r="AB180">
        <f t="shared" si="63"/>
        <v>125</v>
      </c>
      <c r="AC180">
        <f t="shared" si="64"/>
        <v>110</v>
      </c>
      <c r="AD180">
        <f t="shared" si="65"/>
        <v>128</v>
      </c>
      <c r="AE180">
        <f t="shared" si="66"/>
        <v>117</v>
      </c>
      <c r="AF180">
        <f t="shared" si="67"/>
        <v>85</v>
      </c>
      <c r="AG180">
        <f t="shared" si="68"/>
        <v>76</v>
      </c>
      <c r="AH180">
        <f t="shared" si="69"/>
        <v>63</v>
      </c>
      <c r="AI180">
        <f t="shared" si="70"/>
        <v>128</v>
      </c>
      <c r="AJ180">
        <f t="shared" si="71"/>
        <v>117</v>
      </c>
      <c r="AK180">
        <f t="shared" si="72"/>
        <v>85</v>
      </c>
      <c r="AL180">
        <f t="shared" si="73"/>
        <v>76</v>
      </c>
      <c r="AM180">
        <f t="shared" si="74"/>
        <v>63</v>
      </c>
      <c r="AN180">
        <f t="shared" si="75"/>
        <v>156</v>
      </c>
      <c r="AO180">
        <f t="shared" si="76"/>
        <v>142</v>
      </c>
      <c r="AP180">
        <f t="shared" si="77"/>
        <v>110</v>
      </c>
      <c r="AQ180">
        <f t="shared" si="78"/>
        <v>99</v>
      </c>
      <c r="AR180">
        <f t="shared" si="79"/>
        <v>85</v>
      </c>
      <c r="AS180">
        <f t="shared" si="80"/>
        <v>156</v>
      </c>
      <c r="AT180">
        <f t="shared" si="81"/>
        <v>142</v>
      </c>
      <c r="AU180">
        <f t="shared" si="82"/>
        <v>110</v>
      </c>
      <c r="AV180">
        <f t="shared" si="83"/>
        <v>99</v>
      </c>
      <c r="AW180">
        <f t="shared" si="84"/>
        <v>85</v>
      </c>
      <c r="AX180">
        <f t="shared" si="85"/>
        <v>167</v>
      </c>
      <c r="AY180">
        <f t="shared" si="86"/>
        <v>152</v>
      </c>
      <c r="AZ180">
        <f t="shared" si="87"/>
        <v>120</v>
      </c>
      <c r="BA180">
        <f t="shared" si="88"/>
        <v>108</v>
      </c>
      <c r="BB180">
        <f t="shared" si="89"/>
        <v>94</v>
      </c>
    </row>
    <row r="181" spans="1:54" x14ac:dyDescent="0.15">
      <c r="A181">
        <v>113</v>
      </c>
      <c r="B181" t="s">
        <v>695</v>
      </c>
      <c r="C181">
        <v>123</v>
      </c>
      <c r="D181">
        <v>0</v>
      </c>
      <c r="E181" t="s">
        <v>696</v>
      </c>
      <c r="G181" t="s">
        <v>696</v>
      </c>
      <c r="H181" t="s">
        <v>697</v>
      </c>
      <c r="J181" t="s">
        <v>698</v>
      </c>
      <c r="K181">
        <v>56</v>
      </c>
      <c r="L181">
        <v>1.5</v>
      </c>
      <c r="M181" t="s">
        <v>90</v>
      </c>
      <c r="N181" t="s">
        <v>57</v>
      </c>
      <c r="O181" t="s">
        <v>112</v>
      </c>
      <c r="P181" t="s">
        <v>322</v>
      </c>
      <c r="Q181" t="s">
        <v>404</v>
      </c>
      <c r="R181">
        <v>9</v>
      </c>
      <c r="S181">
        <v>70</v>
      </c>
      <c r="T181">
        <v>110</v>
      </c>
      <c r="U181">
        <v>80</v>
      </c>
      <c r="V181">
        <v>55</v>
      </c>
      <c r="W181">
        <v>80</v>
      </c>
      <c r="X181">
        <v>105</v>
      </c>
      <c r="Y181">
        <f t="shared" si="60"/>
        <v>177</v>
      </c>
      <c r="Z181">
        <f t="shared" si="61"/>
        <v>177</v>
      </c>
      <c r="AA181">
        <f t="shared" si="62"/>
        <v>145</v>
      </c>
      <c r="AB181">
        <f t="shared" si="63"/>
        <v>145</v>
      </c>
      <c r="AC181">
        <f t="shared" si="64"/>
        <v>130</v>
      </c>
      <c r="AD181">
        <f t="shared" si="65"/>
        <v>178</v>
      </c>
      <c r="AE181">
        <f t="shared" si="66"/>
        <v>162</v>
      </c>
      <c r="AF181">
        <f t="shared" si="67"/>
        <v>130</v>
      </c>
      <c r="AG181">
        <f t="shared" si="68"/>
        <v>117</v>
      </c>
      <c r="AH181">
        <f t="shared" si="69"/>
        <v>103</v>
      </c>
      <c r="AI181">
        <f t="shared" si="70"/>
        <v>145</v>
      </c>
      <c r="AJ181">
        <f t="shared" si="71"/>
        <v>132</v>
      </c>
      <c r="AK181">
        <f t="shared" si="72"/>
        <v>100</v>
      </c>
      <c r="AL181">
        <f t="shared" si="73"/>
        <v>90</v>
      </c>
      <c r="AM181">
        <f t="shared" si="74"/>
        <v>76</v>
      </c>
      <c r="AN181">
        <f t="shared" si="75"/>
        <v>117</v>
      </c>
      <c r="AO181">
        <f t="shared" si="76"/>
        <v>107</v>
      </c>
      <c r="AP181">
        <f t="shared" si="77"/>
        <v>75</v>
      </c>
      <c r="AQ181">
        <f t="shared" si="78"/>
        <v>67</v>
      </c>
      <c r="AR181">
        <f t="shared" si="79"/>
        <v>54</v>
      </c>
      <c r="AS181">
        <f t="shared" si="80"/>
        <v>145</v>
      </c>
      <c r="AT181">
        <f t="shared" si="81"/>
        <v>132</v>
      </c>
      <c r="AU181">
        <f t="shared" si="82"/>
        <v>100</v>
      </c>
      <c r="AV181">
        <f t="shared" si="83"/>
        <v>90</v>
      </c>
      <c r="AW181">
        <f t="shared" si="84"/>
        <v>76</v>
      </c>
      <c r="AX181">
        <f t="shared" si="85"/>
        <v>172</v>
      </c>
      <c r="AY181">
        <f t="shared" si="86"/>
        <v>157</v>
      </c>
      <c r="AZ181">
        <f t="shared" si="87"/>
        <v>125</v>
      </c>
      <c r="BA181">
        <f t="shared" si="88"/>
        <v>112</v>
      </c>
      <c r="BB181">
        <f t="shared" si="89"/>
        <v>99</v>
      </c>
    </row>
    <row r="182" spans="1:54" x14ac:dyDescent="0.15">
      <c r="B182" t="s">
        <v>699</v>
      </c>
      <c r="C182">
        <v>124</v>
      </c>
      <c r="D182">
        <v>0</v>
      </c>
      <c r="E182" t="s">
        <v>700</v>
      </c>
      <c r="G182" t="s">
        <v>700</v>
      </c>
      <c r="J182" t="s">
        <v>701</v>
      </c>
      <c r="K182">
        <v>40.6</v>
      </c>
      <c r="L182">
        <v>1.4</v>
      </c>
      <c r="M182" t="s">
        <v>202</v>
      </c>
      <c r="N182" t="s">
        <v>191</v>
      </c>
      <c r="O182" t="s">
        <v>469</v>
      </c>
      <c r="P182" t="s">
        <v>569</v>
      </c>
      <c r="Q182" t="s">
        <v>288</v>
      </c>
      <c r="R182">
        <v>8</v>
      </c>
      <c r="S182">
        <v>65</v>
      </c>
      <c r="T182">
        <v>50</v>
      </c>
      <c r="U182">
        <v>35</v>
      </c>
      <c r="V182">
        <v>115</v>
      </c>
      <c r="W182">
        <v>95</v>
      </c>
      <c r="X182">
        <v>95</v>
      </c>
      <c r="Y182">
        <f t="shared" si="60"/>
        <v>172</v>
      </c>
      <c r="Z182">
        <f t="shared" si="61"/>
        <v>172</v>
      </c>
      <c r="AA182">
        <f t="shared" si="62"/>
        <v>140</v>
      </c>
      <c r="AB182">
        <f t="shared" si="63"/>
        <v>140</v>
      </c>
      <c r="AC182">
        <f t="shared" si="64"/>
        <v>125</v>
      </c>
      <c r="AD182">
        <f t="shared" si="65"/>
        <v>112</v>
      </c>
      <c r="AE182">
        <f t="shared" si="66"/>
        <v>102</v>
      </c>
      <c r="AF182">
        <f t="shared" si="67"/>
        <v>70</v>
      </c>
      <c r="AG182">
        <f t="shared" si="68"/>
        <v>63</v>
      </c>
      <c r="AH182">
        <f t="shared" si="69"/>
        <v>49</v>
      </c>
      <c r="AI182">
        <f t="shared" si="70"/>
        <v>95</v>
      </c>
      <c r="AJ182">
        <f t="shared" si="71"/>
        <v>87</v>
      </c>
      <c r="AK182">
        <f t="shared" si="72"/>
        <v>55</v>
      </c>
      <c r="AL182">
        <f t="shared" si="73"/>
        <v>49</v>
      </c>
      <c r="AM182">
        <f t="shared" si="74"/>
        <v>36</v>
      </c>
      <c r="AN182">
        <f t="shared" si="75"/>
        <v>183</v>
      </c>
      <c r="AO182">
        <f t="shared" si="76"/>
        <v>167</v>
      </c>
      <c r="AP182">
        <f t="shared" si="77"/>
        <v>135</v>
      </c>
      <c r="AQ182">
        <f t="shared" si="78"/>
        <v>121</v>
      </c>
      <c r="AR182">
        <f t="shared" si="79"/>
        <v>108</v>
      </c>
      <c r="AS182">
        <f t="shared" si="80"/>
        <v>161</v>
      </c>
      <c r="AT182">
        <f t="shared" si="81"/>
        <v>147</v>
      </c>
      <c r="AU182">
        <f t="shared" si="82"/>
        <v>115</v>
      </c>
      <c r="AV182">
        <f t="shared" si="83"/>
        <v>103</v>
      </c>
      <c r="AW182">
        <f t="shared" si="84"/>
        <v>90</v>
      </c>
      <c r="AX182">
        <f t="shared" si="85"/>
        <v>161</v>
      </c>
      <c r="AY182">
        <f t="shared" si="86"/>
        <v>147</v>
      </c>
      <c r="AZ182">
        <f t="shared" si="87"/>
        <v>115</v>
      </c>
      <c r="BA182">
        <f t="shared" si="88"/>
        <v>103</v>
      </c>
      <c r="BB182">
        <f t="shared" si="89"/>
        <v>90</v>
      </c>
    </row>
    <row r="183" spans="1:54" x14ac:dyDescent="0.15">
      <c r="A183">
        <v>114</v>
      </c>
      <c r="B183" t="s">
        <v>702</v>
      </c>
      <c r="C183">
        <v>125</v>
      </c>
      <c r="D183">
        <v>0</v>
      </c>
      <c r="E183" t="s">
        <v>703</v>
      </c>
      <c r="G183" t="s">
        <v>703</v>
      </c>
      <c r="H183" t="s">
        <v>704</v>
      </c>
      <c r="J183" t="s">
        <v>705</v>
      </c>
      <c r="K183">
        <v>30</v>
      </c>
      <c r="L183">
        <v>1.1000000000000001</v>
      </c>
      <c r="M183" t="s">
        <v>164</v>
      </c>
      <c r="O183" t="s">
        <v>165</v>
      </c>
      <c r="P183" t="s">
        <v>355</v>
      </c>
      <c r="R183">
        <v>9</v>
      </c>
      <c r="S183">
        <v>65</v>
      </c>
      <c r="T183">
        <v>83</v>
      </c>
      <c r="U183">
        <v>57</v>
      </c>
      <c r="V183">
        <v>95</v>
      </c>
      <c r="W183">
        <v>85</v>
      </c>
      <c r="X183">
        <v>105</v>
      </c>
      <c r="Y183">
        <f t="shared" si="60"/>
        <v>172</v>
      </c>
      <c r="Z183">
        <f t="shared" si="61"/>
        <v>172</v>
      </c>
      <c r="AA183">
        <f t="shared" si="62"/>
        <v>140</v>
      </c>
      <c r="AB183">
        <f t="shared" si="63"/>
        <v>140</v>
      </c>
      <c r="AC183">
        <f t="shared" si="64"/>
        <v>125</v>
      </c>
      <c r="AD183">
        <f t="shared" si="65"/>
        <v>148</v>
      </c>
      <c r="AE183">
        <f t="shared" si="66"/>
        <v>135</v>
      </c>
      <c r="AF183">
        <f t="shared" si="67"/>
        <v>103</v>
      </c>
      <c r="AG183">
        <f t="shared" si="68"/>
        <v>92</v>
      </c>
      <c r="AH183">
        <f t="shared" si="69"/>
        <v>79</v>
      </c>
      <c r="AI183">
        <f t="shared" si="70"/>
        <v>119</v>
      </c>
      <c r="AJ183">
        <f t="shared" si="71"/>
        <v>109</v>
      </c>
      <c r="AK183">
        <f t="shared" si="72"/>
        <v>77</v>
      </c>
      <c r="AL183">
        <f t="shared" si="73"/>
        <v>69</v>
      </c>
      <c r="AM183">
        <f t="shared" si="74"/>
        <v>55</v>
      </c>
      <c r="AN183">
        <f t="shared" si="75"/>
        <v>161</v>
      </c>
      <c r="AO183">
        <f t="shared" si="76"/>
        <v>147</v>
      </c>
      <c r="AP183">
        <f t="shared" si="77"/>
        <v>115</v>
      </c>
      <c r="AQ183">
        <f t="shared" si="78"/>
        <v>103</v>
      </c>
      <c r="AR183">
        <f t="shared" si="79"/>
        <v>90</v>
      </c>
      <c r="AS183">
        <f t="shared" si="80"/>
        <v>150</v>
      </c>
      <c r="AT183">
        <f t="shared" si="81"/>
        <v>137</v>
      </c>
      <c r="AU183">
        <f t="shared" si="82"/>
        <v>105</v>
      </c>
      <c r="AV183">
        <f t="shared" si="83"/>
        <v>94</v>
      </c>
      <c r="AW183">
        <f t="shared" si="84"/>
        <v>81</v>
      </c>
      <c r="AX183">
        <f t="shared" si="85"/>
        <v>172</v>
      </c>
      <c r="AY183">
        <f t="shared" si="86"/>
        <v>157</v>
      </c>
      <c r="AZ183">
        <f t="shared" si="87"/>
        <v>125</v>
      </c>
      <c r="BA183">
        <f t="shared" si="88"/>
        <v>112</v>
      </c>
      <c r="BB183">
        <f t="shared" si="89"/>
        <v>99</v>
      </c>
    </row>
    <row r="184" spans="1:54" x14ac:dyDescent="0.15">
      <c r="A184">
        <v>115</v>
      </c>
      <c r="B184" t="s">
        <v>706</v>
      </c>
      <c r="C184">
        <v>126</v>
      </c>
      <c r="D184">
        <v>0</v>
      </c>
      <c r="E184" t="s">
        <v>707</v>
      </c>
      <c r="G184" t="s">
        <v>707</v>
      </c>
      <c r="H184" t="s">
        <v>708</v>
      </c>
      <c r="J184" t="s">
        <v>709</v>
      </c>
      <c r="K184">
        <v>44.5</v>
      </c>
      <c r="L184">
        <v>1.3</v>
      </c>
      <c r="M184" t="s">
        <v>47</v>
      </c>
      <c r="O184" t="s">
        <v>456</v>
      </c>
      <c r="P184" t="s">
        <v>355</v>
      </c>
      <c r="R184">
        <v>9</v>
      </c>
      <c r="S184">
        <v>65</v>
      </c>
      <c r="T184">
        <v>95</v>
      </c>
      <c r="U184">
        <v>57</v>
      </c>
      <c r="V184">
        <v>100</v>
      </c>
      <c r="W184">
        <v>85</v>
      </c>
      <c r="X184">
        <v>93</v>
      </c>
      <c r="Y184">
        <f t="shared" si="60"/>
        <v>172</v>
      </c>
      <c r="Z184">
        <f t="shared" si="61"/>
        <v>172</v>
      </c>
      <c r="AA184">
        <f t="shared" si="62"/>
        <v>140</v>
      </c>
      <c r="AB184">
        <f t="shared" si="63"/>
        <v>140</v>
      </c>
      <c r="AC184">
        <f t="shared" si="64"/>
        <v>125</v>
      </c>
      <c r="AD184">
        <f t="shared" si="65"/>
        <v>161</v>
      </c>
      <c r="AE184">
        <f t="shared" si="66"/>
        <v>147</v>
      </c>
      <c r="AF184">
        <f t="shared" si="67"/>
        <v>115</v>
      </c>
      <c r="AG184">
        <f t="shared" si="68"/>
        <v>103</v>
      </c>
      <c r="AH184">
        <f t="shared" si="69"/>
        <v>90</v>
      </c>
      <c r="AI184">
        <f t="shared" si="70"/>
        <v>119</v>
      </c>
      <c r="AJ184">
        <f t="shared" si="71"/>
        <v>109</v>
      </c>
      <c r="AK184">
        <f t="shared" si="72"/>
        <v>77</v>
      </c>
      <c r="AL184">
        <f t="shared" si="73"/>
        <v>69</v>
      </c>
      <c r="AM184">
        <f t="shared" si="74"/>
        <v>55</v>
      </c>
      <c r="AN184">
        <f t="shared" si="75"/>
        <v>167</v>
      </c>
      <c r="AO184">
        <f t="shared" si="76"/>
        <v>152</v>
      </c>
      <c r="AP184">
        <f t="shared" si="77"/>
        <v>120</v>
      </c>
      <c r="AQ184">
        <f t="shared" si="78"/>
        <v>108</v>
      </c>
      <c r="AR184">
        <f t="shared" si="79"/>
        <v>94</v>
      </c>
      <c r="AS184">
        <f t="shared" si="80"/>
        <v>150</v>
      </c>
      <c r="AT184">
        <f t="shared" si="81"/>
        <v>137</v>
      </c>
      <c r="AU184">
        <f t="shared" si="82"/>
        <v>105</v>
      </c>
      <c r="AV184">
        <f t="shared" si="83"/>
        <v>94</v>
      </c>
      <c r="AW184">
        <f t="shared" si="84"/>
        <v>81</v>
      </c>
      <c r="AX184">
        <f t="shared" si="85"/>
        <v>159</v>
      </c>
      <c r="AY184">
        <f t="shared" si="86"/>
        <v>145</v>
      </c>
      <c r="AZ184">
        <f t="shared" si="87"/>
        <v>113</v>
      </c>
      <c r="BA184">
        <f t="shared" si="88"/>
        <v>101</v>
      </c>
      <c r="BB184">
        <f t="shared" si="89"/>
        <v>88</v>
      </c>
    </row>
    <row r="185" spans="1:54" x14ac:dyDescent="0.15">
      <c r="B185" t="s">
        <v>710</v>
      </c>
      <c r="C185">
        <v>127</v>
      </c>
      <c r="D185">
        <v>0</v>
      </c>
      <c r="E185" t="s">
        <v>711</v>
      </c>
      <c r="G185" t="s">
        <v>711</v>
      </c>
      <c r="J185" t="s">
        <v>712</v>
      </c>
      <c r="K185">
        <v>55</v>
      </c>
      <c r="L185">
        <v>1.5</v>
      </c>
      <c r="M185" t="s">
        <v>90</v>
      </c>
      <c r="O185" t="s">
        <v>576</v>
      </c>
      <c r="P185" t="s">
        <v>713</v>
      </c>
      <c r="Q185" t="s">
        <v>714</v>
      </c>
      <c r="R185">
        <v>8</v>
      </c>
      <c r="S185">
        <v>65</v>
      </c>
      <c r="T185">
        <v>125</v>
      </c>
      <c r="U185">
        <v>100</v>
      </c>
      <c r="V185">
        <v>55</v>
      </c>
      <c r="W185">
        <v>70</v>
      </c>
      <c r="X185">
        <v>85</v>
      </c>
      <c r="Y185">
        <f t="shared" si="60"/>
        <v>172</v>
      </c>
      <c r="Z185">
        <f t="shared" si="61"/>
        <v>172</v>
      </c>
      <c r="AA185">
        <f t="shared" si="62"/>
        <v>140</v>
      </c>
      <c r="AB185">
        <f t="shared" si="63"/>
        <v>140</v>
      </c>
      <c r="AC185">
        <f t="shared" si="64"/>
        <v>125</v>
      </c>
      <c r="AD185">
        <f t="shared" si="65"/>
        <v>194</v>
      </c>
      <c r="AE185">
        <f t="shared" si="66"/>
        <v>177</v>
      </c>
      <c r="AF185">
        <f t="shared" si="67"/>
        <v>145</v>
      </c>
      <c r="AG185">
        <f t="shared" si="68"/>
        <v>130</v>
      </c>
      <c r="AH185">
        <f t="shared" si="69"/>
        <v>117</v>
      </c>
      <c r="AI185">
        <f t="shared" si="70"/>
        <v>167</v>
      </c>
      <c r="AJ185">
        <f t="shared" si="71"/>
        <v>152</v>
      </c>
      <c r="AK185">
        <f t="shared" si="72"/>
        <v>120</v>
      </c>
      <c r="AL185">
        <f t="shared" si="73"/>
        <v>108</v>
      </c>
      <c r="AM185">
        <f t="shared" si="74"/>
        <v>94</v>
      </c>
      <c r="AN185">
        <f t="shared" si="75"/>
        <v>117</v>
      </c>
      <c r="AO185">
        <f t="shared" si="76"/>
        <v>107</v>
      </c>
      <c r="AP185">
        <f t="shared" si="77"/>
        <v>75</v>
      </c>
      <c r="AQ185">
        <f t="shared" si="78"/>
        <v>67</v>
      </c>
      <c r="AR185">
        <f t="shared" si="79"/>
        <v>54</v>
      </c>
      <c r="AS185">
        <f t="shared" si="80"/>
        <v>134</v>
      </c>
      <c r="AT185">
        <f t="shared" si="81"/>
        <v>122</v>
      </c>
      <c r="AU185">
        <f t="shared" si="82"/>
        <v>90</v>
      </c>
      <c r="AV185">
        <f t="shared" si="83"/>
        <v>81</v>
      </c>
      <c r="AW185">
        <f t="shared" si="84"/>
        <v>67</v>
      </c>
      <c r="AX185">
        <f t="shared" si="85"/>
        <v>150</v>
      </c>
      <c r="AY185">
        <f t="shared" si="86"/>
        <v>137</v>
      </c>
      <c r="AZ185">
        <f t="shared" si="87"/>
        <v>105</v>
      </c>
      <c r="BA185">
        <f t="shared" si="88"/>
        <v>94</v>
      </c>
      <c r="BB185">
        <f t="shared" si="89"/>
        <v>81</v>
      </c>
    </row>
    <row r="186" spans="1:54" x14ac:dyDescent="0.15">
      <c r="B186" t="s">
        <v>715</v>
      </c>
      <c r="C186">
        <v>127</v>
      </c>
      <c r="D186">
        <v>1</v>
      </c>
      <c r="E186" t="s">
        <v>711</v>
      </c>
      <c r="F186" t="s">
        <v>716</v>
      </c>
      <c r="G186" t="s">
        <v>716</v>
      </c>
      <c r="J186" t="s">
        <v>712</v>
      </c>
      <c r="K186">
        <v>59</v>
      </c>
      <c r="L186">
        <v>1.7</v>
      </c>
      <c r="M186" t="s">
        <v>90</v>
      </c>
      <c r="N186" t="s">
        <v>57</v>
      </c>
      <c r="O186" t="s">
        <v>717</v>
      </c>
      <c r="P186" t="s">
        <v>714</v>
      </c>
      <c r="R186">
        <v>7</v>
      </c>
      <c r="S186">
        <v>65</v>
      </c>
      <c r="T186">
        <v>125</v>
      </c>
      <c r="U186">
        <v>100</v>
      </c>
      <c r="V186">
        <v>55</v>
      </c>
      <c r="W186">
        <v>70</v>
      </c>
      <c r="X186">
        <v>85</v>
      </c>
      <c r="Y186">
        <f t="shared" si="60"/>
        <v>172</v>
      </c>
      <c r="Z186">
        <f t="shared" si="61"/>
        <v>172</v>
      </c>
      <c r="AA186">
        <f t="shared" si="62"/>
        <v>140</v>
      </c>
      <c r="AB186">
        <f t="shared" si="63"/>
        <v>140</v>
      </c>
      <c r="AC186">
        <f t="shared" si="64"/>
        <v>125</v>
      </c>
      <c r="AD186">
        <f t="shared" si="65"/>
        <v>194</v>
      </c>
      <c r="AE186">
        <f t="shared" si="66"/>
        <v>177</v>
      </c>
      <c r="AF186">
        <f t="shared" si="67"/>
        <v>145</v>
      </c>
      <c r="AG186">
        <f t="shared" si="68"/>
        <v>130</v>
      </c>
      <c r="AH186">
        <f t="shared" si="69"/>
        <v>117</v>
      </c>
      <c r="AI186">
        <f t="shared" si="70"/>
        <v>167</v>
      </c>
      <c r="AJ186">
        <f t="shared" si="71"/>
        <v>152</v>
      </c>
      <c r="AK186">
        <f t="shared" si="72"/>
        <v>120</v>
      </c>
      <c r="AL186">
        <f t="shared" si="73"/>
        <v>108</v>
      </c>
      <c r="AM186">
        <f t="shared" si="74"/>
        <v>94</v>
      </c>
      <c r="AN186">
        <f t="shared" si="75"/>
        <v>117</v>
      </c>
      <c r="AO186">
        <f t="shared" si="76"/>
        <v>107</v>
      </c>
      <c r="AP186">
        <f t="shared" si="77"/>
        <v>75</v>
      </c>
      <c r="AQ186">
        <f t="shared" si="78"/>
        <v>67</v>
      </c>
      <c r="AR186">
        <f t="shared" si="79"/>
        <v>54</v>
      </c>
      <c r="AS186">
        <f t="shared" si="80"/>
        <v>134</v>
      </c>
      <c r="AT186">
        <f t="shared" si="81"/>
        <v>122</v>
      </c>
      <c r="AU186">
        <f t="shared" si="82"/>
        <v>90</v>
      </c>
      <c r="AV186">
        <f t="shared" si="83"/>
        <v>81</v>
      </c>
      <c r="AW186">
        <f t="shared" si="84"/>
        <v>67</v>
      </c>
      <c r="AX186">
        <f t="shared" si="85"/>
        <v>150</v>
      </c>
      <c r="AY186">
        <f t="shared" si="86"/>
        <v>137</v>
      </c>
      <c r="AZ186">
        <f t="shared" si="87"/>
        <v>105</v>
      </c>
      <c r="BA186">
        <f t="shared" si="88"/>
        <v>94</v>
      </c>
      <c r="BB186">
        <f t="shared" si="89"/>
        <v>81</v>
      </c>
    </row>
    <row r="187" spans="1:54" x14ac:dyDescent="0.15">
      <c r="A187">
        <v>116</v>
      </c>
      <c r="B187" t="s">
        <v>718</v>
      </c>
      <c r="C187">
        <v>128</v>
      </c>
      <c r="D187">
        <v>0</v>
      </c>
      <c r="E187" t="s">
        <v>719</v>
      </c>
      <c r="G187" t="s">
        <v>719</v>
      </c>
      <c r="H187" t="s">
        <v>720</v>
      </c>
      <c r="J187" t="s">
        <v>721</v>
      </c>
      <c r="K187">
        <v>88.4</v>
      </c>
      <c r="L187">
        <v>1.4</v>
      </c>
      <c r="M187" t="s">
        <v>120</v>
      </c>
      <c r="O187" t="s">
        <v>155</v>
      </c>
      <c r="P187" t="s">
        <v>356</v>
      </c>
      <c r="Q187" t="s">
        <v>222</v>
      </c>
      <c r="R187">
        <v>9</v>
      </c>
      <c r="S187">
        <v>75</v>
      </c>
      <c r="T187">
        <v>100</v>
      </c>
      <c r="U187">
        <v>95</v>
      </c>
      <c r="V187">
        <v>40</v>
      </c>
      <c r="W187">
        <v>70</v>
      </c>
      <c r="X187">
        <v>110</v>
      </c>
      <c r="Y187">
        <f t="shared" si="60"/>
        <v>182</v>
      </c>
      <c r="Z187">
        <f t="shared" si="61"/>
        <v>182</v>
      </c>
      <c r="AA187">
        <f t="shared" si="62"/>
        <v>150</v>
      </c>
      <c r="AB187">
        <f t="shared" si="63"/>
        <v>150</v>
      </c>
      <c r="AC187">
        <f t="shared" si="64"/>
        <v>135</v>
      </c>
      <c r="AD187">
        <f t="shared" si="65"/>
        <v>167</v>
      </c>
      <c r="AE187">
        <f t="shared" si="66"/>
        <v>152</v>
      </c>
      <c r="AF187">
        <f t="shared" si="67"/>
        <v>120</v>
      </c>
      <c r="AG187">
        <f t="shared" si="68"/>
        <v>108</v>
      </c>
      <c r="AH187">
        <f t="shared" si="69"/>
        <v>94</v>
      </c>
      <c r="AI187">
        <f t="shared" si="70"/>
        <v>161</v>
      </c>
      <c r="AJ187">
        <f t="shared" si="71"/>
        <v>147</v>
      </c>
      <c r="AK187">
        <f t="shared" si="72"/>
        <v>115</v>
      </c>
      <c r="AL187">
        <f t="shared" si="73"/>
        <v>103</v>
      </c>
      <c r="AM187">
        <f t="shared" si="74"/>
        <v>90</v>
      </c>
      <c r="AN187">
        <f t="shared" si="75"/>
        <v>101</v>
      </c>
      <c r="AO187">
        <f t="shared" si="76"/>
        <v>92</v>
      </c>
      <c r="AP187">
        <f t="shared" si="77"/>
        <v>60</v>
      </c>
      <c r="AQ187">
        <f t="shared" si="78"/>
        <v>54</v>
      </c>
      <c r="AR187">
        <f t="shared" si="79"/>
        <v>40</v>
      </c>
      <c r="AS187">
        <f t="shared" si="80"/>
        <v>134</v>
      </c>
      <c r="AT187">
        <f t="shared" si="81"/>
        <v>122</v>
      </c>
      <c r="AU187">
        <f t="shared" si="82"/>
        <v>90</v>
      </c>
      <c r="AV187">
        <f t="shared" si="83"/>
        <v>81</v>
      </c>
      <c r="AW187">
        <f t="shared" si="84"/>
        <v>67</v>
      </c>
      <c r="AX187">
        <f t="shared" si="85"/>
        <v>178</v>
      </c>
      <c r="AY187">
        <f t="shared" si="86"/>
        <v>162</v>
      </c>
      <c r="AZ187">
        <f t="shared" si="87"/>
        <v>130</v>
      </c>
      <c r="BA187">
        <f t="shared" si="88"/>
        <v>117</v>
      </c>
      <c r="BB187">
        <f t="shared" si="89"/>
        <v>103</v>
      </c>
    </row>
    <row r="188" spans="1:54" x14ac:dyDescent="0.15">
      <c r="A188">
        <v>117</v>
      </c>
      <c r="B188" t="s">
        <v>722</v>
      </c>
      <c r="C188">
        <v>128</v>
      </c>
      <c r="D188">
        <v>1</v>
      </c>
      <c r="E188" t="s">
        <v>719</v>
      </c>
      <c r="F188" t="s">
        <v>723</v>
      </c>
      <c r="G188" t="s">
        <v>724</v>
      </c>
      <c r="H188" t="s">
        <v>725</v>
      </c>
      <c r="J188" t="s">
        <v>721</v>
      </c>
      <c r="K188">
        <v>115</v>
      </c>
      <c r="L188">
        <v>1.4</v>
      </c>
      <c r="M188" t="s">
        <v>354</v>
      </c>
      <c r="O188" t="s">
        <v>155</v>
      </c>
      <c r="P188" t="s">
        <v>356</v>
      </c>
      <c r="Q188" t="s">
        <v>222</v>
      </c>
      <c r="R188">
        <v>9</v>
      </c>
      <c r="S188">
        <v>75</v>
      </c>
      <c r="T188">
        <v>110</v>
      </c>
      <c r="U188">
        <v>105</v>
      </c>
      <c r="V188">
        <v>30</v>
      </c>
      <c r="W188">
        <v>70</v>
      </c>
      <c r="X188">
        <v>100</v>
      </c>
      <c r="Y188">
        <f t="shared" si="60"/>
        <v>182</v>
      </c>
      <c r="Z188">
        <f t="shared" si="61"/>
        <v>182</v>
      </c>
      <c r="AA188">
        <f t="shared" si="62"/>
        <v>150</v>
      </c>
      <c r="AB188">
        <f t="shared" si="63"/>
        <v>150</v>
      </c>
      <c r="AC188">
        <f t="shared" si="64"/>
        <v>135</v>
      </c>
      <c r="AD188">
        <f t="shared" si="65"/>
        <v>178</v>
      </c>
      <c r="AE188">
        <f t="shared" si="66"/>
        <v>162</v>
      </c>
      <c r="AF188">
        <f t="shared" si="67"/>
        <v>130</v>
      </c>
      <c r="AG188">
        <f t="shared" si="68"/>
        <v>117</v>
      </c>
      <c r="AH188">
        <f t="shared" si="69"/>
        <v>103</v>
      </c>
      <c r="AI188">
        <f t="shared" si="70"/>
        <v>172</v>
      </c>
      <c r="AJ188">
        <f t="shared" si="71"/>
        <v>157</v>
      </c>
      <c r="AK188">
        <f t="shared" si="72"/>
        <v>125</v>
      </c>
      <c r="AL188">
        <f t="shared" si="73"/>
        <v>112</v>
      </c>
      <c r="AM188">
        <f t="shared" si="74"/>
        <v>99</v>
      </c>
      <c r="AN188">
        <f t="shared" si="75"/>
        <v>90</v>
      </c>
      <c r="AO188">
        <f t="shared" si="76"/>
        <v>82</v>
      </c>
      <c r="AP188">
        <f t="shared" si="77"/>
        <v>50</v>
      </c>
      <c r="AQ188">
        <f t="shared" si="78"/>
        <v>45</v>
      </c>
      <c r="AR188">
        <f t="shared" si="79"/>
        <v>31</v>
      </c>
      <c r="AS188">
        <f t="shared" si="80"/>
        <v>134</v>
      </c>
      <c r="AT188">
        <f t="shared" si="81"/>
        <v>122</v>
      </c>
      <c r="AU188">
        <f t="shared" si="82"/>
        <v>90</v>
      </c>
      <c r="AV188">
        <f t="shared" si="83"/>
        <v>81</v>
      </c>
      <c r="AW188">
        <f t="shared" si="84"/>
        <v>67</v>
      </c>
      <c r="AX188">
        <f t="shared" si="85"/>
        <v>167</v>
      </c>
      <c r="AY188">
        <f t="shared" si="86"/>
        <v>152</v>
      </c>
      <c r="AZ188">
        <f t="shared" si="87"/>
        <v>120</v>
      </c>
      <c r="BA188">
        <f t="shared" si="88"/>
        <v>108</v>
      </c>
      <c r="BB188">
        <f t="shared" si="89"/>
        <v>94</v>
      </c>
    </row>
    <row r="189" spans="1:54" x14ac:dyDescent="0.15">
      <c r="A189">
        <v>118</v>
      </c>
      <c r="B189" t="s">
        <v>726</v>
      </c>
      <c r="C189">
        <v>128</v>
      </c>
      <c r="D189">
        <v>2</v>
      </c>
      <c r="E189" t="s">
        <v>719</v>
      </c>
      <c r="F189" t="s">
        <v>723</v>
      </c>
      <c r="G189" t="s">
        <v>727</v>
      </c>
      <c r="H189" t="s">
        <v>728</v>
      </c>
      <c r="J189" t="s">
        <v>721</v>
      </c>
      <c r="K189">
        <v>85</v>
      </c>
      <c r="L189">
        <v>1.4</v>
      </c>
      <c r="M189" t="s">
        <v>354</v>
      </c>
      <c r="N189" t="s">
        <v>47</v>
      </c>
      <c r="O189" t="s">
        <v>155</v>
      </c>
      <c r="P189" t="s">
        <v>356</v>
      </c>
      <c r="Q189" t="s">
        <v>222</v>
      </c>
      <c r="R189">
        <v>9</v>
      </c>
      <c r="S189">
        <v>75</v>
      </c>
      <c r="T189">
        <v>110</v>
      </c>
      <c r="U189">
        <v>105</v>
      </c>
      <c r="V189">
        <v>30</v>
      </c>
      <c r="W189">
        <v>70</v>
      </c>
      <c r="X189">
        <v>100</v>
      </c>
      <c r="Y189">
        <f t="shared" si="60"/>
        <v>182</v>
      </c>
      <c r="Z189">
        <f t="shared" si="61"/>
        <v>182</v>
      </c>
      <c r="AA189">
        <f t="shared" si="62"/>
        <v>150</v>
      </c>
      <c r="AB189">
        <f t="shared" si="63"/>
        <v>150</v>
      </c>
      <c r="AC189">
        <f t="shared" si="64"/>
        <v>135</v>
      </c>
      <c r="AD189">
        <f t="shared" si="65"/>
        <v>178</v>
      </c>
      <c r="AE189">
        <f t="shared" si="66"/>
        <v>162</v>
      </c>
      <c r="AF189">
        <f t="shared" si="67"/>
        <v>130</v>
      </c>
      <c r="AG189">
        <f t="shared" si="68"/>
        <v>117</v>
      </c>
      <c r="AH189">
        <f t="shared" si="69"/>
        <v>103</v>
      </c>
      <c r="AI189">
        <f t="shared" si="70"/>
        <v>172</v>
      </c>
      <c r="AJ189">
        <f t="shared" si="71"/>
        <v>157</v>
      </c>
      <c r="AK189">
        <f t="shared" si="72"/>
        <v>125</v>
      </c>
      <c r="AL189">
        <f t="shared" si="73"/>
        <v>112</v>
      </c>
      <c r="AM189">
        <f t="shared" si="74"/>
        <v>99</v>
      </c>
      <c r="AN189">
        <f t="shared" si="75"/>
        <v>90</v>
      </c>
      <c r="AO189">
        <f t="shared" si="76"/>
        <v>82</v>
      </c>
      <c r="AP189">
        <f t="shared" si="77"/>
        <v>50</v>
      </c>
      <c r="AQ189">
        <f t="shared" si="78"/>
        <v>45</v>
      </c>
      <c r="AR189">
        <f t="shared" si="79"/>
        <v>31</v>
      </c>
      <c r="AS189">
        <f t="shared" si="80"/>
        <v>134</v>
      </c>
      <c r="AT189">
        <f t="shared" si="81"/>
        <v>122</v>
      </c>
      <c r="AU189">
        <f t="shared" si="82"/>
        <v>90</v>
      </c>
      <c r="AV189">
        <f t="shared" si="83"/>
        <v>81</v>
      </c>
      <c r="AW189">
        <f t="shared" si="84"/>
        <v>67</v>
      </c>
      <c r="AX189">
        <f t="shared" si="85"/>
        <v>167</v>
      </c>
      <c r="AY189">
        <f t="shared" si="86"/>
        <v>152</v>
      </c>
      <c r="AZ189">
        <f t="shared" si="87"/>
        <v>120</v>
      </c>
      <c r="BA189">
        <f t="shared" si="88"/>
        <v>108</v>
      </c>
      <c r="BB189">
        <f t="shared" si="89"/>
        <v>94</v>
      </c>
    </row>
    <row r="190" spans="1:54" x14ac:dyDescent="0.15">
      <c r="A190">
        <v>119</v>
      </c>
      <c r="B190" t="s">
        <v>729</v>
      </c>
      <c r="C190">
        <v>128</v>
      </c>
      <c r="D190">
        <v>3</v>
      </c>
      <c r="E190" t="s">
        <v>719</v>
      </c>
      <c r="F190" t="s">
        <v>723</v>
      </c>
      <c r="G190" t="s">
        <v>730</v>
      </c>
      <c r="H190" t="s">
        <v>731</v>
      </c>
      <c r="J190" t="s">
        <v>721</v>
      </c>
      <c r="K190">
        <v>110</v>
      </c>
      <c r="L190">
        <v>1.4</v>
      </c>
      <c r="M190" t="s">
        <v>354</v>
      </c>
      <c r="N190" t="s">
        <v>71</v>
      </c>
      <c r="O190" t="s">
        <v>155</v>
      </c>
      <c r="P190" t="s">
        <v>356</v>
      </c>
      <c r="Q190" t="s">
        <v>222</v>
      </c>
      <c r="R190">
        <v>9</v>
      </c>
      <c r="S190">
        <v>75</v>
      </c>
      <c r="T190">
        <v>110</v>
      </c>
      <c r="U190">
        <v>105</v>
      </c>
      <c r="V190">
        <v>30</v>
      </c>
      <c r="W190">
        <v>70</v>
      </c>
      <c r="X190">
        <v>100</v>
      </c>
      <c r="Y190">
        <f t="shared" si="60"/>
        <v>182</v>
      </c>
      <c r="Z190">
        <f t="shared" si="61"/>
        <v>182</v>
      </c>
      <c r="AA190">
        <f t="shared" si="62"/>
        <v>150</v>
      </c>
      <c r="AB190">
        <f t="shared" si="63"/>
        <v>150</v>
      </c>
      <c r="AC190">
        <f t="shared" si="64"/>
        <v>135</v>
      </c>
      <c r="AD190">
        <f t="shared" si="65"/>
        <v>178</v>
      </c>
      <c r="AE190">
        <f t="shared" si="66"/>
        <v>162</v>
      </c>
      <c r="AF190">
        <f t="shared" si="67"/>
        <v>130</v>
      </c>
      <c r="AG190">
        <f t="shared" si="68"/>
        <v>117</v>
      </c>
      <c r="AH190">
        <f t="shared" si="69"/>
        <v>103</v>
      </c>
      <c r="AI190">
        <f t="shared" si="70"/>
        <v>172</v>
      </c>
      <c r="AJ190">
        <f t="shared" si="71"/>
        <v>157</v>
      </c>
      <c r="AK190">
        <f t="shared" si="72"/>
        <v>125</v>
      </c>
      <c r="AL190">
        <f t="shared" si="73"/>
        <v>112</v>
      </c>
      <c r="AM190">
        <f t="shared" si="74"/>
        <v>99</v>
      </c>
      <c r="AN190">
        <f t="shared" si="75"/>
        <v>90</v>
      </c>
      <c r="AO190">
        <f t="shared" si="76"/>
        <v>82</v>
      </c>
      <c r="AP190">
        <f t="shared" si="77"/>
        <v>50</v>
      </c>
      <c r="AQ190">
        <f t="shared" si="78"/>
        <v>45</v>
      </c>
      <c r="AR190">
        <f t="shared" si="79"/>
        <v>31</v>
      </c>
      <c r="AS190">
        <f t="shared" si="80"/>
        <v>134</v>
      </c>
      <c r="AT190">
        <f t="shared" si="81"/>
        <v>122</v>
      </c>
      <c r="AU190">
        <f t="shared" si="82"/>
        <v>90</v>
      </c>
      <c r="AV190">
        <f t="shared" si="83"/>
        <v>81</v>
      </c>
      <c r="AW190">
        <f t="shared" si="84"/>
        <v>67</v>
      </c>
      <c r="AX190">
        <f t="shared" si="85"/>
        <v>167</v>
      </c>
      <c r="AY190">
        <f t="shared" si="86"/>
        <v>152</v>
      </c>
      <c r="AZ190">
        <f t="shared" si="87"/>
        <v>120</v>
      </c>
      <c r="BA190">
        <f t="shared" si="88"/>
        <v>108</v>
      </c>
      <c r="BB190">
        <f t="shared" si="89"/>
        <v>94</v>
      </c>
    </row>
    <row r="191" spans="1:54" x14ac:dyDescent="0.15">
      <c r="A191">
        <v>120</v>
      </c>
      <c r="B191" t="s">
        <v>732</v>
      </c>
      <c r="C191">
        <v>129</v>
      </c>
      <c r="D191">
        <v>0</v>
      </c>
      <c r="E191" t="s">
        <v>733</v>
      </c>
      <c r="G191" t="s">
        <v>733</v>
      </c>
      <c r="H191" t="s">
        <v>734</v>
      </c>
      <c r="J191" t="s">
        <v>735</v>
      </c>
      <c r="K191">
        <v>10</v>
      </c>
      <c r="L191">
        <v>0.9</v>
      </c>
      <c r="M191" t="s">
        <v>71</v>
      </c>
      <c r="O191" t="s">
        <v>346</v>
      </c>
      <c r="P191" t="s">
        <v>736</v>
      </c>
      <c r="R191">
        <v>9</v>
      </c>
      <c r="S191">
        <v>20</v>
      </c>
      <c r="T191">
        <v>10</v>
      </c>
      <c r="U191">
        <v>55</v>
      </c>
      <c r="V191">
        <v>15</v>
      </c>
      <c r="W191">
        <v>20</v>
      </c>
      <c r="X191">
        <v>80</v>
      </c>
      <c r="Y191">
        <f t="shared" si="60"/>
        <v>127</v>
      </c>
      <c r="Z191">
        <f t="shared" si="61"/>
        <v>127</v>
      </c>
      <c r="AA191">
        <f t="shared" si="62"/>
        <v>95</v>
      </c>
      <c r="AB191">
        <f t="shared" si="63"/>
        <v>95</v>
      </c>
      <c r="AC191">
        <f t="shared" si="64"/>
        <v>80</v>
      </c>
      <c r="AD191">
        <f t="shared" si="65"/>
        <v>68</v>
      </c>
      <c r="AE191">
        <f t="shared" si="66"/>
        <v>62</v>
      </c>
      <c r="AF191">
        <f t="shared" si="67"/>
        <v>30</v>
      </c>
      <c r="AG191">
        <f t="shared" si="68"/>
        <v>27</v>
      </c>
      <c r="AH191">
        <f t="shared" si="69"/>
        <v>13</v>
      </c>
      <c r="AI191">
        <f t="shared" si="70"/>
        <v>117</v>
      </c>
      <c r="AJ191">
        <f t="shared" si="71"/>
        <v>107</v>
      </c>
      <c r="AK191">
        <f t="shared" si="72"/>
        <v>75</v>
      </c>
      <c r="AL191">
        <f t="shared" si="73"/>
        <v>67</v>
      </c>
      <c r="AM191">
        <f t="shared" si="74"/>
        <v>54</v>
      </c>
      <c r="AN191">
        <f t="shared" si="75"/>
        <v>73</v>
      </c>
      <c r="AO191">
        <f t="shared" si="76"/>
        <v>67</v>
      </c>
      <c r="AP191">
        <f t="shared" si="77"/>
        <v>35</v>
      </c>
      <c r="AQ191">
        <f t="shared" si="78"/>
        <v>31</v>
      </c>
      <c r="AR191">
        <f t="shared" si="79"/>
        <v>18</v>
      </c>
      <c r="AS191">
        <f t="shared" si="80"/>
        <v>79</v>
      </c>
      <c r="AT191">
        <f t="shared" si="81"/>
        <v>72</v>
      </c>
      <c r="AU191">
        <f t="shared" si="82"/>
        <v>40</v>
      </c>
      <c r="AV191">
        <f t="shared" si="83"/>
        <v>36</v>
      </c>
      <c r="AW191">
        <f t="shared" si="84"/>
        <v>22</v>
      </c>
      <c r="AX191">
        <f t="shared" si="85"/>
        <v>145</v>
      </c>
      <c r="AY191">
        <f t="shared" si="86"/>
        <v>132</v>
      </c>
      <c r="AZ191">
        <f t="shared" si="87"/>
        <v>100</v>
      </c>
      <c r="BA191">
        <f t="shared" si="88"/>
        <v>90</v>
      </c>
      <c r="BB191">
        <f t="shared" si="89"/>
        <v>76</v>
      </c>
    </row>
    <row r="192" spans="1:54" x14ac:dyDescent="0.15">
      <c r="A192">
        <v>121</v>
      </c>
      <c r="B192" t="s">
        <v>737</v>
      </c>
      <c r="C192">
        <v>130</v>
      </c>
      <c r="D192">
        <v>0</v>
      </c>
      <c r="E192" t="s">
        <v>738</v>
      </c>
      <c r="G192" t="s">
        <v>738</v>
      </c>
      <c r="H192" t="s">
        <v>739</v>
      </c>
      <c r="J192" t="s">
        <v>740</v>
      </c>
      <c r="K192">
        <v>235</v>
      </c>
      <c r="L192">
        <v>6.5</v>
      </c>
      <c r="M192" t="s">
        <v>71</v>
      </c>
      <c r="N192" t="s">
        <v>57</v>
      </c>
      <c r="O192" t="s">
        <v>155</v>
      </c>
      <c r="P192" t="s">
        <v>714</v>
      </c>
      <c r="R192">
        <v>9</v>
      </c>
      <c r="S192">
        <v>95</v>
      </c>
      <c r="T192">
        <v>125</v>
      </c>
      <c r="U192">
        <v>79</v>
      </c>
      <c r="V192">
        <v>60</v>
      </c>
      <c r="W192">
        <v>100</v>
      </c>
      <c r="X192">
        <v>81</v>
      </c>
      <c r="Y192">
        <f t="shared" si="60"/>
        <v>202</v>
      </c>
      <c r="Z192">
        <f t="shared" si="61"/>
        <v>202</v>
      </c>
      <c r="AA192">
        <f t="shared" si="62"/>
        <v>170</v>
      </c>
      <c r="AB192">
        <f t="shared" si="63"/>
        <v>170</v>
      </c>
      <c r="AC192">
        <f t="shared" si="64"/>
        <v>155</v>
      </c>
      <c r="AD192">
        <f t="shared" si="65"/>
        <v>194</v>
      </c>
      <c r="AE192">
        <f t="shared" si="66"/>
        <v>177</v>
      </c>
      <c r="AF192">
        <f t="shared" si="67"/>
        <v>145</v>
      </c>
      <c r="AG192">
        <f t="shared" si="68"/>
        <v>130</v>
      </c>
      <c r="AH192">
        <f t="shared" si="69"/>
        <v>117</v>
      </c>
      <c r="AI192">
        <f t="shared" si="70"/>
        <v>144</v>
      </c>
      <c r="AJ192">
        <f t="shared" si="71"/>
        <v>131</v>
      </c>
      <c r="AK192">
        <f t="shared" si="72"/>
        <v>99</v>
      </c>
      <c r="AL192">
        <f t="shared" si="73"/>
        <v>89</v>
      </c>
      <c r="AM192">
        <f t="shared" si="74"/>
        <v>75</v>
      </c>
      <c r="AN192">
        <f t="shared" si="75"/>
        <v>123</v>
      </c>
      <c r="AO192">
        <f t="shared" si="76"/>
        <v>112</v>
      </c>
      <c r="AP192">
        <f t="shared" si="77"/>
        <v>80</v>
      </c>
      <c r="AQ192">
        <f t="shared" si="78"/>
        <v>72</v>
      </c>
      <c r="AR192">
        <f t="shared" si="79"/>
        <v>58</v>
      </c>
      <c r="AS192">
        <f t="shared" si="80"/>
        <v>167</v>
      </c>
      <c r="AT192">
        <f t="shared" si="81"/>
        <v>152</v>
      </c>
      <c r="AU192">
        <f t="shared" si="82"/>
        <v>120</v>
      </c>
      <c r="AV192">
        <f t="shared" si="83"/>
        <v>108</v>
      </c>
      <c r="AW192">
        <f t="shared" si="84"/>
        <v>94</v>
      </c>
      <c r="AX192">
        <f t="shared" si="85"/>
        <v>146</v>
      </c>
      <c r="AY192">
        <f t="shared" si="86"/>
        <v>133</v>
      </c>
      <c r="AZ192">
        <f t="shared" si="87"/>
        <v>101</v>
      </c>
      <c r="BA192">
        <f t="shared" si="88"/>
        <v>90</v>
      </c>
      <c r="BB192">
        <f t="shared" si="89"/>
        <v>77</v>
      </c>
    </row>
    <row r="193" spans="1:54" x14ac:dyDescent="0.15">
      <c r="B193" t="s">
        <v>741</v>
      </c>
      <c r="C193">
        <v>130</v>
      </c>
      <c r="D193">
        <v>1</v>
      </c>
      <c r="E193" t="s">
        <v>738</v>
      </c>
      <c r="F193" t="s">
        <v>742</v>
      </c>
      <c r="G193" t="s">
        <v>742</v>
      </c>
      <c r="J193" t="s">
        <v>740</v>
      </c>
      <c r="K193">
        <v>305</v>
      </c>
      <c r="L193">
        <v>6.5</v>
      </c>
      <c r="M193" t="s">
        <v>71</v>
      </c>
      <c r="N193" t="s">
        <v>140</v>
      </c>
      <c r="O193" t="s">
        <v>713</v>
      </c>
      <c r="P193" t="s">
        <v>714</v>
      </c>
      <c r="R193">
        <v>7</v>
      </c>
      <c r="S193">
        <v>95</v>
      </c>
      <c r="T193">
        <v>125</v>
      </c>
      <c r="U193">
        <v>79</v>
      </c>
      <c r="V193">
        <v>60</v>
      </c>
      <c r="W193">
        <v>100</v>
      </c>
      <c r="X193">
        <v>81</v>
      </c>
      <c r="Y193">
        <f t="shared" si="60"/>
        <v>202</v>
      </c>
      <c r="Z193">
        <f t="shared" si="61"/>
        <v>202</v>
      </c>
      <c r="AA193">
        <f t="shared" si="62"/>
        <v>170</v>
      </c>
      <c r="AB193">
        <f t="shared" si="63"/>
        <v>170</v>
      </c>
      <c r="AC193">
        <f t="shared" si="64"/>
        <v>155</v>
      </c>
      <c r="AD193">
        <f t="shared" si="65"/>
        <v>194</v>
      </c>
      <c r="AE193">
        <f t="shared" si="66"/>
        <v>177</v>
      </c>
      <c r="AF193">
        <f t="shared" si="67"/>
        <v>145</v>
      </c>
      <c r="AG193">
        <f t="shared" si="68"/>
        <v>130</v>
      </c>
      <c r="AH193">
        <f t="shared" si="69"/>
        <v>117</v>
      </c>
      <c r="AI193">
        <f t="shared" si="70"/>
        <v>144</v>
      </c>
      <c r="AJ193">
        <f t="shared" si="71"/>
        <v>131</v>
      </c>
      <c r="AK193">
        <f t="shared" si="72"/>
        <v>99</v>
      </c>
      <c r="AL193">
        <f t="shared" si="73"/>
        <v>89</v>
      </c>
      <c r="AM193">
        <f t="shared" si="74"/>
        <v>75</v>
      </c>
      <c r="AN193">
        <f t="shared" si="75"/>
        <v>123</v>
      </c>
      <c r="AO193">
        <f t="shared" si="76"/>
        <v>112</v>
      </c>
      <c r="AP193">
        <f t="shared" si="77"/>
        <v>80</v>
      </c>
      <c r="AQ193">
        <f t="shared" si="78"/>
        <v>72</v>
      </c>
      <c r="AR193">
        <f t="shared" si="79"/>
        <v>58</v>
      </c>
      <c r="AS193">
        <f t="shared" si="80"/>
        <v>167</v>
      </c>
      <c r="AT193">
        <f t="shared" si="81"/>
        <v>152</v>
      </c>
      <c r="AU193">
        <f t="shared" si="82"/>
        <v>120</v>
      </c>
      <c r="AV193">
        <f t="shared" si="83"/>
        <v>108</v>
      </c>
      <c r="AW193">
        <f t="shared" si="84"/>
        <v>94</v>
      </c>
      <c r="AX193">
        <f t="shared" si="85"/>
        <v>146</v>
      </c>
      <c r="AY193">
        <f t="shared" si="86"/>
        <v>133</v>
      </c>
      <c r="AZ193">
        <f t="shared" si="87"/>
        <v>101</v>
      </c>
      <c r="BA193">
        <f t="shared" si="88"/>
        <v>90</v>
      </c>
      <c r="BB193">
        <f t="shared" si="89"/>
        <v>77</v>
      </c>
    </row>
    <row r="194" spans="1:54" x14ac:dyDescent="0.15">
      <c r="A194">
        <v>122</v>
      </c>
      <c r="B194" t="s">
        <v>743</v>
      </c>
      <c r="C194">
        <v>131</v>
      </c>
      <c r="D194">
        <v>0</v>
      </c>
      <c r="E194" t="s">
        <v>744</v>
      </c>
      <c r="G194" t="s">
        <v>744</v>
      </c>
      <c r="H194" t="s">
        <v>745</v>
      </c>
      <c r="J194" t="s">
        <v>746</v>
      </c>
      <c r="K194">
        <v>220</v>
      </c>
      <c r="L194">
        <v>2.5</v>
      </c>
      <c r="M194" t="s">
        <v>71</v>
      </c>
      <c r="N194" t="s">
        <v>202</v>
      </c>
      <c r="O194" t="s">
        <v>383</v>
      </c>
      <c r="P194" t="s">
        <v>481</v>
      </c>
      <c r="Q194" t="s">
        <v>513</v>
      </c>
      <c r="R194">
        <v>9</v>
      </c>
      <c r="S194">
        <v>130</v>
      </c>
      <c r="T194">
        <v>85</v>
      </c>
      <c r="U194">
        <v>80</v>
      </c>
      <c r="V194">
        <v>85</v>
      </c>
      <c r="W194">
        <v>95</v>
      </c>
      <c r="X194">
        <v>60</v>
      </c>
      <c r="Y194">
        <f t="shared" ref="Y194:Y257" si="90">IF(S194="", "", S194+107)</f>
        <v>237</v>
      </c>
      <c r="Z194">
        <f t="shared" ref="Z194:Z257" si="91">IF(S194="", "", S194+107)</f>
        <v>237</v>
      </c>
      <c r="AA194">
        <f t="shared" ref="AA194:AA257" si="92">IF(S194="", "", INT(INT(S194*2 + 31)/2) + 60)</f>
        <v>205</v>
      </c>
      <c r="AB194">
        <f t="shared" ref="AB194:AB257" si="93">IF(S194="", "", INT(INT(S194*2 + 31)/2) + 60)</f>
        <v>205</v>
      </c>
      <c r="AC194">
        <f t="shared" ref="AC194:AC257" si="94">IF(S194="", "", S194 + 60)</f>
        <v>190</v>
      </c>
      <c r="AD194">
        <f t="shared" ref="AD194:AD257" si="95">IF(T194="","",INT((T194+52)*1.1))</f>
        <v>150</v>
      </c>
      <c r="AE194">
        <f t="shared" ref="AE194:AE257" si="96">IF(T194="","",T194+52)</f>
        <v>137</v>
      </c>
      <c r="AF194">
        <f t="shared" ref="AF194:AF257" si="97">IF(T194="", "", INT((T194*2 + 31)/2) + 5)</f>
        <v>105</v>
      </c>
      <c r="AG194">
        <f t="shared" ref="AG194:AG257" si="98">IF(T194="", "", INT((INT((T194*2 + 31)/2) + 5)*0.9) )</f>
        <v>94</v>
      </c>
      <c r="AH194">
        <f t="shared" ref="AH194:AH257" si="99">IF(T194="", "", INT((T194 + 5) * 0.9))</f>
        <v>81</v>
      </c>
      <c r="AI194">
        <f t="shared" ref="AI194:AI257" si="100">IF(U194="","",INT((U194+52)*1.1))</f>
        <v>145</v>
      </c>
      <c r="AJ194">
        <f t="shared" ref="AJ194:AJ257" si="101">IF(U194="","",U194+52)</f>
        <v>132</v>
      </c>
      <c r="AK194">
        <f t="shared" ref="AK194:AK257" si="102">IF(U194="", "", INT((U194*2 + 31)/2) + 5)</f>
        <v>100</v>
      </c>
      <c r="AL194">
        <f t="shared" ref="AL194:AL257" si="103">IF(U194="", "", INT((INT((U194*2 + 31)/2) + 5)*0.9) )</f>
        <v>90</v>
      </c>
      <c r="AM194">
        <f t="shared" ref="AM194:AM257" si="104">IF(U194="", "", INT((U194 + 5) * 0.9))</f>
        <v>76</v>
      </c>
      <c r="AN194">
        <f t="shared" ref="AN194:AN257" si="105">IF(V194="","",INT((V194+52)*1.1))</f>
        <v>150</v>
      </c>
      <c r="AO194">
        <f t="shared" ref="AO194:AO257" si="106">IF(V194="","",V194+52)</f>
        <v>137</v>
      </c>
      <c r="AP194">
        <f t="shared" ref="AP194:AP257" si="107">IF(V194="", "", INT((V194*2 + 31)/2) + 5)</f>
        <v>105</v>
      </c>
      <c r="AQ194">
        <f t="shared" ref="AQ194:AQ257" si="108">IF(V194="", "", INT((INT((V194*2 + 31)/2) + 5)*0.9) )</f>
        <v>94</v>
      </c>
      <c r="AR194">
        <f t="shared" ref="AR194:AR257" si="109">IF(V194="", "", INT((V194 + 5) * 0.9))</f>
        <v>81</v>
      </c>
      <c r="AS194">
        <f t="shared" ref="AS194:AS257" si="110">IF(W194="","",INT((W194+52)*1.1))</f>
        <v>161</v>
      </c>
      <c r="AT194">
        <f t="shared" ref="AT194:AT257" si="111">IF(W194="","",W194+52)</f>
        <v>147</v>
      </c>
      <c r="AU194">
        <f t="shared" ref="AU194:AU257" si="112">IF(W194="", "", INT((W194*2 + 31)/2) + 5)</f>
        <v>115</v>
      </c>
      <c r="AV194">
        <f t="shared" ref="AV194:AV257" si="113">IF(W194="", "", INT((INT((W194*2 + 31)/2) + 5)*0.9) )</f>
        <v>103</v>
      </c>
      <c r="AW194">
        <f t="shared" ref="AW194:AW257" si="114">IF(W194="", "", INT((W194 + 5) * 0.9))</f>
        <v>90</v>
      </c>
      <c r="AX194">
        <f t="shared" ref="AX194:AX257" si="115">IF(X194="","",INT((X194+52)*1.1))</f>
        <v>123</v>
      </c>
      <c r="AY194">
        <f t="shared" ref="AY194:AY257" si="116">IF(X194="","",X194+52)</f>
        <v>112</v>
      </c>
      <c r="AZ194">
        <f t="shared" ref="AZ194:AZ257" si="117">IF(X194="", "", INT((X194*2 + 31)/2) + 5)</f>
        <v>80</v>
      </c>
      <c r="BA194">
        <f t="shared" ref="BA194:BA257" si="118">IF(X194="", "", INT((INT((X194*2 + 31)/2) + 5)*0.9) )</f>
        <v>72</v>
      </c>
      <c r="BB194">
        <f t="shared" ref="BB194:BB257" si="119">IF(X194="", "", INT((X194 + 5) * 0.9))</f>
        <v>58</v>
      </c>
    </row>
    <row r="195" spans="1:54" x14ac:dyDescent="0.15">
      <c r="B195" t="s">
        <v>747</v>
      </c>
      <c r="C195">
        <v>131</v>
      </c>
      <c r="D195">
        <v>999</v>
      </c>
      <c r="E195" t="s">
        <v>744</v>
      </c>
      <c r="F195" t="s">
        <v>40</v>
      </c>
      <c r="G195" t="s">
        <v>748</v>
      </c>
      <c r="J195" t="s">
        <v>42</v>
      </c>
      <c r="K195">
        <v>9999.9</v>
      </c>
      <c r="L195">
        <v>24</v>
      </c>
      <c r="M195" t="s">
        <v>71</v>
      </c>
      <c r="N195" t="s">
        <v>202</v>
      </c>
      <c r="O195" t="s">
        <v>383</v>
      </c>
      <c r="P195" t="s">
        <v>481</v>
      </c>
      <c r="Q195" t="s">
        <v>513</v>
      </c>
      <c r="R195">
        <v>8</v>
      </c>
      <c r="S195">
        <v>130</v>
      </c>
      <c r="T195">
        <v>85</v>
      </c>
      <c r="U195">
        <v>80</v>
      </c>
      <c r="V195">
        <v>85</v>
      </c>
      <c r="W195">
        <v>95</v>
      </c>
      <c r="X195">
        <v>60</v>
      </c>
      <c r="Y195">
        <f t="shared" si="90"/>
        <v>237</v>
      </c>
      <c r="Z195">
        <f t="shared" si="91"/>
        <v>237</v>
      </c>
      <c r="AA195">
        <f t="shared" si="92"/>
        <v>205</v>
      </c>
      <c r="AB195">
        <f t="shared" si="93"/>
        <v>205</v>
      </c>
      <c r="AC195">
        <f t="shared" si="94"/>
        <v>190</v>
      </c>
      <c r="AD195">
        <f t="shared" si="95"/>
        <v>150</v>
      </c>
      <c r="AE195">
        <f t="shared" si="96"/>
        <v>137</v>
      </c>
      <c r="AF195">
        <f t="shared" si="97"/>
        <v>105</v>
      </c>
      <c r="AG195">
        <f t="shared" si="98"/>
        <v>94</v>
      </c>
      <c r="AH195">
        <f t="shared" si="99"/>
        <v>81</v>
      </c>
      <c r="AI195">
        <f t="shared" si="100"/>
        <v>145</v>
      </c>
      <c r="AJ195">
        <f t="shared" si="101"/>
        <v>132</v>
      </c>
      <c r="AK195">
        <f t="shared" si="102"/>
        <v>100</v>
      </c>
      <c r="AL195">
        <f t="shared" si="103"/>
        <v>90</v>
      </c>
      <c r="AM195">
        <f t="shared" si="104"/>
        <v>76</v>
      </c>
      <c r="AN195">
        <f t="shared" si="105"/>
        <v>150</v>
      </c>
      <c r="AO195">
        <f t="shared" si="106"/>
        <v>137</v>
      </c>
      <c r="AP195">
        <f t="shared" si="107"/>
        <v>105</v>
      </c>
      <c r="AQ195">
        <f t="shared" si="108"/>
        <v>94</v>
      </c>
      <c r="AR195">
        <f t="shared" si="109"/>
        <v>81</v>
      </c>
      <c r="AS195">
        <f t="shared" si="110"/>
        <v>161</v>
      </c>
      <c r="AT195">
        <f t="shared" si="111"/>
        <v>147</v>
      </c>
      <c r="AU195">
        <f t="shared" si="112"/>
        <v>115</v>
      </c>
      <c r="AV195">
        <f t="shared" si="113"/>
        <v>103</v>
      </c>
      <c r="AW195">
        <f t="shared" si="114"/>
        <v>90</v>
      </c>
      <c r="AX195">
        <f t="shared" si="115"/>
        <v>123</v>
      </c>
      <c r="AY195">
        <f t="shared" si="116"/>
        <v>112</v>
      </c>
      <c r="AZ195">
        <f t="shared" si="117"/>
        <v>80</v>
      </c>
      <c r="BA195">
        <f t="shared" si="118"/>
        <v>72</v>
      </c>
      <c r="BB195">
        <f t="shared" si="119"/>
        <v>58</v>
      </c>
    </row>
    <row r="196" spans="1:54" x14ac:dyDescent="0.15">
      <c r="A196">
        <v>123</v>
      </c>
      <c r="B196" t="s">
        <v>749</v>
      </c>
      <c r="C196">
        <v>132</v>
      </c>
      <c r="D196">
        <v>0</v>
      </c>
      <c r="E196" t="s">
        <v>750</v>
      </c>
      <c r="G196" t="s">
        <v>750</v>
      </c>
      <c r="H196" t="s">
        <v>751</v>
      </c>
      <c r="J196" t="s">
        <v>752</v>
      </c>
      <c r="K196">
        <v>4</v>
      </c>
      <c r="L196">
        <v>0.3</v>
      </c>
      <c r="M196" t="s">
        <v>120</v>
      </c>
      <c r="O196" t="s">
        <v>336</v>
      </c>
      <c r="P196" t="s">
        <v>753</v>
      </c>
      <c r="R196">
        <v>9</v>
      </c>
      <c r="S196">
        <v>48</v>
      </c>
      <c r="T196">
        <v>48</v>
      </c>
      <c r="U196">
        <v>48</v>
      </c>
      <c r="V196">
        <v>48</v>
      </c>
      <c r="W196">
        <v>48</v>
      </c>
      <c r="X196">
        <v>48</v>
      </c>
      <c r="Y196">
        <f t="shared" si="90"/>
        <v>155</v>
      </c>
      <c r="Z196">
        <f t="shared" si="91"/>
        <v>155</v>
      </c>
      <c r="AA196">
        <f t="shared" si="92"/>
        <v>123</v>
      </c>
      <c r="AB196">
        <f t="shared" si="93"/>
        <v>123</v>
      </c>
      <c r="AC196">
        <f t="shared" si="94"/>
        <v>108</v>
      </c>
      <c r="AD196">
        <f t="shared" si="95"/>
        <v>110</v>
      </c>
      <c r="AE196">
        <f t="shared" si="96"/>
        <v>100</v>
      </c>
      <c r="AF196">
        <f t="shared" si="97"/>
        <v>68</v>
      </c>
      <c r="AG196">
        <f t="shared" si="98"/>
        <v>61</v>
      </c>
      <c r="AH196">
        <f t="shared" si="99"/>
        <v>47</v>
      </c>
      <c r="AI196">
        <f t="shared" si="100"/>
        <v>110</v>
      </c>
      <c r="AJ196">
        <f t="shared" si="101"/>
        <v>100</v>
      </c>
      <c r="AK196">
        <f t="shared" si="102"/>
        <v>68</v>
      </c>
      <c r="AL196">
        <f t="shared" si="103"/>
        <v>61</v>
      </c>
      <c r="AM196">
        <f t="shared" si="104"/>
        <v>47</v>
      </c>
      <c r="AN196">
        <f t="shared" si="105"/>
        <v>110</v>
      </c>
      <c r="AO196">
        <f t="shared" si="106"/>
        <v>100</v>
      </c>
      <c r="AP196">
        <f t="shared" si="107"/>
        <v>68</v>
      </c>
      <c r="AQ196">
        <f t="shared" si="108"/>
        <v>61</v>
      </c>
      <c r="AR196">
        <f t="shared" si="109"/>
        <v>47</v>
      </c>
      <c r="AS196">
        <f t="shared" si="110"/>
        <v>110</v>
      </c>
      <c r="AT196">
        <f t="shared" si="111"/>
        <v>100</v>
      </c>
      <c r="AU196">
        <f t="shared" si="112"/>
        <v>68</v>
      </c>
      <c r="AV196">
        <f t="shared" si="113"/>
        <v>61</v>
      </c>
      <c r="AW196">
        <f t="shared" si="114"/>
        <v>47</v>
      </c>
      <c r="AX196">
        <f t="shared" si="115"/>
        <v>110</v>
      </c>
      <c r="AY196">
        <f t="shared" si="116"/>
        <v>100</v>
      </c>
      <c r="AZ196">
        <f t="shared" si="117"/>
        <v>68</v>
      </c>
      <c r="BA196">
        <f t="shared" si="118"/>
        <v>61</v>
      </c>
      <c r="BB196">
        <f t="shared" si="119"/>
        <v>47</v>
      </c>
    </row>
    <row r="197" spans="1:54" x14ac:dyDescent="0.15">
      <c r="A197">
        <v>124</v>
      </c>
      <c r="B197" t="s">
        <v>754</v>
      </c>
      <c r="C197">
        <v>133</v>
      </c>
      <c r="D197">
        <v>0</v>
      </c>
      <c r="E197" t="s">
        <v>755</v>
      </c>
      <c r="G197" t="s">
        <v>755</v>
      </c>
      <c r="H197" t="s">
        <v>756</v>
      </c>
      <c r="J197" t="s">
        <v>757</v>
      </c>
      <c r="K197">
        <v>6.5</v>
      </c>
      <c r="L197">
        <v>0.3</v>
      </c>
      <c r="M197" t="s">
        <v>120</v>
      </c>
      <c r="O197" t="s">
        <v>92</v>
      </c>
      <c r="P197" t="s">
        <v>116</v>
      </c>
      <c r="Q197" t="s">
        <v>758</v>
      </c>
      <c r="R197">
        <v>9</v>
      </c>
      <c r="S197">
        <v>55</v>
      </c>
      <c r="T197">
        <v>55</v>
      </c>
      <c r="U197">
        <v>50</v>
      </c>
      <c r="V197">
        <v>45</v>
      </c>
      <c r="W197">
        <v>65</v>
      </c>
      <c r="X197">
        <v>55</v>
      </c>
      <c r="Y197">
        <f t="shared" si="90"/>
        <v>162</v>
      </c>
      <c r="Z197">
        <f t="shared" si="91"/>
        <v>162</v>
      </c>
      <c r="AA197">
        <f t="shared" si="92"/>
        <v>130</v>
      </c>
      <c r="AB197">
        <f t="shared" si="93"/>
        <v>130</v>
      </c>
      <c r="AC197">
        <f t="shared" si="94"/>
        <v>115</v>
      </c>
      <c r="AD197">
        <f t="shared" si="95"/>
        <v>117</v>
      </c>
      <c r="AE197">
        <f t="shared" si="96"/>
        <v>107</v>
      </c>
      <c r="AF197">
        <f t="shared" si="97"/>
        <v>75</v>
      </c>
      <c r="AG197">
        <f t="shared" si="98"/>
        <v>67</v>
      </c>
      <c r="AH197">
        <f t="shared" si="99"/>
        <v>54</v>
      </c>
      <c r="AI197">
        <f t="shared" si="100"/>
        <v>112</v>
      </c>
      <c r="AJ197">
        <f t="shared" si="101"/>
        <v>102</v>
      </c>
      <c r="AK197">
        <f t="shared" si="102"/>
        <v>70</v>
      </c>
      <c r="AL197">
        <f t="shared" si="103"/>
        <v>63</v>
      </c>
      <c r="AM197">
        <f t="shared" si="104"/>
        <v>49</v>
      </c>
      <c r="AN197">
        <f t="shared" si="105"/>
        <v>106</v>
      </c>
      <c r="AO197">
        <f t="shared" si="106"/>
        <v>97</v>
      </c>
      <c r="AP197">
        <f t="shared" si="107"/>
        <v>65</v>
      </c>
      <c r="AQ197">
        <f t="shared" si="108"/>
        <v>58</v>
      </c>
      <c r="AR197">
        <f t="shared" si="109"/>
        <v>45</v>
      </c>
      <c r="AS197">
        <f t="shared" si="110"/>
        <v>128</v>
      </c>
      <c r="AT197">
        <f t="shared" si="111"/>
        <v>117</v>
      </c>
      <c r="AU197">
        <f t="shared" si="112"/>
        <v>85</v>
      </c>
      <c r="AV197">
        <f t="shared" si="113"/>
        <v>76</v>
      </c>
      <c r="AW197">
        <f t="shared" si="114"/>
        <v>63</v>
      </c>
      <c r="AX197">
        <f t="shared" si="115"/>
        <v>117</v>
      </c>
      <c r="AY197">
        <f t="shared" si="116"/>
        <v>107</v>
      </c>
      <c r="AZ197">
        <f t="shared" si="117"/>
        <v>75</v>
      </c>
      <c r="BA197">
        <f t="shared" si="118"/>
        <v>67</v>
      </c>
      <c r="BB197">
        <f t="shared" si="119"/>
        <v>54</v>
      </c>
    </row>
    <row r="198" spans="1:54" x14ac:dyDescent="0.15">
      <c r="B198" t="s">
        <v>759</v>
      </c>
      <c r="C198">
        <v>133</v>
      </c>
      <c r="D198">
        <v>999</v>
      </c>
      <c r="E198" t="s">
        <v>755</v>
      </c>
      <c r="F198" t="s">
        <v>40</v>
      </c>
      <c r="G198" t="s">
        <v>760</v>
      </c>
      <c r="J198" t="s">
        <v>42</v>
      </c>
      <c r="K198">
        <v>9999.9</v>
      </c>
      <c r="L198">
        <v>18</v>
      </c>
      <c r="M198" t="s">
        <v>120</v>
      </c>
      <c r="O198" t="s">
        <v>92</v>
      </c>
      <c r="P198" t="s">
        <v>116</v>
      </c>
      <c r="Q198" t="s">
        <v>758</v>
      </c>
      <c r="R198">
        <v>8</v>
      </c>
      <c r="S198">
        <v>55</v>
      </c>
      <c r="T198">
        <v>55</v>
      </c>
      <c r="U198">
        <v>50</v>
      </c>
      <c r="V198">
        <v>45</v>
      </c>
      <c r="W198">
        <v>65</v>
      </c>
      <c r="X198">
        <v>55</v>
      </c>
      <c r="Y198">
        <f t="shared" si="90"/>
        <v>162</v>
      </c>
      <c r="Z198">
        <f t="shared" si="91"/>
        <v>162</v>
      </c>
      <c r="AA198">
        <f t="shared" si="92"/>
        <v>130</v>
      </c>
      <c r="AB198">
        <f t="shared" si="93"/>
        <v>130</v>
      </c>
      <c r="AC198">
        <f t="shared" si="94"/>
        <v>115</v>
      </c>
      <c r="AD198">
        <f t="shared" si="95"/>
        <v>117</v>
      </c>
      <c r="AE198">
        <f t="shared" si="96"/>
        <v>107</v>
      </c>
      <c r="AF198">
        <f t="shared" si="97"/>
        <v>75</v>
      </c>
      <c r="AG198">
        <f t="shared" si="98"/>
        <v>67</v>
      </c>
      <c r="AH198">
        <f t="shared" si="99"/>
        <v>54</v>
      </c>
      <c r="AI198">
        <f t="shared" si="100"/>
        <v>112</v>
      </c>
      <c r="AJ198">
        <f t="shared" si="101"/>
        <v>102</v>
      </c>
      <c r="AK198">
        <f t="shared" si="102"/>
        <v>70</v>
      </c>
      <c r="AL198">
        <f t="shared" si="103"/>
        <v>63</v>
      </c>
      <c r="AM198">
        <f t="shared" si="104"/>
        <v>49</v>
      </c>
      <c r="AN198">
        <f t="shared" si="105"/>
        <v>106</v>
      </c>
      <c r="AO198">
        <f t="shared" si="106"/>
        <v>97</v>
      </c>
      <c r="AP198">
        <f t="shared" si="107"/>
        <v>65</v>
      </c>
      <c r="AQ198">
        <f t="shared" si="108"/>
        <v>58</v>
      </c>
      <c r="AR198">
        <f t="shared" si="109"/>
        <v>45</v>
      </c>
      <c r="AS198">
        <f t="shared" si="110"/>
        <v>128</v>
      </c>
      <c r="AT198">
        <f t="shared" si="111"/>
        <v>117</v>
      </c>
      <c r="AU198">
        <f t="shared" si="112"/>
        <v>85</v>
      </c>
      <c r="AV198">
        <f t="shared" si="113"/>
        <v>76</v>
      </c>
      <c r="AW198">
        <f t="shared" si="114"/>
        <v>63</v>
      </c>
      <c r="AX198">
        <f t="shared" si="115"/>
        <v>117</v>
      </c>
      <c r="AY198">
        <f t="shared" si="116"/>
        <v>107</v>
      </c>
      <c r="AZ198">
        <f t="shared" si="117"/>
        <v>75</v>
      </c>
      <c r="BA198">
        <f t="shared" si="118"/>
        <v>67</v>
      </c>
      <c r="BB198">
        <f t="shared" si="119"/>
        <v>54</v>
      </c>
    </row>
    <row r="199" spans="1:54" x14ac:dyDescent="0.15">
      <c r="A199">
        <v>125</v>
      </c>
      <c r="B199" t="s">
        <v>761</v>
      </c>
      <c r="C199">
        <v>134</v>
      </c>
      <c r="D199">
        <v>0</v>
      </c>
      <c r="E199" t="s">
        <v>762</v>
      </c>
      <c r="G199" t="s">
        <v>762</v>
      </c>
      <c r="H199" t="s">
        <v>763</v>
      </c>
      <c r="J199" t="s">
        <v>764</v>
      </c>
      <c r="K199">
        <v>29</v>
      </c>
      <c r="L199">
        <v>1</v>
      </c>
      <c r="M199" t="s">
        <v>71</v>
      </c>
      <c r="O199" t="s">
        <v>383</v>
      </c>
      <c r="P199" t="s">
        <v>513</v>
      </c>
      <c r="R199">
        <v>9</v>
      </c>
      <c r="S199">
        <v>130</v>
      </c>
      <c r="T199">
        <v>65</v>
      </c>
      <c r="U199">
        <v>60</v>
      </c>
      <c r="V199">
        <v>110</v>
      </c>
      <c r="W199">
        <v>95</v>
      </c>
      <c r="X199">
        <v>65</v>
      </c>
      <c r="Y199">
        <f t="shared" si="90"/>
        <v>237</v>
      </c>
      <c r="Z199">
        <f t="shared" si="91"/>
        <v>237</v>
      </c>
      <c r="AA199">
        <f t="shared" si="92"/>
        <v>205</v>
      </c>
      <c r="AB199">
        <f t="shared" si="93"/>
        <v>205</v>
      </c>
      <c r="AC199">
        <f t="shared" si="94"/>
        <v>190</v>
      </c>
      <c r="AD199">
        <f t="shared" si="95"/>
        <v>128</v>
      </c>
      <c r="AE199">
        <f t="shared" si="96"/>
        <v>117</v>
      </c>
      <c r="AF199">
        <f t="shared" si="97"/>
        <v>85</v>
      </c>
      <c r="AG199">
        <f t="shared" si="98"/>
        <v>76</v>
      </c>
      <c r="AH199">
        <f t="shared" si="99"/>
        <v>63</v>
      </c>
      <c r="AI199">
        <f t="shared" si="100"/>
        <v>123</v>
      </c>
      <c r="AJ199">
        <f t="shared" si="101"/>
        <v>112</v>
      </c>
      <c r="AK199">
        <f t="shared" si="102"/>
        <v>80</v>
      </c>
      <c r="AL199">
        <f t="shared" si="103"/>
        <v>72</v>
      </c>
      <c r="AM199">
        <f t="shared" si="104"/>
        <v>58</v>
      </c>
      <c r="AN199">
        <f t="shared" si="105"/>
        <v>178</v>
      </c>
      <c r="AO199">
        <f t="shared" si="106"/>
        <v>162</v>
      </c>
      <c r="AP199">
        <f t="shared" si="107"/>
        <v>130</v>
      </c>
      <c r="AQ199">
        <f t="shared" si="108"/>
        <v>117</v>
      </c>
      <c r="AR199">
        <f t="shared" si="109"/>
        <v>103</v>
      </c>
      <c r="AS199">
        <f t="shared" si="110"/>
        <v>161</v>
      </c>
      <c r="AT199">
        <f t="shared" si="111"/>
        <v>147</v>
      </c>
      <c r="AU199">
        <f t="shared" si="112"/>
        <v>115</v>
      </c>
      <c r="AV199">
        <f t="shared" si="113"/>
        <v>103</v>
      </c>
      <c r="AW199">
        <f t="shared" si="114"/>
        <v>90</v>
      </c>
      <c r="AX199">
        <f t="shared" si="115"/>
        <v>128</v>
      </c>
      <c r="AY199">
        <f t="shared" si="116"/>
        <v>117</v>
      </c>
      <c r="AZ199">
        <f t="shared" si="117"/>
        <v>85</v>
      </c>
      <c r="BA199">
        <f t="shared" si="118"/>
        <v>76</v>
      </c>
      <c r="BB199">
        <f t="shared" si="119"/>
        <v>63</v>
      </c>
    </row>
    <row r="200" spans="1:54" x14ac:dyDescent="0.15">
      <c r="A200">
        <v>126</v>
      </c>
      <c r="B200" t="s">
        <v>765</v>
      </c>
      <c r="C200">
        <v>135</v>
      </c>
      <c r="D200">
        <v>0</v>
      </c>
      <c r="E200" t="s">
        <v>766</v>
      </c>
      <c r="G200" t="s">
        <v>766</v>
      </c>
      <c r="H200" t="s">
        <v>767</v>
      </c>
      <c r="J200" t="s">
        <v>768</v>
      </c>
      <c r="K200">
        <v>24.5</v>
      </c>
      <c r="L200">
        <v>0.8</v>
      </c>
      <c r="M200" t="s">
        <v>164</v>
      </c>
      <c r="O200" t="s">
        <v>769</v>
      </c>
      <c r="P200" t="s">
        <v>770</v>
      </c>
      <c r="R200">
        <v>9</v>
      </c>
      <c r="S200">
        <v>65</v>
      </c>
      <c r="T200">
        <v>65</v>
      </c>
      <c r="U200">
        <v>60</v>
      </c>
      <c r="V200">
        <v>110</v>
      </c>
      <c r="W200">
        <v>95</v>
      </c>
      <c r="X200">
        <v>130</v>
      </c>
      <c r="Y200">
        <f t="shared" si="90"/>
        <v>172</v>
      </c>
      <c r="Z200">
        <f t="shared" si="91"/>
        <v>172</v>
      </c>
      <c r="AA200">
        <f t="shared" si="92"/>
        <v>140</v>
      </c>
      <c r="AB200">
        <f t="shared" si="93"/>
        <v>140</v>
      </c>
      <c r="AC200">
        <f t="shared" si="94"/>
        <v>125</v>
      </c>
      <c r="AD200">
        <f t="shared" si="95"/>
        <v>128</v>
      </c>
      <c r="AE200">
        <f t="shared" si="96"/>
        <v>117</v>
      </c>
      <c r="AF200">
        <f t="shared" si="97"/>
        <v>85</v>
      </c>
      <c r="AG200">
        <f t="shared" si="98"/>
        <v>76</v>
      </c>
      <c r="AH200">
        <f t="shared" si="99"/>
        <v>63</v>
      </c>
      <c r="AI200">
        <f t="shared" si="100"/>
        <v>123</v>
      </c>
      <c r="AJ200">
        <f t="shared" si="101"/>
        <v>112</v>
      </c>
      <c r="AK200">
        <f t="shared" si="102"/>
        <v>80</v>
      </c>
      <c r="AL200">
        <f t="shared" si="103"/>
        <v>72</v>
      </c>
      <c r="AM200">
        <f t="shared" si="104"/>
        <v>58</v>
      </c>
      <c r="AN200">
        <f t="shared" si="105"/>
        <v>178</v>
      </c>
      <c r="AO200">
        <f t="shared" si="106"/>
        <v>162</v>
      </c>
      <c r="AP200">
        <f t="shared" si="107"/>
        <v>130</v>
      </c>
      <c r="AQ200">
        <f t="shared" si="108"/>
        <v>117</v>
      </c>
      <c r="AR200">
        <f t="shared" si="109"/>
        <v>103</v>
      </c>
      <c r="AS200">
        <f t="shared" si="110"/>
        <v>161</v>
      </c>
      <c r="AT200">
        <f t="shared" si="111"/>
        <v>147</v>
      </c>
      <c r="AU200">
        <f t="shared" si="112"/>
        <v>115</v>
      </c>
      <c r="AV200">
        <f t="shared" si="113"/>
        <v>103</v>
      </c>
      <c r="AW200">
        <f t="shared" si="114"/>
        <v>90</v>
      </c>
      <c r="AX200">
        <f t="shared" si="115"/>
        <v>200</v>
      </c>
      <c r="AY200">
        <f t="shared" si="116"/>
        <v>182</v>
      </c>
      <c r="AZ200">
        <f t="shared" si="117"/>
        <v>150</v>
      </c>
      <c r="BA200">
        <f t="shared" si="118"/>
        <v>135</v>
      </c>
      <c r="BB200">
        <f t="shared" si="119"/>
        <v>121</v>
      </c>
    </row>
    <row r="201" spans="1:54" x14ac:dyDescent="0.15">
      <c r="A201">
        <v>127</v>
      </c>
      <c r="B201" t="s">
        <v>771</v>
      </c>
      <c r="C201">
        <v>136</v>
      </c>
      <c r="D201">
        <v>0</v>
      </c>
      <c r="E201" t="s">
        <v>772</v>
      </c>
      <c r="G201" t="s">
        <v>772</v>
      </c>
      <c r="H201" t="s">
        <v>773</v>
      </c>
      <c r="J201" t="s">
        <v>774</v>
      </c>
      <c r="K201">
        <v>25</v>
      </c>
      <c r="L201">
        <v>0.9</v>
      </c>
      <c r="M201" t="s">
        <v>47</v>
      </c>
      <c r="O201" t="s">
        <v>245</v>
      </c>
      <c r="P201" t="s">
        <v>135</v>
      </c>
      <c r="R201">
        <v>9</v>
      </c>
      <c r="S201">
        <v>65</v>
      </c>
      <c r="T201">
        <v>130</v>
      </c>
      <c r="U201">
        <v>60</v>
      </c>
      <c r="V201">
        <v>95</v>
      </c>
      <c r="W201">
        <v>110</v>
      </c>
      <c r="X201">
        <v>65</v>
      </c>
      <c r="Y201">
        <f t="shared" si="90"/>
        <v>172</v>
      </c>
      <c r="Z201">
        <f t="shared" si="91"/>
        <v>172</v>
      </c>
      <c r="AA201">
        <f t="shared" si="92"/>
        <v>140</v>
      </c>
      <c r="AB201">
        <f t="shared" si="93"/>
        <v>140</v>
      </c>
      <c r="AC201">
        <f t="shared" si="94"/>
        <v>125</v>
      </c>
      <c r="AD201">
        <f t="shared" si="95"/>
        <v>200</v>
      </c>
      <c r="AE201">
        <f t="shared" si="96"/>
        <v>182</v>
      </c>
      <c r="AF201">
        <f t="shared" si="97"/>
        <v>150</v>
      </c>
      <c r="AG201">
        <f t="shared" si="98"/>
        <v>135</v>
      </c>
      <c r="AH201">
        <f t="shared" si="99"/>
        <v>121</v>
      </c>
      <c r="AI201">
        <f t="shared" si="100"/>
        <v>123</v>
      </c>
      <c r="AJ201">
        <f t="shared" si="101"/>
        <v>112</v>
      </c>
      <c r="AK201">
        <f t="shared" si="102"/>
        <v>80</v>
      </c>
      <c r="AL201">
        <f t="shared" si="103"/>
        <v>72</v>
      </c>
      <c r="AM201">
        <f t="shared" si="104"/>
        <v>58</v>
      </c>
      <c r="AN201">
        <f t="shared" si="105"/>
        <v>161</v>
      </c>
      <c r="AO201">
        <f t="shared" si="106"/>
        <v>147</v>
      </c>
      <c r="AP201">
        <f t="shared" si="107"/>
        <v>115</v>
      </c>
      <c r="AQ201">
        <f t="shared" si="108"/>
        <v>103</v>
      </c>
      <c r="AR201">
        <f t="shared" si="109"/>
        <v>90</v>
      </c>
      <c r="AS201">
        <f t="shared" si="110"/>
        <v>178</v>
      </c>
      <c r="AT201">
        <f t="shared" si="111"/>
        <v>162</v>
      </c>
      <c r="AU201">
        <f t="shared" si="112"/>
        <v>130</v>
      </c>
      <c r="AV201">
        <f t="shared" si="113"/>
        <v>117</v>
      </c>
      <c r="AW201">
        <f t="shared" si="114"/>
        <v>103</v>
      </c>
      <c r="AX201">
        <f t="shared" si="115"/>
        <v>128</v>
      </c>
      <c r="AY201">
        <f t="shared" si="116"/>
        <v>117</v>
      </c>
      <c r="AZ201">
        <f t="shared" si="117"/>
        <v>85</v>
      </c>
      <c r="BA201">
        <f t="shared" si="118"/>
        <v>76</v>
      </c>
      <c r="BB201">
        <f t="shared" si="119"/>
        <v>63</v>
      </c>
    </row>
    <row r="202" spans="1:54" x14ac:dyDescent="0.15">
      <c r="A202">
        <v>128</v>
      </c>
      <c r="B202" t="s">
        <v>775</v>
      </c>
      <c r="C202">
        <v>137</v>
      </c>
      <c r="D202">
        <v>0</v>
      </c>
      <c r="E202" t="s">
        <v>776</v>
      </c>
      <c r="G202" t="s">
        <v>776</v>
      </c>
      <c r="H202" t="s">
        <v>777</v>
      </c>
      <c r="J202" t="s">
        <v>778</v>
      </c>
      <c r="K202">
        <v>36.5</v>
      </c>
      <c r="L202">
        <v>0.8</v>
      </c>
      <c r="M202" t="s">
        <v>120</v>
      </c>
      <c r="O202" t="s">
        <v>400</v>
      </c>
      <c r="P202" t="s">
        <v>779</v>
      </c>
      <c r="Q202" t="s">
        <v>490</v>
      </c>
      <c r="R202">
        <v>9</v>
      </c>
      <c r="S202">
        <v>65</v>
      </c>
      <c r="T202">
        <v>60</v>
      </c>
      <c r="U202">
        <v>70</v>
      </c>
      <c r="V202">
        <v>85</v>
      </c>
      <c r="W202">
        <v>75</v>
      </c>
      <c r="X202">
        <v>40</v>
      </c>
      <c r="Y202">
        <f t="shared" si="90"/>
        <v>172</v>
      </c>
      <c r="Z202">
        <f t="shared" si="91"/>
        <v>172</v>
      </c>
      <c r="AA202">
        <f t="shared" si="92"/>
        <v>140</v>
      </c>
      <c r="AB202">
        <f t="shared" si="93"/>
        <v>140</v>
      </c>
      <c r="AC202">
        <f t="shared" si="94"/>
        <v>125</v>
      </c>
      <c r="AD202">
        <f t="shared" si="95"/>
        <v>123</v>
      </c>
      <c r="AE202">
        <f t="shared" si="96"/>
        <v>112</v>
      </c>
      <c r="AF202">
        <f t="shared" si="97"/>
        <v>80</v>
      </c>
      <c r="AG202">
        <f t="shared" si="98"/>
        <v>72</v>
      </c>
      <c r="AH202">
        <f t="shared" si="99"/>
        <v>58</v>
      </c>
      <c r="AI202">
        <f t="shared" si="100"/>
        <v>134</v>
      </c>
      <c r="AJ202">
        <f t="shared" si="101"/>
        <v>122</v>
      </c>
      <c r="AK202">
        <f t="shared" si="102"/>
        <v>90</v>
      </c>
      <c r="AL202">
        <f t="shared" si="103"/>
        <v>81</v>
      </c>
      <c r="AM202">
        <f t="shared" si="104"/>
        <v>67</v>
      </c>
      <c r="AN202">
        <f t="shared" si="105"/>
        <v>150</v>
      </c>
      <c r="AO202">
        <f t="shared" si="106"/>
        <v>137</v>
      </c>
      <c r="AP202">
        <f t="shared" si="107"/>
        <v>105</v>
      </c>
      <c r="AQ202">
        <f t="shared" si="108"/>
        <v>94</v>
      </c>
      <c r="AR202">
        <f t="shared" si="109"/>
        <v>81</v>
      </c>
      <c r="AS202">
        <f t="shared" si="110"/>
        <v>139</v>
      </c>
      <c r="AT202">
        <f t="shared" si="111"/>
        <v>127</v>
      </c>
      <c r="AU202">
        <f t="shared" si="112"/>
        <v>95</v>
      </c>
      <c r="AV202">
        <f t="shared" si="113"/>
        <v>85</v>
      </c>
      <c r="AW202">
        <f t="shared" si="114"/>
        <v>72</v>
      </c>
      <c r="AX202">
        <f t="shared" si="115"/>
        <v>101</v>
      </c>
      <c r="AY202">
        <f t="shared" si="116"/>
        <v>92</v>
      </c>
      <c r="AZ202">
        <f t="shared" si="117"/>
        <v>60</v>
      </c>
      <c r="BA202">
        <f t="shared" si="118"/>
        <v>54</v>
      </c>
      <c r="BB202">
        <f t="shared" si="119"/>
        <v>40</v>
      </c>
    </row>
    <row r="203" spans="1:54" x14ac:dyDescent="0.15">
      <c r="B203" t="s">
        <v>780</v>
      </c>
      <c r="C203">
        <v>138</v>
      </c>
      <c r="D203">
        <v>0</v>
      </c>
      <c r="E203" t="s">
        <v>781</v>
      </c>
      <c r="G203" t="s">
        <v>781</v>
      </c>
      <c r="J203" t="s">
        <v>782</v>
      </c>
      <c r="K203">
        <v>7.5</v>
      </c>
      <c r="L203">
        <v>0.4</v>
      </c>
      <c r="M203" t="s">
        <v>371</v>
      </c>
      <c r="N203" t="s">
        <v>71</v>
      </c>
      <c r="O203" t="s">
        <v>346</v>
      </c>
      <c r="P203" t="s">
        <v>481</v>
      </c>
      <c r="Q203" t="s">
        <v>563</v>
      </c>
      <c r="R203">
        <v>8</v>
      </c>
      <c r="S203">
        <v>35</v>
      </c>
      <c r="T203">
        <v>40</v>
      </c>
      <c r="U203">
        <v>100</v>
      </c>
      <c r="V203">
        <v>90</v>
      </c>
      <c r="W203">
        <v>55</v>
      </c>
      <c r="X203">
        <v>35</v>
      </c>
      <c r="Y203">
        <f t="shared" si="90"/>
        <v>142</v>
      </c>
      <c r="Z203">
        <f t="shared" si="91"/>
        <v>142</v>
      </c>
      <c r="AA203">
        <f t="shared" si="92"/>
        <v>110</v>
      </c>
      <c r="AB203">
        <f t="shared" si="93"/>
        <v>110</v>
      </c>
      <c r="AC203">
        <f t="shared" si="94"/>
        <v>95</v>
      </c>
      <c r="AD203">
        <f t="shared" si="95"/>
        <v>101</v>
      </c>
      <c r="AE203">
        <f t="shared" si="96"/>
        <v>92</v>
      </c>
      <c r="AF203">
        <f t="shared" si="97"/>
        <v>60</v>
      </c>
      <c r="AG203">
        <f t="shared" si="98"/>
        <v>54</v>
      </c>
      <c r="AH203">
        <f t="shared" si="99"/>
        <v>40</v>
      </c>
      <c r="AI203">
        <f t="shared" si="100"/>
        <v>167</v>
      </c>
      <c r="AJ203">
        <f t="shared" si="101"/>
        <v>152</v>
      </c>
      <c r="AK203">
        <f t="shared" si="102"/>
        <v>120</v>
      </c>
      <c r="AL203">
        <f t="shared" si="103"/>
        <v>108</v>
      </c>
      <c r="AM203">
        <f t="shared" si="104"/>
        <v>94</v>
      </c>
      <c r="AN203">
        <f t="shared" si="105"/>
        <v>156</v>
      </c>
      <c r="AO203">
        <f t="shared" si="106"/>
        <v>142</v>
      </c>
      <c r="AP203">
        <f t="shared" si="107"/>
        <v>110</v>
      </c>
      <c r="AQ203">
        <f t="shared" si="108"/>
        <v>99</v>
      </c>
      <c r="AR203">
        <f t="shared" si="109"/>
        <v>85</v>
      </c>
      <c r="AS203">
        <f t="shared" si="110"/>
        <v>117</v>
      </c>
      <c r="AT203">
        <f t="shared" si="111"/>
        <v>107</v>
      </c>
      <c r="AU203">
        <f t="shared" si="112"/>
        <v>75</v>
      </c>
      <c r="AV203">
        <f t="shared" si="113"/>
        <v>67</v>
      </c>
      <c r="AW203">
        <f t="shared" si="114"/>
        <v>54</v>
      </c>
      <c r="AX203">
        <f t="shared" si="115"/>
        <v>95</v>
      </c>
      <c r="AY203">
        <f t="shared" si="116"/>
        <v>87</v>
      </c>
      <c r="AZ203">
        <f t="shared" si="117"/>
        <v>55</v>
      </c>
      <c r="BA203">
        <f t="shared" si="118"/>
        <v>49</v>
      </c>
      <c r="BB203">
        <f t="shared" si="119"/>
        <v>36</v>
      </c>
    </row>
    <row r="204" spans="1:54" x14ac:dyDescent="0.15">
      <c r="B204" t="s">
        <v>783</v>
      </c>
      <c r="C204">
        <v>139</v>
      </c>
      <c r="D204">
        <v>0</v>
      </c>
      <c r="E204" t="s">
        <v>784</v>
      </c>
      <c r="G204" t="s">
        <v>784</v>
      </c>
      <c r="J204" t="s">
        <v>782</v>
      </c>
      <c r="K204">
        <v>35</v>
      </c>
      <c r="L204">
        <v>1</v>
      </c>
      <c r="M204" t="s">
        <v>371</v>
      </c>
      <c r="N204" t="s">
        <v>71</v>
      </c>
      <c r="O204" t="s">
        <v>346</v>
      </c>
      <c r="P204" t="s">
        <v>481</v>
      </c>
      <c r="Q204" t="s">
        <v>563</v>
      </c>
      <c r="R204">
        <v>8</v>
      </c>
      <c r="S204">
        <v>70</v>
      </c>
      <c r="T204">
        <v>60</v>
      </c>
      <c r="U204">
        <v>125</v>
      </c>
      <c r="V204">
        <v>115</v>
      </c>
      <c r="W204">
        <v>70</v>
      </c>
      <c r="X204">
        <v>55</v>
      </c>
      <c r="Y204">
        <f t="shared" si="90"/>
        <v>177</v>
      </c>
      <c r="Z204">
        <f t="shared" si="91"/>
        <v>177</v>
      </c>
      <c r="AA204">
        <f t="shared" si="92"/>
        <v>145</v>
      </c>
      <c r="AB204">
        <f t="shared" si="93"/>
        <v>145</v>
      </c>
      <c r="AC204">
        <f t="shared" si="94"/>
        <v>130</v>
      </c>
      <c r="AD204">
        <f t="shared" si="95"/>
        <v>123</v>
      </c>
      <c r="AE204">
        <f t="shared" si="96"/>
        <v>112</v>
      </c>
      <c r="AF204">
        <f t="shared" si="97"/>
        <v>80</v>
      </c>
      <c r="AG204">
        <f t="shared" si="98"/>
        <v>72</v>
      </c>
      <c r="AH204">
        <f t="shared" si="99"/>
        <v>58</v>
      </c>
      <c r="AI204">
        <f t="shared" si="100"/>
        <v>194</v>
      </c>
      <c r="AJ204">
        <f t="shared" si="101"/>
        <v>177</v>
      </c>
      <c r="AK204">
        <f t="shared" si="102"/>
        <v>145</v>
      </c>
      <c r="AL204">
        <f t="shared" si="103"/>
        <v>130</v>
      </c>
      <c r="AM204">
        <f t="shared" si="104"/>
        <v>117</v>
      </c>
      <c r="AN204">
        <f t="shared" si="105"/>
        <v>183</v>
      </c>
      <c r="AO204">
        <f t="shared" si="106"/>
        <v>167</v>
      </c>
      <c r="AP204">
        <f t="shared" si="107"/>
        <v>135</v>
      </c>
      <c r="AQ204">
        <f t="shared" si="108"/>
        <v>121</v>
      </c>
      <c r="AR204">
        <f t="shared" si="109"/>
        <v>108</v>
      </c>
      <c r="AS204">
        <f t="shared" si="110"/>
        <v>134</v>
      </c>
      <c r="AT204">
        <f t="shared" si="111"/>
        <v>122</v>
      </c>
      <c r="AU204">
        <f t="shared" si="112"/>
        <v>90</v>
      </c>
      <c r="AV204">
        <f t="shared" si="113"/>
        <v>81</v>
      </c>
      <c r="AW204">
        <f t="shared" si="114"/>
        <v>67</v>
      </c>
      <c r="AX204">
        <f t="shared" si="115"/>
        <v>117</v>
      </c>
      <c r="AY204">
        <f t="shared" si="116"/>
        <v>107</v>
      </c>
      <c r="AZ204">
        <f t="shared" si="117"/>
        <v>75</v>
      </c>
      <c r="BA204">
        <f t="shared" si="118"/>
        <v>67</v>
      </c>
      <c r="BB204">
        <f t="shared" si="119"/>
        <v>54</v>
      </c>
    </row>
    <row r="205" spans="1:54" x14ac:dyDescent="0.15">
      <c r="B205" t="s">
        <v>785</v>
      </c>
      <c r="C205">
        <v>140</v>
      </c>
      <c r="D205">
        <v>0</v>
      </c>
      <c r="E205" t="s">
        <v>786</v>
      </c>
      <c r="G205" t="s">
        <v>786</v>
      </c>
      <c r="J205" t="s">
        <v>81</v>
      </c>
      <c r="K205">
        <v>11.5</v>
      </c>
      <c r="L205">
        <v>0.5</v>
      </c>
      <c r="M205" t="s">
        <v>371</v>
      </c>
      <c r="N205" t="s">
        <v>71</v>
      </c>
      <c r="O205" t="s">
        <v>346</v>
      </c>
      <c r="P205" t="s">
        <v>613</v>
      </c>
      <c r="Q205" t="s">
        <v>563</v>
      </c>
      <c r="R205">
        <v>8</v>
      </c>
      <c r="S205">
        <v>30</v>
      </c>
      <c r="T205">
        <v>80</v>
      </c>
      <c r="U205">
        <v>90</v>
      </c>
      <c r="V205">
        <v>55</v>
      </c>
      <c r="W205">
        <v>45</v>
      </c>
      <c r="X205">
        <v>55</v>
      </c>
      <c r="Y205">
        <f t="shared" si="90"/>
        <v>137</v>
      </c>
      <c r="Z205">
        <f t="shared" si="91"/>
        <v>137</v>
      </c>
      <c r="AA205">
        <f t="shared" si="92"/>
        <v>105</v>
      </c>
      <c r="AB205">
        <f t="shared" si="93"/>
        <v>105</v>
      </c>
      <c r="AC205">
        <f t="shared" si="94"/>
        <v>90</v>
      </c>
      <c r="AD205">
        <f t="shared" si="95"/>
        <v>145</v>
      </c>
      <c r="AE205">
        <f t="shared" si="96"/>
        <v>132</v>
      </c>
      <c r="AF205">
        <f t="shared" si="97"/>
        <v>100</v>
      </c>
      <c r="AG205">
        <f t="shared" si="98"/>
        <v>90</v>
      </c>
      <c r="AH205">
        <f t="shared" si="99"/>
        <v>76</v>
      </c>
      <c r="AI205">
        <f t="shared" si="100"/>
        <v>156</v>
      </c>
      <c r="AJ205">
        <f t="shared" si="101"/>
        <v>142</v>
      </c>
      <c r="AK205">
        <f t="shared" si="102"/>
        <v>110</v>
      </c>
      <c r="AL205">
        <f t="shared" si="103"/>
        <v>99</v>
      </c>
      <c r="AM205">
        <f t="shared" si="104"/>
        <v>85</v>
      </c>
      <c r="AN205">
        <f t="shared" si="105"/>
        <v>117</v>
      </c>
      <c r="AO205">
        <f t="shared" si="106"/>
        <v>107</v>
      </c>
      <c r="AP205">
        <f t="shared" si="107"/>
        <v>75</v>
      </c>
      <c r="AQ205">
        <f t="shared" si="108"/>
        <v>67</v>
      </c>
      <c r="AR205">
        <f t="shared" si="109"/>
        <v>54</v>
      </c>
      <c r="AS205">
        <f t="shared" si="110"/>
        <v>106</v>
      </c>
      <c r="AT205">
        <f t="shared" si="111"/>
        <v>97</v>
      </c>
      <c r="AU205">
        <f t="shared" si="112"/>
        <v>65</v>
      </c>
      <c r="AV205">
        <f t="shared" si="113"/>
        <v>58</v>
      </c>
      <c r="AW205">
        <f t="shared" si="114"/>
        <v>45</v>
      </c>
      <c r="AX205">
        <f t="shared" si="115"/>
        <v>117</v>
      </c>
      <c r="AY205">
        <f t="shared" si="116"/>
        <v>107</v>
      </c>
      <c r="AZ205">
        <f t="shared" si="117"/>
        <v>75</v>
      </c>
      <c r="BA205">
        <f t="shared" si="118"/>
        <v>67</v>
      </c>
      <c r="BB205">
        <f t="shared" si="119"/>
        <v>54</v>
      </c>
    </row>
    <row r="206" spans="1:54" x14ac:dyDescent="0.15">
      <c r="B206" t="s">
        <v>787</v>
      </c>
      <c r="C206">
        <v>141</v>
      </c>
      <c r="D206">
        <v>0</v>
      </c>
      <c r="E206" t="s">
        <v>788</v>
      </c>
      <c r="G206" t="s">
        <v>788</v>
      </c>
      <c r="J206" t="s">
        <v>81</v>
      </c>
      <c r="K206">
        <v>40.5</v>
      </c>
      <c r="L206">
        <v>1.3</v>
      </c>
      <c r="M206" t="s">
        <v>371</v>
      </c>
      <c r="N206" t="s">
        <v>71</v>
      </c>
      <c r="O206" t="s">
        <v>346</v>
      </c>
      <c r="P206" t="s">
        <v>613</v>
      </c>
      <c r="Q206" t="s">
        <v>563</v>
      </c>
      <c r="R206">
        <v>8</v>
      </c>
      <c r="S206">
        <v>60</v>
      </c>
      <c r="T206">
        <v>115</v>
      </c>
      <c r="U206">
        <v>105</v>
      </c>
      <c r="V206">
        <v>65</v>
      </c>
      <c r="W206">
        <v>70</v>
      </c>
      <c r="X206">
        <v>80</v>
      </c>
      <c r="Y206">
        <f t="shared" si="90"/>
        <v>167</v>
      </c>
      <c r="Z206">
        <f t="shared" si="91"/>
        <v>167</v>
      </c>
      <c r="AA206">
        <f t="shared" si="92"/>
        <v>135</v>
      </c>
      <c r="AB206">
        <f t="shared" si="93"/>
        <v>135</v>
      </c>
      <c r="AC206">
        <f t="shared" si="94"/>
        <v>120</v>
      </c>
      <c r="AD206">
        <f t="shared" si="95"/>
        <v>183</v>
      </c>
      <c r="AE206">
        <f t="shared" si="96"/>
        <v>167</v>
      </c>
      <c r="AF206">
        <f t="shared" si="97"/>
        <v>135</v>
      </c>
      <c r="AG206">
        <f t="shared" si="98"/>
        <v>121</v>
      </c>
      <c r="AH206">
        <f t="shared" si="99"/>
        <v>108</v>
      </c>
      <c r="AI206">
        <f t="shared" si="100"/>
        <v>172</v>
      </c>
      <c r="AJ206">
        <f t="shared" si="101"/>
        <v>157</v>
      </c>
      <c r="AK206">
        <f t="shared" si="102"/>
        <v>125</v>
      </c>
      <c r="AL206">
        <f t="shared" si="103"/>
        <v>112</v>
      </c>
      <c r="AM206">
        <f t="shared" si="104"/>
        <v>99</v>
      </c>
      <c r="AN206">
        <f t="shared" si="105"/>
        <v>128</v>
      </c>
      <c r="AO206">
        <f t="shared" si="106"/>
        <v>117</v>
      </c>
      <c r="AP206">
        <f t="shared" si="107"/>
        <v>85</v>
      </c>
      <c r="AQ206">
        <f t="shared" si="108"/>
        <v>76</v>
      </c>
      <c r="AR206">
        <f t="shared" si="109"/>
        <v>63</v>
      </c>
      <c r="AS206">
        <f t="shared" si="110"/>
        <v>134</v>
      </c>
      <c r="AT206">
        <f t="shared" si="111"/>
        <v>122</v>
      </c>
      <c r="AU206">
        <f t="shared" si="112"/>
        <v>90</v>
      </c>
      <c r="AV206">
        <f t="shared" si="113"/>
        <v>81</v>
      </c>
      <c r="AW206">
        <f t="shared" si="114"/>
        <v>67</v>
      </c>
      <c r="AX206">
        <f t="shared" si="115"/>
        <v>145</v>
      </c>
      <c r="AY206">
        <f t="shared" si="116"/>
        <v>132</v>
      </c>
      <c r="AZ206">
        <f t="shared" si="117"/>
        <v>100</v>
      </c>
      <c r="BA206">
        <f t="shared" si="118"/>
        <v>90</v>
      </c>
      <c r="BB206">
        <f t="shared" si="119"/>
        <v>76</v>
      </c>
    </row>
    <row r="207" spans="1:54" x14ac:dyDescent="0.15">
      <c r="B207" t="s">
        <v>789</v>
      </c>
      <c r="C207">
        <v>142</v>
      </c>
      <c r="D207">
        <v>0</v>
      </c>
      <c r="E207" t="s">
        <v>790</v>
      </c>
      <c r="G207" t="s">
        <v>790</v>
      </c>
      <c r="J207" t="s">
        <v>791</v>
      </c>
      <c r="K207">
        <v>59</v>
      </c>
      <c r="L207">
        <v>1.8</v>
      </c>
      <c r="M207" t="s">
        <v>371</v>
      </c>
      <c r="N207" t="s">
        <v>57</v>
      </c>
      <c r="O207" t="s">
        <v>434</v>
      </c>
      <c r="P207" t="s">
        <v>792</v>
      </c>
      <c r="Q207" t="s">
        <v>156</v>
      </c>
      <c r="R207">
        <v>8</v>
      </c>
      <c r="S207">
        <v>80</v>
      </c>
      <c r="T207">
        <v>105</v>
      </c>
      <c r="U207">
        <v>65</v>
      </c>
      <c r="V207">
        <v>60</v>
      </c>
      <c r="W207">
        <v>75</v>
      </c>
      <c r="X207">
        <v>130</v>
      </c>
      <c r="Y207">
        <f t="shared" si="90"/>
        <v>187</v>
      </c>
      <c r="Z207">
        <f t="shared" si="91"/>
        <v>187</v>
      </c>
      <c r="AA207">
        <f t="shared" si="92"/>
        <v>155</v>
      </c>
      <c r="AB207">
        <f t="shared" si="93"/>
        <v>155</v>
      </c>
      <c r="AC207">
        <f t="shared" si="94"/>
        <v>140</v>
      </c>
      <c r="AD207">
        <f t="shared" si="95"/>
        <v>172</v>
      </c>
      <c r="AE207">
        <f t="shared" si="96"/>
        <v>157</v>
      </c>
      <c r="AF207">
        <f t="shared" si="97"/>
        <v>125</v>
      </c>
      <c r="AG207">
        <f t="shared" si="98"/>
        <v>112</v>
      </c>
      <c r="AH207">
        <f t="shared" si="99"/>
        <v>99</v>
      </c>
      <c r="AI207">
        <f t="shared" si="100"/>
        <v>128</v>
      </c>
      <c r="AJ207">
        <f t="shared" si="101"/>
        <v>117</v>
      </c>
      <c r="AK207">
        <f t="shared" si="102"/>
        <v>85</v>
      </c>
      <c r="AL207">
        <f t="shared" si="103"/>
        <v>76</v>
      </c>
      <c r="AM207">
        <f t="shared" si="104"/>
        <v>63</v>
      </c>
      <c r="AN207">
        <f t="shared" si="105"/>
        <v>123</v>
      </c>
      <c r="AO207">
        <f t="shared" si="106"/>
        <v>112</v>
      </c>
      <c r="AP207">
        <f t="shared" si="107"/>
        <v>80</v>
      </c>
      <c r="AQ207">
        <f t="shared" si="108"/>
        <v>72</v>
      </c>
      <c r="AR207">
        <f t="shared" si="109"/>
        <v>58</v>
      </c>
      <c r="AS207">
        <f t="shared" si="110"/>
        <v>139</v>
      </c>
      <c r="AT207">
        <f t="shared" si="111"/>
        <v>127</v>
      </c>
      <c r="AU207">
        <f t="shared" si="112"/>
        <v>95</v>
      </c>
      <c r="AV207">
        <f t="shared" si="113"/>
        <v>85</v>
      </c>
      <c r="AW207">
        <f t="shared" si="114"/>
        <v>72</v>
      </c>
      <c r="AX207">
        <f t="shared" si="115"/>
        <v>200</v>
      </c>
      <c r="AY207">
        <f t="shared" si="116"/>
        <v>182</v>
      </c>
      <c r="AZ207">
        <f t="shared" si="117"/>
        <v>150</v>
      </c>
      <c r="BA207">
        <f t="shared" si="118"/>
        <v>135</v>
      </c>
      <c r="BB207">
        <f t="shared" si="119"/>
        <v>121</v>
      </c>
    </row>
    <row r="208" spans="1:54" x14ac:dyDescent="0.15">
      <c r="B208" t="s">
        <v>793</v>
      </c>
      <c r="C208">
        <v>142</v>
      </c>
      <c r="D208">
        <v>1</v>
      </c>
      <c r="E208" t="s">
        <v>790</v>
      </c>
      <c r="F208" t="s">
        <v>794</v>
      </c>
      <c r="G208" t="s">
        <v>794</v>
      </c>
      <c r="J208" t="s">
        <v>791</v>
      </c>
      <c r="K208">
        <v>79</v>
      </c>
      <c r="L208">
        <v>2.1</v>
      </c>
      <c r="M208" t="s">
        <v>371</v>
      </c>
      <c r="N208" t="s">
        <v>57</v>
      </c>
      <c r="O208" t="s">
        <v>61</v>
      </c>
      <c r="P208" t="s">
        <v>156</v>
      </c>
      <c r="R208">
        <v>7</v>
      </c>
      <c r="S208">
        <v>80</v>
      </c>
      <c r="T208">
        <v>105</v>
      </c>
      <c r="U208">
        <v>65</v>
      </c>
      <c r="V208">
        <v>60</v>
      </c>
      <c r="W208">
        <v>75</v>
      </c>
      <c r="X208">
        <v>130</v>
      </c>
      <c r="Y208">
        <f t="shared" si="90"/>
        <v>187</v>
      </c>
      <c r="Z208">
        <f t="shared" si="91"/>
        <v>187</v>
      </c>
      <c r="AA208">
        <f t="shared" si="92"/>
        <v>155</v>
      </c>
      <c r="AB208">
        <f t="shared" si="93"/>
        <v>155</v>
      </c>
      <c r="AC208">
        <f t="shared" si="94"/>
        <v>140</v>
      </c>
      <c r="AD208">
        <f t="shared" si="95"/>
        <v>172</v>
      </c>
      <c r="AE208">
        <f t="shared" si="96"/>
        <v>157</v>
      </c>
      <c r="AF208">
        <f t="shared" si="97"/>
        <v>125</v>
      </c>
      <c r="AG208">
        <f t="shared" si="98"/>
        <v>112</v>
      </c>
      <c r="AH208">
        <f t="shared" si="99"/>
        <v>99</v>
      </c>
      <c r="AI208">
        <f t="shared" si="100"/>
        <v>128</v>
      </c>
      <c r="AJ208">
        <f t="shared" si="101"/>
        <v>117</v>
      </c>
      <c r="AK208">
        <f t="shared" si="102"/>
        <v>85</v>
      </c>
      <c r="AL208">
        <f t="shared" si="103"/>
        <v>76</v>
      </c>
      <c r="AM208">
        <f t="shared" si="104"/>
        <v>63</v>
      </c>
      <c r="AN208">
        <f t="shared" si="105"/>
        <v>123</v>
      </c>
      <c r="AO208">
        <f t="shared" si="106"/>
        <v>112</v>
      </c>
      <c r="AP208">
        <f t="shared" si="107"/>
        <v>80</v>
      </c>
      <c r="AQ208">
        <f t="shared" si="108"/>
        <v>72</v>
      </c>
      <c r="AR208">
        <f t="shared" si="109"/>
        <v>58</v>
      </c>
      <c r="AS208">
        <f t="shared" si="110"/>
        <v>139</v>
      </c>
      <c r="AT208">
        <f t="shared" si="111"/>
        <v>127</v>
      </c>
      <c r="AU208">
        <f t="shared" si="112"/>
        <v>95</v>
      </c>
      <c r="AV208">
        <f t="shared" si="113"/>
        <v>85</v>
      </c>
      <c r="AW208">
        <f t="shared" si="114"/>
        <v>72</v>
      </c>
      <c r="AX208">
        <f t="shared" si="115"/>
        <v>200</v>
      </c>
      <c r="AY208">
        <f t="shared" si="116"/>
        <v>182</v>
      </c>
      <c r="AZ208">
        <f t="shared" si="117"/>
        <v>150</v>
      </c>
      <c r="BA208">
        <f t="shared" si="118"/>
        <v>135</v>
      </c>
      <c r="BB208">
        <f t="shared" si="119"/>
        <v>121</v>
      </c>
    </row>
    <row r="209" spans="1:54" x14ac:dyDescent="0.15">
      <c r="A209">
        <v>129</v>
      </c>
      <c r="B209" t="s">
        <v>795</v>
      </c>
      <c r="C209">
        <v>143</v>
      </c>
      <c r="D209">
        <v>0</v>
      </c>
      <c r="E209" t="s">
        <v>796</v>
      </c>
      <c r="G209" t="s">
        <v>796</v>
      </c>
      <c r="H209" t="s">
        <v>797</v>
      </c>
      <c r="J209" t="s">
        <v>798</v>
      </c>
      <c r="K209">
        <v>460</v>
      </c>
      <c r="L209">
        <v>2.1</v>
      </c>
      <c r="M209" t="s">
        <v>120</v>
      </c>
      <c r="O209" t="s">
        <v>799</v>
      </c>
      <c r="P209" t="s">
        <v>38</v>
      </c>
      <c r="Q209" t="s">
        <v>141</v>
      </c>
      <c r="R209">
        <v>9</v>
      </c>
      <c r="S209">
        <v>160</v>
      </c>
      <c r="T209">
        <v>110</v>
      </c>
      <c r="U209">
        <v>65</v>
      </c>
      <c r="V209">
        <v>65</v>
      </c>
      <c r="W209">
        <v>110</v>
      </c>
      <c r="X209">
        <v>30</v>
      </c>
      <c r="Y209">
        <f t="shared" si="90"/>
        <v>267</v>
      </c>
      <c r="Z209">
        <f t="shared" si="91"/>
        <v>267</v>
      </c>
      <c r="AA209">
        <f t="shared" si="92"/>
        <v>235</v>
      </c>
      <c r="AB209">
        <f t="shared" si="93"/>
        <v>235</v>
      </c>
      <c r="AC209">
        <f t="shared" si="94"/>
        <v>220</v>
      </c>
      <c r="AD209">
        <f t="shared" si="95"/>
        <v>178</v>
      </c>
      <c r="AE209">
        <f t="shared" si="96"/>
        <v>162</v>
      </c>
      <c r="AF209">
        <f t="shared" si="97"/>
        <v>130</v>
      </c>
      <c r="AG209">
        <f t="shared" si="98"/>
        <v>117</v>
      </c>
      <c r="AH209">
        <f t="shared" si="99"/>
        <v>103</v>
      </c>
      <c r="AI209">
        <f t="shared" si="100"/>
        <v>128</v>
      </c>
      <c r="AJ209">
        <f t="shared" si="101"/>
        <v>117</v>
      </c>
      <c r="AK209">
        <f t="shared" si="102"/>
        <v>85</v>
      </c>
      <c r="AL209">
        <f t="shared" si="103"/>
        <v>76</v>
      </c>
      <c r="AM209">
        <f t="shared" si="104"/>
        <v>63</v>
      </c>
      <c r="AN209">
        <f t="shared" si="105"/>
        <v>128</v>
      </c>
      <c r="AO209">
        <f t="shared" si="106"/>
        <v>117</v>
      </c>
      <c r="AP209">
        <f t="shared" si="107"/>
        <v>85</v>
      </c>
      <c r="AQ209">
        <f t="shared" si="108"/>
        <v>76</v>
      </c>
      <c r="AR209">
        <f t="shared" si="109"/>
        <v>63</v>
      </c>
      <c r="AS209">
        <f t="shared" si="110"/>
        <v>178</v>
      </c>
      <c r="AT209">
        <f t="shared" si="111"/>
        <v>162</v>
      </c>
      <c r="AU209">
        <f t="shared" si="112"/>
        <v>130</v>
      </c>
      <c r="AV209">
        <f t="shared" si="113"/>
        <v>117</v>
      </c>
      <c r="AW209">
        <f t="shared" si="114"/>
        <v>103</v>
      </c>
      <c r="AX209">
        <f t="shared" si="115"/>
        <v>90</v>
      </c>
      <c r="AY209">
        <f t="shared" si="116"/>
        <v>82</v>
      </c>
      <c r="AZ209">
        <f t="shared" si="117"/>
        <v>50</v>
      </c>
      <c r="BA209">
        <f t="shared" si="118"/>
        <v>45</v>
      </c>
      <c r="BB209">
        <f t="shared" si="119"/>
        <v>31</v>
      </c>
    </row>
    <row r="210" spans="1:54" x14ac:dyDescent="0.15">
      <c r="B210" t="s">
        <v>800</v>
      </c>
      <c r="C210">
        <v>143</v>
      </c>
      <c r="D210">
        <v>999</v>
      </c>
      <c r="E210" t="s">
        <v>796</v>
      </c>
      <c r="F210" t="s">
        <v>40</v>
      </c>
      <c r="G210" t="s">
        <v>801</v>
      </c>
      <c r="J210" t="s">
        <v>42</v>
      </c>
      <c r="K210">
        <v>9999.9</v>
      </c>
      <c r="L210">
        <v>35</v>
      </c>
      <c r="M210" t="s">
        <v>120</v>
      </c>
      <c r="O210" t="s">
        <v>799</v>
      </c>
      <c r="P210" t="s">
        <v>38</v>
      </c>
      <c r="Q210" t="s">
        <v>141</v>
      </c>
      <c r="R210">
        <v>8</v>
      </c>
      <c r="S210">
        <v>160</v>
      </c>
      <c r="T210">
        <v>110</v>
      </c>
      <c r="U210">
        <v>65</v>
      </c>
      <c r="V210">
        <v>65</v>
      </c>
      <c r="W210">
        <v>110</v>
      </c>
      <c r="X210">
        <v>30</v>
      </c>
      <c r="Y210">
        <f t="shared" si="90"/>
        <v>267</v>
      </c>
      <c r="Z210">
        <f t="shared" si="91"/>
        <v>267</v>
      </c>
      <c r="AA210">
        <f t="shared" si="92"/>
        <v>235</v>
      </c>
      <c r="AB210">
        <f t="shared" si="93"/>
        <v>235</v>
      </c>
      <c r="AC210">
        <f t="shared" si="94"/>
        <v>220</v>
      </c>
      <c r="AD210">
        <f t="shared" si="95"/>
        <v>178</v>
      </c>
      <c r="AE210">
        <f t="shared" si="96"/>
        <v>162</v>
      </c>
      <c r="AF210">
        <f t="shared" si="97"/>
        <v>130</v>
      </c>
      <c r="AG210">
        <f t="shared" si="98"/>
        <v>117</v>
      </c>
      <c r="AH210">
        <f t="shared" si="99"/>
        <v>103</v>
      </c>
      <c r="AI210">
        <f t="shared" si="100"/>
        <v>128</v>
      </c>
      <c r="AJ210">
        <f t="shared" si="101"/>
        <v>117</v>
      </c>
      <c r="AK210">
        <f t="shared" si="102"/>
        <v>85</v>
      </c>
      <c r="AL210">
        <f t="shared" si="103"/>
        <v>76</v>
      </c>
      <c r="AM210">
        <f t="shared" si="104"/>
        <v>63</v>
      </c>
      <c r="AN210">
        <f t="shared" si="105"/>
        <v>128</v>
      </c>
      <c r="AO210">
        <f t="shared" si="106"/>
        <v>117</v>
      </c>
      <c r="AP210">
        <f t="shared" si="107"/>
        <v>85</v>
      </c>
      <c r="AQ210">
        <f t="shared" si="108"/>
        <v>76</v>
      </c>
      <c r="AR210">
        <f t="shared" si="109"/>
        <v>63</v>
      </c>
      <c r="AS210">
        <f t="shared" si="110"/>
        <v>178</v>
      </c>
      <c r="AT210">
        <f t="shared" si="111"/>
        <v>162</v>
      </c>
      <c r="AU210">
        <f t="shared" si="112"/>
        <v>130</v>
      </c>
      <c r="AV210">
        <f t="shared" si="113"/>
        <v>117</v>
      </c>
      <c r="AW210">
        <f t="shared" si="114"/>
        <v>103</v>
      </c>
      <c r="AX210">
        <f t="shared" si="115"/>
        <v>90</v>
      </c>
      <c r="AY210">
        <f t="shared" si="116"/>
        <v>82</v>
      </c>
      <c r="AZ210">
        <f t="shared" si="117"/>
        <v>50</v>
      </c>
      <c r="BA210">
        <f t="shared" si="118"/>
        <v>45</v>
      </c>
      <c r="BB210">
        <f t="shared" si="119"/>
        <v>31</v>
      </c>
    </row>
    <row r="211" spans="1:54" x14ac:dyDescent="0.15">
      <c r="A211">
        <v>130</v>
      </c>
      <c r="B211" t="s">
        <v>802</v>
      </c>
      <c r="C211">
        <v>144</v>
      </c>
      <c r="D211">
        <v>0</v>
      </c>
      <c r="E211" t="s">
        <v>803</v>
      </c>
      <c r="G211" t="s">
        <v>803</v>
      </c>
      <c r="H211" t="s">
        <v>804</v>
      </c>
      <c r="J211" t="s">
        <v>805</v>
      </c>
      <c r="K211">
        <v>55.4</v>
      </c>
      <c r="L211">
        <v>1.7</v>
      </c>
      <c r="M211" t="s">
        <v>202</v>
      </c>
      <c r="N211" t="s">
        <v>57</v>
      </c>
      <c r="O211" t="s">
        <v>792</v>
      </c>
      <c r="P211" t="s">
        <v>204</v>
      </c>
      <c r="R211">
        <v>9</v>
      </c>
      <c r="S211">
        <v>90</v>
      </c>
      <c r="T211">
        <v>85</v>
      </c>
      <c r="U211">
        <v>100</v>
      </c>
      <c r="V211">
        <v>95</v>
      </c>
      <c r="W211">
        <v>125</v>
      </c>
      <c r="X211">
        <v>85</v>
      </c>
      <c r="Y211">
        <f t="shared" si="90"/>
        <v>197</v>
      </c>
      <c r="Z211">
        <f t="shared" si="91"/>
        <v>197</v>
      </c>
      <c r="AA211">
        <f t="shared" si="92"/>
        <v>165</v>
      </c>
      <c r="AB211">
        <f t="shared" si="93"/>
        <v>165</v>
      </c>
      <c r="AC211">
        <f t="shared" si="94"/>
        <v>150</v>
      </c>
      <c r="AD211">
        <f t="shared" si="95"/>
        <v>150</v>
      </c>
      <c r="AE211">
        <f t="shared" si="96"/>
        <v>137</v>
      </c>
      <c r="AF211">
        <f t="shared" si="97"/>
        <v>105</v>
      </c>
      <c r="AG211">
        <f t="shared" si="98"/>
        <v>94</v>
      </c>
      <c r="AH211">
        <f t="shared" si="99"/>
        <v>81</v>
      </c>
      <c r="AI211">
        <f t="shared" si="100"/>
        <v>167</v>
      </c>
      <c r="AJ211">
        <f t="shared" si="101"/>
        <v>152</v>
      </c>
      <c r="AK211">
        <f t="shared" si="102"/>
        <v>120</v>
      </c>
      <c r="AL211">
        <f t="shared" si="103"/>
        <v>108</v>
      </c>
      <c r="AM211">
        <f t="shared" si="104"/>
        <v>94</v>
      </c>
      <c r="AN211">
        <f t="shared" si="105"/>
        <v>161</v>
      </c>
      <c r="AO211">
        <f t="shared" si="106"/>
        <v>147</v>
      </c>
      <c r="AP211">
        <f t="shared" si="107"/>
        <v>115</v>
      </c>
      <c r="AQ211">
        <f t="shared" si="108"/>
        <v>103</v>
      </c>
      <c r="AR211">
        <f t="shared" si="109"/>
        <v>90</v>
      </c>
      <c r="AS211">
        <f t="shared" si="110"/>
        <v>194</v>
      </c>
      <c r="AT211">
        <f t="shared" si="111"/>
        <v>177</v>
      </c>
      <c r="AU211">
        <f t="shared" si="112"/>
        <v>145</v>
      </c>
      <c r="AV211">
        <f t="shared" si="113"/>
        <v>130</v>
      </c>
      <c r="AW211">
        <f t="shared" si="114"/>
        <v>117</v>
      </c>
      <c r="AX211">
        <f t="shared" si="115"/>
        <v>150</v>
      </c>
      <c r="AY211">
        <f t="shared" si="116"/>
        <v>137</v>
      </c>
      <c r="AZ211">
        <f t="shared" si="117"/>
        <v>105</v>
      </c>
      <c r="BA211">
        <f t="shared" si="118"/>
        <v>94</v>
      </c>
      <c r="BB211">
        <f t="shared" si="119"/>
        <v>81</v>
      </c>
    </row>
    <row r="212" spans="1:54" x14ac:dyDescent="0.15">
      <c r="A212">
        <v>131</v>
      </c>
      <c r="B212" t="s">
        <v>806</v>
      </c>
      <c r="C212">
        <v>144</v>
      </c>
      <c r="D212">
        <v>1</v>
      </c>
      <c r="E212" t="s">
        <v>803</v>
      </c>
      <c r="F212" t="s">
        <v>327</v>
      </c>
      <c r="G212" t="s">
        <v>807</v>
      </c>
      <c r="H212" t="s">
        <v>808</v>
      </c>
      <c r="J212" t="s">
        <v>809</v>
      </c>
      <c r="K212">
        <v>50.9</v>
      </c>
      <c r="L212">
        <v>1.7</v>
      </c>
      <c r="M212" t="s">
        <v>191</v>
      </c>
      <c r="N212" t="s">
        <v>57</v>
      </c>
      <c r="O212" t="s">
        <v>260</v>
      </c>
      <c r="P212" t="s">
        <v>204</v>
      </c>
      <c r="R212">
        <v>9</v>
      </c>
      <c r="S212">
        <v>90</v>
      </c>
      <c r="T212">
        <v>85</v>
      </c>
      <c r="U212">
        <v>85</v>
      </c>
      <c r="V212">
        <v>125</v>
      </c>
      <c r="W212">
        <v>100</v>
      </c>
      <c r="X212">
        <v>95</v>
      </c>
      <c r="Y212">
        <f t="shared" si="90"/>
        <v>197</v>
      </c>
      <c r="Z212">
        <f t="shared" si="91"/>
        <v>197</v>
      </c>
      <c r="AA212">
        <f t="shared" si="92"/>
        <v>165</v>
      </c>
      <c r="AB212">
        <f t="shared" si="93"/>
        <v>165</v>
      </c>
      <c r="AC212">
        <f t="shared" si="94"/>
        <v>150</v>
      </c>
      <c r="AD212">
        <f t="shared" si="95"/>
        <v>150</v>
      </c>
      <c r="AE212">
        <f t="shared" si="96"/>
        <v>137</v>
      </c>
      <c r="AF212">
        <f t="shared" si="97"/>
        <v>105</v>
      </c>
      <c r="AG212">
        <f t="shared" si="98"/>
        <v>94</v>
      </c>
      <c r="AH212">
        <f t="shared" si="99"/>
        <v>81</v>
      </c>
      <c r="AI212">
        <f t="shared" si="100"/>
        <v>150</v>
      </c>
      <c r="AJ212">
        <f t="shared" si="101"/>
        <v>137</v>
      </c>
      <c r="AK212">
        <f t="shared" si="102"/>
        <v>105</v>
      </c>
      <c r="AL212">
        <f t="shared" si="103"/>
        <v>94</v>
      </c>
      <c r="AM212">
        <f t="shared" si="104"/>
        <v>81</v>
      </c>
      <c r="AN212">
        <f t="shared" si="105"/>
        <v>194</v>
      </c>
      <c r="AO212">
        <f t="shared" si="106"/>
        <v>177</v>
      </c>
      <c r="AP212">
        <f t="shared" si="107"/>
        <v>145</v>
      </c>
      <c r="AQ212">
        <f t="shared" si="108"/>
        <v>130</v>
      </c>
      <c r="AR212">
        <f t="shared" si="109"/>
        <v>117</v>
      </c>
      <c r="AS212">
        <f t="shared" si="110"/>
        <v>167</v>
      </c>
      <c r="AT212">
        <f t="shared" si="111"/>
        <v>152</v>
      </c>
      <c r="AU212">
        <f t="shared" si="112"/>
        <v>120</v>
      </c>
      <c r="AV212">
        <f t="shared" si="113"/>
        <v>108</v>
      </c>
      <c r="AW212">
        <f t="shared" si="114"/>
        <v>94</v>
      </c>
      <c r="AX212">
        <f t="shared" si="115"/>
        <v>161</v>
      </c>
      <c r="AY212">
        <f t="shared" si="116"/>
        <v>147</v>
      </c>
      <c r="AZ212">
        <f t="shared" si="117"/>
        <v>115</v>
      </c>
      <c r="BA212">
        <f t="shared" si="118"/>
        <v>103</v>
      </c>
      <c r="BB212">
        <f t="shared" si="119"/>
        <v>90</v>
      </c>
    </row>
    <row r="213" spans="1:54" x14ac:dyDescent="0.15">
      <c r="A213">
        <v>132</v>
      </c>
      <c r="B213" t="s">
        <v>810</v>
      </c>
      <c r="C213">
        <v>145</v>
      </c>
      <c r="D213">
        <v>0</v>
      </c>
      <c r="E213" t="s">
        <v>811</v>
      </c>
      <c r="G213" t="s">
        <v>811</v>
      </c>
      <c r="H213" t="s">
        <v>812</v>
      </c>
      <c r="J213" t="s">
        <v>705</v>
      </c>
      <c r="K213">
        <v>52.6</v>
      </c>
      <c r="L213">
        <v>1.6</v>
      </c>
      <c r="M213" t="s">
        <v>164</v>
      </c>
      <c r="N213" t="s">
        <v>57</v>
      </c>
      <c r="O213" t="s">
        <v>792</v>
      </c>
      <c r="P213" t="s">
        <v>165</v>
      </c>
      <c r="R213">
        <v>9</v>
      </c>
      <c r="S213">
        <v>90</v>
      </c>
      <c r="T213">
        <v>90</v>
      </c>
      <c r="U213">
        <v>85</v>
      </c>
      <c r="V213">
        <v>125</v>
      </c>
      <c r="W213">
        <v>90</v>
      </c>
      <c r="X213">
        <v>100</v>
      </c>
      <c r="Y213">
        <f t="shared" si="90"/>
        <v>197</v>
      </c>
      <c r="Z213">
        <f t="shared" si="91"/>
        <v>197</v>
      </c>
      <c r="AA213">
        <f t="shared" si="92"/>
        <v>165</v>
      </c>
      <c r="AB213">
        <f t="shared" si="93"/>
        <v>165</v>
      </c>
      <c r="AC213">
        <f t="shared" si="94"/>
        <v>150</v>
      </c>
      <c r="AD213">
        <f t="shared" si="95"/>
        <v>156</v>
      </c>
      <c r="AE213">
        <f t="shared" si="96"/>
        <v>142</v>
      </c>
      <c r="AF213">
        <f t="shared" si="97"/>
        <v>110</v>
      </c>
      <c r="AG213">
        <f t="shared" si="98"/>
        <v>99</v>
      </c>
      <c r="AH213">
        <f t="shared" si="99"/>
        <v>85</v>
      </c>
      <c r="AI213">
        <f t="shared" si="100"/>
        <v>150</v>
      </c>
      <c r="AJ213">
        <f t="shared" si="101"/>
        <v>137</v>
      </c>
      <c r="AK213">
        <f t="shared" si="102"/>
        <v>105</v>
      </c>
      <c r="AL213">
        <f t="shared" si="103"/>
        <v>94</v>
      </c>
      <c r="AM213">
        <f t="shared" si="104"/>
        <v>81</v>
      </c>
      <c r="AN213">
        <f t="shared" si="105"/>
        <v>194</v>
      </c>
      <c r="AO213">
        <f t="shared" si="106"/>
        <v>177</v>
      </c>
      <c r="AP213">
        <f t="shared" si="107"/>
        <v>145</v>
      </c>
      <c r="AQ213">
        <f t="shared" si="108"/>
        <v>130</v>
      </c>
      <c r="AR213">
        <f t="shared" si="109"/>
        <v>117</v>
      </c>
      <c r="AS213">
        <f t="shared" si="110"/>
        <v>156</v>
      </c>
      <c r="AT213">
        <f t="shared" si="111"/>
        <v>142</v>
      </c>
      <c r="AU213">
        <f t="shared" si="112"/>
        <v>110</v>
      </c>
      <c r="AV213">
        <f t="shared" si="113"/>
        <v>99</v>
      </c>
      <c r="AW213">
        <f t="shared" si="114"/>
        <v>85</v>
      </c>
      <c r="AX213">
        <f t="shared" si="115"/>
        <v>167</v>
      </c>
      <c r="AY213">
        <f t="shared" si="116"/>
        <v>152</v>
      </c>
      <c r="AZ213">
        <f t="shared" si="117"/>
        <v>120</v>
      </c>
      <c r="BA213">
        <f t="shared" si="118"/>
        <v>108</v>
      </c>
      <c r="BB213">
        <f t="shared" si="119"/>
        <v>94</v>
      </c>
    </row>
    <row r="214" spans="1:54" x14ac:dyDescent="0.15">
      <c r="A214">
        <v>133</v>
      </c>
      <c r="B214" t="s">
        <v>813</v>
      </c>
      <c r="C214">
        <v>145</v>
      </c>
      <c r="D214">
        <v>1</v>
      </c>
      <c r="E214" t="s">
        <v>811</v>
      </c>
      <c r="F214" t="s">
        <v>327</v>
      </c>
      <c r="G214" t="s">
        <v>814</v>
      </c>
      <c r="H214" t="s">
        <v>815</v>
      </c>
      <c r="J214" t="s">
        <v>816</v>
      </c>
      <c r="K214">
        <v>58.2</v>
      </c>
      <c r="L214">
        <v>1.6</v>
      </c>
      <c r="M214" t="s">
        <v>354</v>
      </c>
      <c r="N214" t="s">
        <v>57</v>
      </c>
      <c r="O214" t="s">
        <v>357</v>
      </c>
      <c r="P214" t="s">
        <v>165</v>
      </c>
      <c r="R214">
        <v>9</v>
      </c>
      <c r="S214">
        <v>90</v>
      </c>
      <c r="T214">
        <v>125</v>
      </c>
      <c r="U214">
        <v>90</v>
      </c>
      <c r="V214">
        <v>85</v>
      </c>
      <c r="W214">
        <v>90</v>
      </c>
      <c r="X214">
        <v>100</v>
      </c>
      <c r="Y214">
        <f t="shared" si="90"/>
        <v>197</v>
      </c>
      <c r="Z214">
        <f t="shared" si="91"/>
        <v>197</v>
      </c>
      <c r="AA214">
        <f t="shared" si="92"/>
        <v>165</v>
      </c>
      <c r="AB214">
        <f t="shared" si="93"/>
        <v>165</v>
      </c>
      <c r="AC214">
        <f t="shared" si="94"/>
        <v>150</v>
      </c>
      <c r="AD214">
        <f t="shared" si="95"/>
        <v>194</v>
      </c>
      <c r="AE214">
        <f t="shared" si="96"/>
        <v>177</v>
      </c>
      <c r="AF214">
        <f t="shared" si="97"/>
        <v>145</v>
      </c>
      <c r="AG214">
        <f t="shared" si="98"/>
        <v>130</v>
      </c>
      <c r="AH214">
        <f t="shared" si="99"/>
        <v>117</v>
      </c>
      <c r="AI214">
        <f t="shared" si="100"/>
        <v>156</v>
      </c>
      <c r="AJ214">
        <f t="shared" si="101"/>
        <v>142</v>
      </c>
      <c r="AK214">
        <f t="shared" si="102"/>
        <v>110</v>
      </c>
      <c r="AL214">
        <f t="shared" si="103"/>
        <v>99</v>
      </c>
      <c r="AM214">
        <f t="shared" si="104"/>
        <v>85</v>
      </c>
      <c r="AN214">
        <f t="shared" si="105"/>
        <v>150</v>
      </c>
      <c r="AO214">
        <f t="shared" si="106"/>
        <v>137</v>
      </c>
      <c r="AP214">
        <f t="shared" si="107"/>
        <v>105</v>
      </c>
      <c r="AQ214">
        <f t="shared" si="108"/>
        <v>94</v>
      </c>
      <c r="AR214">
        <f t="shared" si="109"/>
        <v>81</v>
      </c>
      <c r="AS214">
        <f t="shared" si="110"/>
        <v>156</v>
      </c>
      <c r="AT214">
        <f t="shared" si="111"/>
        <v>142</v>
      </c>
      <c r="AU214">
        <f t="shared" si="112"/>
        <v>110</v>
      </c>
      <c r="AV214">
        <f t="shared" si="113"/>
        <v>99</v>
      </c>
      <c r="AW214">
        <f t="shared" si="114"/>
        <v>85</v>
      </c>
      <c r="AX214">
        <f t="shared" si="115"/>
        <v>167</v>
      </c>
      <c r="AY214">
        <f t="shared" si="116"/>
        <v>152</v>
      </c>
      <c r="AZ214">
        <f t="shared" si="117"/>
        <v>120</v>
      </c>
      <c r="BA214">
        <f t="shared" si="118"/>
        <v>108</v>
      </c>
      <c r="BB214">
        <f t="shared" si="119"/>
        <v>94</v>
      </c>
    </row>
    <row r="215" spans="1:54" x14ac:dyDescent="0.15">
      <c r="A215">
        <v>134</v>
      </c>
      <c r="B215" t="s">
        <v>817</v>
      </c>
      <c r="C215">
        <v>146</v>
      </c>
      <c r="D215">
        <v>0</v>
      </c>
      <c r="E215" t="s">
        <v>818</v>
      </c>
      <c r="G215" t="s">
        <v>818</v>
      </c>
      <c r="H215" t="s">
        <v>819</v>
      </c>
      <c r="J215" t="s">
        <v>53</v>
      </c>
      <c r="K215">
        <v>60</v>
      </c>
      <c r="L215">
        <v>2</v>
      </c>
      <c r="M215" t="s">
        <v>47</v>
      </c>
      <c r="N215" t="s">
        <v>57</v>
      </c>
      <c r="O215" t="s">
        <v>792</v>
      </c>
      <c r="P215" t="s">
        <v>456</v>
      </c>
      <c r="R215">
        <v>9</v>
      </c>
      <c r="S215">
        <v>90</v>
      </c>
      <c r="T215">
        <v>100</v>
      </c>
      <c r="U215">
        <v>90</v>
      </c>
      <c r="V215">
        <v>125</v>
      </c>
      <c r="W215">
        <v>85</v>
      </c>
      <c r="X215">
        <v>90</v>
      </c>
      <c r="Y215">
        <f t="shared" si="90"/>
        <v>197</v>
      </c>
      <c r="Z215">
        <f t="shared" si="91"/>
        <v>197</v>
      </c>
      <c r="AA215">
        <f t="shared" si="92"/>
        <v>165</v>
      </c>
      <c r="AB215">
        <f t="shared" si="93"/>
        <v>165</v>
      </c>
      <c r="AC215">
        <f t="shared" si="94"/>
        <v>150</v>
      </c>
      <c r="AD215">
        <f t="shared" si="95"/>
        <v>167</v>
      </c>
      <c r="AE215">
        <f t="shared" si="96"/>
        <v>152</v>
      </c>
      <c r="AF215">
        <f t="shared" si="97"/>
        <v>120</v>
      </c>
      <c r="AG215">
        <f t="shared" si="98"/>
        <v>108</v>
      </c>
      <c r="AH215">
        <f t="shared" si="99"/>
        <v>94</v>
      </c>
      <c r="AI215">
        <f t="shared" si="100"/>
        <v>156</v>
      </c>
      <c r="AJ215">
        <f t="shared" si="101"/>
        <v>142</v>
      </c>
      <c r="AK215">
        <f t="shared" si="102"/>
        <v>110</v>
      </c>
      <c r="AL215">
        <f t="shared" si="103"/>
        <v>99</v>
      </c>
      <c r="AM215">
        <f t="shared" si="104"/>
        <v>85</v>
      </c>
      <c r="AN215">
        <f t="shared" si="105"/>
        <v>194</v>
      </c>
      <c r="AO215">
        <f t="shared" si="106"/>
        <v>177</v>
      </c>
      <c r="AP215">
        <f t="shared" si="107"/>
        <v>145</v>
      </c>
      <c r="AQ215">
        <f t="shared" si="108"/>
        <v>130</v>
      </c>
      <c r="AR215">
        <f t="shared" si="109"/>
        <v>117</v>
      </c>
      <c r="AS215">
        <f t="shared" si="110"/>
        <v>150</v>
      </c>
      <c r="AT215">
        <f t="shared" si="111"/>
        <v>137</v>
      </c>
      <c r="AU215">
        <f t="shared" si="112"/>
        <v>105</v>
      </c>
      <c r="AV215">
        <f t="shared" si="113"/>
        <v>94</v>
      </c>
      <c r="AW215">
        <f t="shared" si="114"/>
        <v>81</v>
      </c>
      <c r="AX215">
        <f t="shared" si="115"/>
        <v>156</v>
      </c>
      <c r="AY215">
        <f t="shared" si="116"/>
        <v>142</v>
      </c>
      <c r="AZ215">
        <f t="shared" si="117"/>
        <v>110</v>
      </c>
      <c r="BA215">
        <f t="shared" si="118"/>
        <v>99</v>
      </c>
      <c r="BB215">
        <f t="shared" si="119"/>
        <v>85</v>
      </c>
    </row>
    <row r="216" spans="1:54" x14ac:dyDescent="0.15">
      <c r="A216">
        <v>135</v>
      </c>
      <c r="B216" t="s">
        <v>820</v>
      </c>
      <c r="C216">
        <v>146</v>
      </c>
      <c r="D216">
        <v>1</v>
      </c>
      <c r="E216" t="s">
        <v>818</v>
      </c>
      <c r="F216" t="s">
        <v>327</v>
      </c>
      <c r="G216" t="s">
        <v>821</v>
      </c>
      <c r="H216" t="s">
        <v>822</v>
      </c>
      <c r="J216" t="s">
        <v>823</v>
      </c>
      <c r="K216">
        <v>66</v>
      </c>
      <c r="L216">
        <v>2</v>
      </c>
      <c r="M216" t="s">
        <v>140</v>
      </c>
      <c r="N216" t="s">
        <v>57</v>
      </c>
      <c r="O216" t="s">
        <v>824</v>
      </c>
      <c r="P216" t="s">
        <v>456</v>
      </c>
      <c r="R216">
        <v>9</v>
      </c>
      <c r="S216">
        <v>90</v>
      </c>
      <c r="T216">
        <v>85</v>
      </c>
      <c r="U216">
        <v>90</v>
      </c>
      <c r="V216">
        <v>100</v>
      </c>
      <c r="W216">
        <v>125</v>
      </c>
      <c r="X216">
        <v>90</v>
      </c>
      <c r="Y216">
        <f t="shared" si="90"/>
        <v>197</v>
      </c>
      <c r="Z216">
        <f t="shared" si="91"/>
        <v>197</v>
      </c>
      <c r="AA216">
        <f t="shared" si="92"/>
        <v>165</v>
      </c>
      <c r="AB216">
        <f t="shared" si="93"/>
        <v>165</v>
      </c>
      <c r="AC216">
        <f t="shared" si="94"/>
        <v>150</v>
      </c>
      <c r="AD216">
        <f t="shared" si="95"/>
        <v>150</v>
      </c>
      <c r="AE216">
        <f t="shared" si="96"/>
        <v>137</v>
      </c>
      <c r="AF216">
        <f t="shared" si="97"/>
        <v>105</v>
      </c>
      <c r="AG216">
        <f t="shared" si="98"/>
        <v>94</v>
      </c>
      <c r="AH216">
        <f t="shared" si="99"/>
        <v>81</v>
      </c>
      <c r="AI216">
        <f t="shared" si="100"/>
        <v>156</v>
      </c>
      <c r="AJ216">
        <f t="shared" si="101"/>
        <v>142</v>
      </c>
      <c r="AK216">
        <f t="shared" si="102"/>
        <v>110</v>
      </c>
      <c r="AL216">
        <f t="shared" si="103"/>
        <v>99</v>
      </c>
      <c r="AM216">
        <f t="shared" si="104"/>
        <v>85</v>
      </c>
      <c r="AN216">
        <f t="shared" si="105"/>
        <v>167</v>
      </c>
      <c r="AO216">
        <f t="shared" si="106"/>
        <v>152</v>
      </c>
      <c r="AP216">
        <f t="shared" si="107"/>
        <v>120</v>
      </c>
      <c r="AQ216">
        <f t="shared" si="108"/>
        <v>108</v>
      </c>
      <c r="AR216">
        <f t="shared" si="109"/>
        <v>94</v>
      </c>
      <c r="AS216">
        <f t="shared" si="110"/>
        <v>194</v>
      </c>
      <c r="AT216">
        <f t="shared" si="111"/>
        <v>177</v>
      </c>
      <c r="AU216">
        <f t="shared" si="112"/>
        <v>145</v>
      </c>
      <c r="AV216">
        <f t="shared" si="113"/>
        <v>130</v>
      </c>
      <c r="AW216">
        <f t="shared" si="114"/>
        <v>117</v>
      </c>
      <c r="AX216">
        <f t="shared" si="115"/>
        <v>156</v>
      </c>
      <c r="AY216">
        <f t="shared" si="116"/>
        <v>142</v>
      </c>
      <c r="AZ216">
        <f t="shared" si="117"/>
        <v>110</v>
      </c>
      <c r="BA216">
        <f t="shared" si="118"/>
        <v>99</v>
      </c>
      <c r="BB216">
        <f t="shared" si="119"/>
        <v>85</v>
      </c>
    </row>
    <row r="217" spans="1:54" x14ac:dyDescent="0.15">
      <c r="A217">
        <v>136</v>
      </c>
      <c r="B217" t="s">
        <v>825</v>
      </c>
      <c r="C217">
        <v>147</v>
      </c>
      <c r="D217">
        <v>0</v>
      </c>
      <c r="E217" t="s">
        <v>826</v>
      </c>
      <c r="G217" t="s">
        <v>826</v>
      </c>
      <c r="H217" t="s">
        <v>827</v>
      </c>
      <c r="J217" t="s">
        <v>670</v>
      </c>
      <c r="K217">
        <v>3.3</v>
      </c>
      <c r="L217">
        <v>1.8</v>
      </c>
      <c r="M217" t="s">
        <v>60</v>
      </c>
      <c r="O217" t="s">
        <v>96</v>
      </c>
      <c r="P217" t="s">
        <v>828</v>
      </c>
      <c r="R217">
        <v>9</v>
      </c>
      <c r="S217">
        <v>41</v>
      </c>
      <c r="T217">
        <v>64</v>
      </c>
      <c r="U217">
        <v>45</v>
      </c>
      <c r="V217">
        <v>50</v>
      </c>
      <c r="W217">
        <v>50</v>
      </c>
      <c r="X217">
        <v>50</v>
      </c>
      <c r="Y217">
        <f t="shared" si="90"/>
        <v>148</v>
      </c>
      <c r="Z217">
        <f t="shared" si="91"/>
        <v>148</v>
      </c>
      <c r="AA217">
        <f t="shared" si="92"/>
        <v>116</v>
      </c>
      <c r="AB217">
        <f t="shared" si="93"/>
        <v>116</v>
      </c>
      <c r="AC217">
        <f t="shared" si="94"/>
        <v>101</v>
      </c>
      <c r="AD217">
        <f t="shared" si="95"/>
        <v>127</v>
      </c>
      <c r="AE217">
        <f t="shared" si="96"/>
        <v>116</v>
      </c>
      <c r="AF217">
        <f t="shared" si="97"/>
        <v>84</v>
      </c>
      <c r="AG217">
        <f t="shared" si="98"/>
        <v>75</v>
      </c>
      <c r="AH217">
        <f t="shared" si="99"/>
        <v>62</v>
      </c>
      <c r="AI217">
        <f t="shared" si="100"/>
        <v>106</v>
      </c>
      <c r="AJ217">
        <f t="shared" si="101"/>
        <v>97</v>
      </c>
      <c r="AK217">
        <f t="shared" si="102"/>
        <v>65</v>
      </c>
      <c r="AL217">
        <f t="shared" si="103"/>
        <v>58</v>
      </c>
      <c r="AM217">
        <f t="shared" si="104"/>
        <v>45</v>
      </c>
      <c r="AN217">
        <f t="shared" si="105"/>
        <v>112</v>
      </c>
      <c r="AO217">
        <f t="shared" si="106"/>
        <v>102</v>
      </c>
      <c r="AP217">
        <f t="shared" si="107"/>
        <v>70</v>
      </c>
      <c r="AQ217">
        <f t="shared" si="108"/>
        <v>63</v>
      </c>
      <c r="AR217">
        <f t="shared" si="109"/>
        <v>49</v>
      </c>
      <c r="AS217">
        <f t="shared" si="110"/>
        <v>112</v>
      </c>
      <c r="AT217">
        <f t="shared" si="111"/>
        <v>102</v>
      </c>
      <c r="AU217">
        <f t="shared" si="112"/>
        <v>70</v>
      </c>
      <c r="AV217">
        <f t="shared" si="113"/>
        <v>63</v>
      </c>
      <c r="AW217">
        <f t="shared" si="114"/>
        <v>49</v>
      </c>
      <c r="AX217">
        <f t="shared" si="115"/>
        <v>112</v>
      </c>
      <c r="AY217">
        <f t="shared" si="116"/>
        <v>102</v>
      </c>
      <c r="AZ217">
        <f t="shared" si="117"/>
        <v>70</v>
      </c>
      <c r="BA217">
        <f t="shared" si="118"/>
        <v>63</v>
      </c>
      <c r="BB217">
        <f t="shared" si="119"/>
        <v>49</v>
      </c>
    </row>
    <row r="218" spans="1:54" x14ac:dyDescent="0.15">
      <c r="A218">
        <v>137</v>
      </c>
      <c r="B218" t="s">
        <v>829</v>
      </c>
      <c r="C218">
        <v>148</v>
      </c>
      <c r="D218">
        <v>0</v>
      </c>
      <c r="E218" t="s">
        <v>830</v>
      </c>
      <c r="G218" t="s">
        <v>830</v>
      </c>
      <c r="H218" t="s">
        <v>831</v>
      </c>
      <c r="J218" t="s">
        <v>670</v>
      </c>
      <c r="K218">
        <v>16.5</v>
      </c>
      <c r="L218">
        <v>4</v>
      </c>
      <c r="M218" t="s">
        <v>60</v>
      </c>
      <c r="O218" t="s">
        <v>96</v>
      </c>
      <c r="P218" t="s">
        <v>828</v>
      </c>
      <c r="R218">
        <v>9</v>
      </c>
      <c r="S218">
        <v>61</v>
      </c>
      <c r="T218">
        <v>84</v>
      </c>
      <c r="U218">
        <v>65</v>
      </c>
      <c r="V218">
        <v>70</v>
      </c>
      <c r="W218">
        <v>70</v>
      </c>
      <c r="X218">
        <v>70</v>
      </c>
      <c r="Y218">
        <f t="shared" si="90"/>
        <v>168</v>
      </c>
      <c r="Z218">
        <f t="shared" si="91"/>
        <v>168</v>
      </c>
      <c r="AA218">
        <f t="shared" si="92"/>
        <v>136</v>
      </c>
      <c r="AB218">
        <f t="shared" si="93"/>
        <v>136</v>
      </c>
      <c r="AC218">
        <f t="shared" si="94"/>
        <v>121</v>
      </c>
      <c r="AD218">
        <f t="shared" si="95"/>
        <v>149</v>
      </c>
      <c r="AE218">
        <f t="shared" si="96"/>
        <v>136</v>
      </c>
      <c r="AF218">
        <f t="shared" si="97"/>
        <v>104</v>
      </c>
      <c r="AG218">
        <f t="shared" si="98"/>
        <v>93</v>
      </c>
      <c r="AH218">
        <f t="shared" si="99"/>
        <v>80</v>
      </c>
      <c r="AI218">
        <f t="shared" si="100"/>
        <v>128</v>
      </c>
      <c r="AJ218">
        <f t="shared" si="101"/>
        <v>117</v>
      </c>
      <c r="AK218">
        <f t="shared" si="102"/>
        <v>85</v>
      </c>
      <c r="AL218">
        <f t="shared" si="103"/>
        <v>76</v>
      </c>
      <c r="AM218">
        <f t="shared" si="104"/>
        <v>63</v>
      </c>
      <c r="AN218">
        <f t="shared" si="105"/>
        <v>134</v>
      </c>
      <c r="AO218">
        <f t="shared" si="106"/>
        <v>122</v>
      </c>
      <c r="AP218">
        <f t="shared" si="107"/>
        <v>90</v>
      </c>
      <c r="AQ218">
        <f t="shared" si="108"/>
        <v>81</v>
      </c>
      <c r="AR218">
        <f t="shared" si="109"/>
        <v>67</v>
      </c>
      <c r="AS218">
        <f t="shared" si="110"/>
        <v>134</v>
      </c>
      <c r="AT218">
        <f t="shared" si="111"/>
        <v>122</v>
      </c>
      <c r="AU218">
        <f t="shared" si="112"/>
        <v>90</v>
      </c>
      <c r="AV218">
        <f t="shared" si="113"/>
        <v>81</v>
      </c>
      <c r="AW218">
        <f t="shared" si="114"/>
        <v>67</v>
      </c>
      <c r="AX218">
        <f t="shared" si="115"/>
        <v>134</v>
      </c>
      <c r="AY218">
        <f t="shared" si="116"/>
        <v>122</v>
      </c>
      <c r="AZ218">
        <f t="shared" si="117"/>
        <v>90</v>
      </c>
      <c r="BA218">
        <f t="shared" si="118"/>
        <v>81</v>
      </c>
      <c r="BB218">
        <f t="shared" si="119"/>
        <v>67</v>
      </c>
    </row>
    <row r="219" spans="1:54" x14ac:dyDescent="0.15">
      <c r="A219">
        <v>138</v>
      </c>
      <c r="B219" t="s">
        <v>832</v>
      </c>
      <c r="C219">
        <v>149</v>
      </c>
      <c r="D219">
        <v>0</v>
      </c>
      <c r="E219" t="s">
        <v>833</v>
      </c>
      <c r="G219" t="s">
        <v>833</v>
      </c>
      <c r="H219" t="s">
        <v>834</v>
      </c>
      <c r="J219" t="s">
        <v>670</v>
      </c>
      <c r="K219">
        <v>210</v>
      </c>
      <c r="L219">
        <v>2.2000000000000002</v>
      </c>
      <c r="M219" t="s">
        <v>60</v>
      </c>
      <c r="N219" t="s">
        <v>57</v>
      </c>
      <c r="O219" t="s">
        <v>268</v>
      </c>
      <c r="P219" t="s">
        <v>835</v>
      </c>
      <c r="R219">
        <v>9</v>
      </c>
      <c r="S219">
        <v>91</v>
      </c>
      <c r="T219">
        <v>134</v>
      </c>
      <c r="U219">
        <v>95</v>
      </c>
      <c r="V219">
        <v>100</v>
      </c>
      <c r="W219">
        <v>100</v>
      </c>
      <c r="X219">
        <v>80</v>
      </c>
      <c r="Y219">
        <f t="shared" si="90"/>
        <v>198</v>
      </c>
      <c r="Z219">
        <f t="shared" si="91"/>
        <v>198</v>
      </c>
      <c r="AA219">
        <f t="shared" si="92"/>
        <v>166</v>
      </c>
      <c r="AB219">
        <f t="shared" si="93"/>
        <v>166</v>
      </c>
      <c r="AC219">
        <f t="shared" si="94"/>
        <v>151</v>
      </c>
      <c r="AD219">
        <f t="shared" si="95"/>
        <v>204</v>
      </c>
      <c r="AE219">
        <f t="shared" si="96"/>
        <v>186</v>
      </c>
      <c r="AF219">
        <f t="shared" si="97"/>
        <v>154</v>
      </c>
      <c r="AG219">
        <f t="shared" si="98"/>
        <v>138</v>
      </c>
      <c r="AH219">
        <f t="shared" si="99"/>
        <v>125</v>
      </c>
      <c r="AI219">
        <f t="shared" si="100"/>
        <v>161</v>
      </c>
      <c r="AJ219">
        <f t="shared" si="101"/>
        <v>147</v>
      </c>
      <c r="AK219">
        <f t="shared" si="102"/>
        <v>115</v>
      </c>
      <c r="AL219">
        <f t="shared" si="103"/>
        <v>103</v>
      </c>
      <c r="AM219">
        <f t="shared" si="104"/>
        <v>90</v>
      </c>
      <c r="AN219">
        <f t="shared" si="105"/>
        <v>167</v>
      </c>
      <c r="AO219">
        <f t="shared" si="106"/>
        <v>152</v>
      </c>
      <c r="AP219">
        <f t="shared" si="107"/>
        <v>120</v>
      </c>
      <c r="AQ219">
        <f t="shared" si="108"/>
        <v>108</v>
      </c>
      <c r="AR219">
        <f t="shared" si="109"/>
        <v>94</v>
      </c>
      <c r="AS219">
        <f t="shared" si="110"/>
        <v>167</v>
      </c>
      <c r="AT219">
        <f t="shared" si="111"/>
        <v>152</v>
      </c>
      <c r="AU219">
        <f t="shared" si="112"/>
        <v>120</v>
      </c>
      <c r="AV219">
        <f t="shared" si="113"/>
        <v>108</v>
      </c>
      <c r="AW219">
        <f t="shared" si="114"/>
        <v>94</v>
      </c>
      <c r="AX219">
        <f t="shared" si="115"/>
        <v>145</v>
      </c>
      <c r="AY219">
        <f t="shared" si="116"/>
        <v>132</v>
      </c>
      <c r="AZ219">
        <f t="shared" si="117"/>
        <v>100</v>
      </c>
      <c r="BA219">
        <f t="shared" si="118"/>
        <v>90</v>
      </c>
      <c r="BB219">
        <f t="shared" si="119"/>
        <v>76</v>
      </c>
    </row>
    <row r="220" spans="1:54" x14ac:dyDescent="0.15">
      <c r="A220">
        <v>139</v>
      </c>
      <c r="B220" t="s">
        <v>836</v>
      </c>
      <c r="C220">
        <v>150</v>
      </c>
      <c r="D220">
        <v>0</v>
      </c>
      <c r="E220" t="s">
        <v>837</v>
      </c>
      <c r="G220" t="s">
        <v>837</v>
      </c>
      <c r="H220" t="s">
        <v>838</v>
      </c>
      <c r="J220" t="s">
        <v>839</v>
      </c>
      <c r="K220">
        <v>122</v>
      </c>
      <c r="L220">
        <v>2</v>
      </c>
      <c r="M220" t="s">
        <v>191</v>
      </c>
      <c r="O220" t="s">
        <v>792</v>
      </c>
      <c r="P220" t="s">
        <v>156</v>
      </c>
      <c r="R220">
        <v>9</v>
      </c>
      <c r="S220">
        <v>106</v>
      </c>
      <c r="T220">
        <v>110</v>
      </c>
      <c r="U220">
        <v>90</v>
      </c>
      <c r="V220">
        <v>154</v>
      </c>
      <c r="W220">
        <v>90</v>
      </c>
      <c r="X220">
        <v>130</v>
      </c>
      <c r="Y220">
        <f t="shared" si="90"/>
        <v>213</v>
      </c>
      <c r="Z220">
        <f t="shared" si="91"/>
        <v>213</v>
      </c>
      <c r="AA220">
        <f t="shared" si="92"/>
        <v>181</v>
      </c>
      <c r="AB220">
        <f t="shared" si="93"/>
        <v>181</v>
      </c>
      <c r="AC220">
        <f t="shared" si="94"/>
        <v>166</v>
      </c>
      <c r="AD220">
        <f t="shared" si="95"/>
        <v>178</v>
      </c>
      <c r="AE220">
        <f t="shared" si="96"/>
        <v>162</v>
      </c>
      <c r="AF220">
        <f t="shared" si="97"/>
        <v>130</v>
      </c>
      <c r="AG220">
        <f t="shared" si="98"/>
        <v>117</v>
      </c>
      <c r="AH220">
        <f t="shared" si="99"/>
        <v>103</v>
      </c>
      <c r="AI220">
        <f t="shared" si="100"/>
        <v>156</v>
      </c>
      <c r="AJ220">
        <f t="shared" si="101"/>
        <v>142</v>
      </c>
      <c r="AK220">
        <f t="shared" si="102"/>
        <v>110</v>
      </c>
      <c r="AL220">
        <f t="shared" si="103"/>
        <v>99</v>
      </c>
      <c r="AM220">
        <f t="shared" si="104"/>
        <v>85</v>
      </c>
      <c r="AN220">
        <f t="shared" si="105"/>
        <v>226</v>
      </c>
      <c r="AO220">
        <f t="shared" si="106"/>
        <v>206</v>
      </c>
      <c r="AP220">
        <f t="shared" si="107"/>
        <v>174</v>
      </c>
      <c r="AQ220">
        <f t="shared" si="108"/>
        <v>156</v>
      </c>
      <c r="AR220">
        <f t="shared" si="109"/>
        <v>143</v>
      </c>
      <c r="AS220">
        <f t="shared" si="110"/>
        <v>156</v>
      </c>
      <c r="AT220">
        <f t="shared" si="111"/>
        <v>142</v>
      </c>
      <c r="AU220">
        <f t="shared" si="112"/>
        <v>110</v>
      </c>
      <c r="AV220">
        <f t="shared" si="113"/>
        <v>99</v>
      </c>
      <c r="AW220">
        <f t="shared" si="114"/>
        <v>85</v>
      </c>
      <c r="AX220">
        <f t="shared" si="115"/>
        <v>200</v>
      </c>
      <c r="AY220">
        <f t="shared" si="116"/>
        <v>182</v>
      </c>
      <c r="AZ220">
        <f t="shared" si="117"/>
        <v>150</v>
      </c>
      <c r="BA220">
        <f t="shared" si="118"/>
        <v>135</v>
      </c>
      <c r="BB220">
        <f t="shared" si="119"/>
        <v>121</v>
      </c>
    </row>
    <row r="221" spans="1:54" x14ac:dyDescent="0.15">
      <c r="B221" t="s">
        <v>840</v>
      </c>
      <c r="C221">
        <v>150</v>
      </c>
      <c r="D221">
        <v>1</v>
      </c>
      <c r="E221" t="s">
        <v>837</v>
      </c>
      <c r="F221" t="s">
        <v>841</v>
      </c>
      <c r="G221" t="s">
        <v>841</v>
      </c>
      <c r="J221" t="s">
        <v>839</v>
      </c>
      <c r="K221">
        <v>127</v>
      </c>
      <c r="L221">
        <v>2.2999999999999998</v>
      </c>
      <c r="M221" t="s">
        <v>191</v>
      </c>
      <c r="N221" t="s">
        <v>354</v>
      </c>
      <c r="O221" t="s">
        <v>404</v>
      </c>
      <c r="P221" t="s">
        <v>156</v>
      </c>
      <c r="R221">
        <v>7</v>
      </c>
      <c r="S221">
        <v>106</v>
      </c>
      <c r="T221">
        <v>110</v>
      </c>
      <c r="U221">
        <v>90</v>
      </c>
      <c r="V221">
        <v>154</v>
      </c>
      <c r="W221">
        <v>90</v>
      </c>
      <c r="X221">
        <v>130</v>
      </c>
      <c r="Y221">
        <f t="shared" si="90"/>
        <v>213</v>
      </c>
      <c r="Z221">
        <f t="shared" si="91"/>
        <v>213</v>
      </c>
      <c r="AA221">
        <f t="shared" si="92"/>
        <v>181</v>
      </c>
      <c r="AB221">
        <f t="shared" si="93"/>
        <v>181</v>
      </c>
      <c r="AC221">
        <f t="shared" si="94"/>
        <v>166</v>
      </c>
      <c r="AD221">
        <f t="shared" si="95"/>
        <v>178</v>
      </c>
      <c r="AE221">
        <f t="shared" si="96"/>
        <v>162</v>
      </c>
      <c r="AF221">
        <f t="shared" si="97"/>
        <v>130</v>
      </c>
      <c r="AG221">
        <f t="shared" si="98"/>
        <v>117</v>
      </c>
      <c r="AH221">
        <f t="shared" si="99"/>
        <v>103</v>
      </c>
      <c r="AI221">
        <f t="shared" si="100"/>
        <v>156</v>
      </c>
      <c r="AJ221">
        <f t="shared" si="101"/>
        <v>142</v>
      </c>
      <c r="AK221">
        <f t="shared" si="102"/>
        <v>110</v>
      </c>
      <c r="AL221">
        <f t="shared" si="103"/>
        <v>99</v>
      </c>
      <c r="AM221">
        <f t="shared" si="104"/>
        <v>85</v>
      </c>
      <c r="AN221">
        <f t="shared" si="105"/>
        <v>226</v>
      </c>
      <c r="AO221">
        <f t="shared" si="106"/>
        <v>206</v>
      </c>
      <c r="AP221">
        <f t="shared" si="107"/>
        <v>174</v>
      </c>
      <c r="AQ221">
        <f t="shared" si="108"/>
        <v>156</v>
      </c>
      <c r="AR221">
        <f t="shared" si="109"/>
        <v>143</v>
      </c>
      <c r="AS221">
        <f t="shared" si="110"/>
        <v>156</v>
      </c>
      <c r="AT221">
        <f t="shared" si="111"/>
        <v>142</v>
      </c>
      <c r="AU221">
        <f t="shared" si="112"/>
        <v>110</v>
      </c>
      <c r="AV221">
        <f t="shared" si="113"/>
        <v>99</v>
      </c>
      <c r="AW221">
        <f t="shared" si="114"/>
        <v>85</v>
      </c>
      <c r="AX221">
        <f t="shared" si="115"/>
        <v>200</v>
      </c>
      <c r="AY221">
        <f t="shared" si="116"/>
        <v>182</v>
      </c>
      <c r="AZ221">
        <f t="shared" si="117"/>
        <v>150</v>
      </c>
      <c r="BA221">
        <f t="shared" si="118"/>
        <v>135</v>
      </c>
      <c r="BB221">
        <f t="shared" si="119"/>
        <v>121</v>
      </c>
    </row>
    <row r="222" spans="1:54" x14ac:dyDescent="0.15">
      <c r="B222" t="s">
        <v>842</v>
      </c>
      <c r="C222">
        <v>150</v>
      </c>
      <c r="D222">
        <v>2</v>
      </c>
      <c r="E222" t="s">
        <v>837</v>
      </c>
      <c r="F222" t="s">
        <v>843</v>
      </c>
      <c r="G222" t="s">
        <v>843</v>
      </c>
      <c r="J222" t="s">
        <v>839</v>
      </c>
      <c r="K222">
        <v>33</v>
      </c>
      <c r="L222">
        <v>1.5</v>
      </c>
      <c r="M222" t="s">
        <v>191</v>
      </c>
      <c r="O222" t="s">
        <v>568</v>
      </c>
      <c r="P222" t="s">
        <v>156</v>
      </c>
      <c r="R222">
        <v>7</v>
      </c>
      <c r="S222">
        <v>106</v>
      </c>
      <c r="T222">
        <v>110</v>
      </c>
      <c r="U222">
        <v>90</v>
      </c>
      <c r="V222">
        <v>154</v>
      </c>
      <c r="W222">
        <v>90</v>
      </c>
      <c r="X222">
        <v>130</v>
      </c>
      <c r="Y222">
        <f t="shared" si="90"/>
        <v>213</v>
      </c>
      <c r="Z222">
        <f t="shared" si="91"/>
        <v>213</v>
      </c>
      <c r="AA222">
        <f t="shared" si="92"/>
        <v>181</v>
      </c>
      <c r="AB222">
        <f t="shared" si="93"/>
        <v>181</v>
      </c>
      <c r="AC222">
        <f t="shared" si="94"/>
        <v>166</v>
      </c>
      <c r="AD222">
        <f t="shared" si="95"/>
        <v>178</v>
      </c>
      <c r="AE222">
        <f t="shared" si="96"/>
        <v>162</v>
      </c>
      <c r="AF222">
        <f t="shared" si="97"/>
        <v>130</v>
      </c>
      <c r="AG222">
        <f t="shared" si="98"/>
        <v>117</v>
      </c>
      <c r="AH222">
        <f t="shared" si="99"/>
        <v>103</v>
      </c>
      <c r="AI222">
        <f t="shared" si="100"/>
        <v>156</v>
      </c>
      <c r="AJ222">
        <f t="shared" si="101"/>
        <v>142</v>
      </c>
      <c r="AK222">
        <f t="shared" si="102"/>
        <v>110</v>
      </c>
      <c r="AL222">
        <f t="shared" si="103"/>
        <v>99</v>
      </c>
      <c r="AM222">
        <f t="shared" si="104"/>
        <v>85</v>
      </c>
      <c r="AN222">
        <f t="shared" si="105"/>
        <v>226</v>
      </c>
      <c r="AO222">
        <f t="shared" si="106"/>
        <v>206</v>
      </c>
      <c r="AP222">
        <f t="shared" si="107"/>
        <v>174</v>
      </c>
      <c r="AQ222">
        <f t="shared" si="108"/>
        <v>156</v>
      </c>
      <c r="AR222">
        <f t="shared" si="109"/>
        <v>143</v>
      </c>
      <c r="AS222">
        <f t="shared" si="110"/>
        <v>156</v>
      </c>
      <c r="AT222">
        <f t="shared" si="111"/>
        <v>142</v>
      </c>
      <c r="AU222">
        <f t="shared" si="112"/>
        <v>110</v>
      </c>
      <c r="AV222">
        <f t="shared" si="113"/>
        <v>99</v>
      </c>
      <c r="AW222">
        <f t="shared" si="114"/>
        <v>85</v>
      </c>
      <c r="AX222">
        <f t="shared" si="115"/>
        <v>200</v>
      </c>
      <c r="AY222">
        <f t="shared" si="116"/>
        <v>182</v>
      </c>
      <c r="AZ222">
        <f t="shared" si="117"/>
        <v>150</v>
      </c>
      <c r="BA222">
        <f t="shared" si="118"/>
        <v>135</v>
      </c>
      <c r="BB222">
        <f t="shared" si="119"/>
        <v>121</v>
      </c>
    </row>
    <row r="223" spans="1:54" x14ac:dyDescent="0.15">
      <c r="A223">
        <v>140</v>
      </c>
      <c r="B223" t="s">
        <v>844</v>
      </c>
      <c r="C223">
        <v>151</v>
      </c>
      <c r="D223">
        <v>0</v>
      </c>
      <c r="E223" t="s">
        <v>845</v>
      </c>
      <c r="G223" t="s">
        <v>845</v>
      </c>
      <c r="H223" t="s">
        <v>846</v>
      </c>
      <c r="J223" t="s">
        <v>847</v>
      </c>
      <c r="K223">
        <v>4</v>
      </c>
      <c r="L223">
        <v>0.4</v>
      </c>
      <c r="M223" t="s">
        <v>191</v>
      </c>
      <c r="O223" t="s">
        <v>393</v>
      </c>
      <c r="R223">
        <v>9</v>
      </c>
      <c r="S223">
        <v>100</v>
      </c>
      <c r="T223">
        <v>100</v>
      </c>
      <c r="U223">
        <v>100</v>
      </c>
      <c r="V223">
        <v>100</v>
      </c>
      <c r="W223">
        <v>100</v>
      </c>
      <c r="X223">
        <v>100</v>
      </c>
      <c r="Y223">
        <f t="shared" si="90"/>
        <v>207</v>
      </c>
      <c r="Z223">
        <f t="shared" si="91"/>
        <v>207</v>
      </c>
      <c r="AA223">
        <f t="shared" si="92"/>
        <v>175</v>
      </c>
      <c r="AB223">
        <f t="shared" si="93"/>
        <v>175</v>
      </c>
      <c r="AC223">
        <f t="shared" si="94"/>
        <v>160</v>
      </c>
      <c r="AD223">
        <f t="shared" si="95"/>
        <v>167</v>
      </c>
      <c r="AE223">
        <f t="shared" si="96"/>
        <v>152</v>
      </c>
      <c r="AF223">
        <f t="shared" si="97"/>
        <v>120</v>
      </c>
      <c r="AG223">
        <f t="shared" si="98"/>
        <v>108</v>
      </c>
      <c r="AH223">
        <f t="shared" si="99"/>
        <v>94</v>
      </c>
      <c r="AI223">
        <f t="shared" si="100"/>
        <v>167</v>
      </c>
      <c r="AJ223">
        <f t="shared" si="101"/>
        <v>152</v>
      </c>
      <c r="AK223">
        <f t="shared" si="102"/>
        <v>120</v>
      </c>
      <c r="AL223">
        <f t="shared" si="103"/>
        <v>108</v>
      </c>
      <c r="AM223">
        <f t="shared" si="104"/>
        <v>94</v>
      </c>
      <c r="AN223">
        <f t="shared" si="105"/>
        <v>167</v>
      </c>
      <c r="AO223">
        <f t="shared" si="106"/>
        <v>152</v>
      </c>
      <c r="AP223">
        <f t="shared" si="107"/>
        <v>120</v>
      </c>
      <c r="AQ223">
        <f t="shared" si="108"/>
        <v>108</v>
      </c>
      <c r="AR223">
        <f t="shared" si="109"/>
        <v>94</v>
      </c>
      <c r="AS223">
        <f t="shared" si="110"/>
        <v>167</v>
      </c>
      <c r="AT223">
        <f t="shared" si="111"/>
        <v>152</v>
      </c>
      <c r="AU223">
        <f t="shared" si="112"/>
        <v>120</v>
      </c>
      <c r="AV223">
        <f t="shared" si="113"/>
        <v>108</v>
      </c>
      <c r="AW223">
        <f t="shared" si="114"/>
        <v>94</v>
      </c>
      <c r="AX223">
        <f t="shared" si="115"/>
        <v>167</v>
      </c>
      <c r="AY223">
        <f t="shared" si="116"/>
        <v>152</v>
      </c>
      <c r="AZ223">
        <f t="shared" si="117"/>
        <v>120</v>
      </c>
      <c r="BA223">
        <f t="shared" si="118"/>
        <v>108</v>
      </c>
      <c r="BB223">
        <f t="shared" si="119"/>
        <v>94</v>
      </c>
    </row>
    <row r="224" spans="1:54" x14ac:dyDescent="0.15">
      <c r="A224">
        <v>141</v>
      </c>
      <c r="B224" t="s">
        <v>848</v>
      </c>
      <c r="C224">
        <v>152</v>
      </c>
      <c r="D224">
        <v>0</v>
      </c>
      <c r="E224" t="s">
        <v>849</v>
      </c>
      <c r="G224" t="s">
        <v>849</v>
      </c>
      <c r="H224" t="s">
        <v>850</v>
      </c>
      <c r="J224" t="s">
        <v>851</v>
      </c>
      <c r="K224">
        <v>6.4</v>
      </c>
      <c r="L224">
        <v>0.9</v>
      </c>
      <c r="M224" t="s">
        <v>26</v>
      </c>
      <c r="O224" t="s">
        <v>28</v>
      </c>
      <c r="P224" t="s">
        <v>660</v>
      </c>
      <c r="R224">
        <v>9</v>
      </c>
      <c r="S224">
        <v>45</v>
      </c>
      <c r="T224">
        <v>49</v>
      </c>
      <c r="U224">
        <v>65</v>
      </c>
      <c r="V224">
        <v>49</v>
      </c>
      <c r="W224">
        <v>65</v>
      </c>
      <c r="X224">
        <v>45</v>
      </c>
      <c r="Y224">
        <f t="shared" si="90"/>
        <v>152</v>
      </c>
      <c r="Z224">
        <f t="shared" si="91"/>
        <v>152</v>
      </c>
      <c r="AA224">
        <f t="shared" si="92"/>
        <v>120</v>
      </c>
      <c r="AB224">
        <f t="shared" si="93"/>
        <v>120</v>
      </c>
      <c r="AC224">
        <f t="shared" si="94"/>
        <v>105</v>
      </c>
      <c r="AD224">
        <f t="shared" si="95"/>
        <v>111</v>
      </c>
      <c r="AE224">
        <f t="shared" si="96"/>
        <v>101</v>
      </c>
      <c r="AF224">
        <f t="shared" si="97"/>
        <v>69</v>
      </c>
      <c r="AG224">
        <f t="shared" si="98"/>
        <v>62</v>
      </c>
      <c r="AH224">
        <f t="shared" si="99"/>
        <v>48</v>
      </c>
      <c r="AI224">
        <f t="shared" si="100"/>
        <v>128</v>
      </c>
      <c r="AJ224">
        <f t="shared" si="101"/>
        <v>117</v>
      </c>
      <c r="AK224">
        <f t="shared" si="102"/>
        <v>85</v>
      </c>
      <c r="AL224">
        <f t="shared" si="103"/>
        <v>76</v>
      </c>
      <c r="AM224">
        <f t="shared" si="104"/>
        <v>63</v>
      </c>
      <c r="AN224">
        <f t="shared" si="105"/>
        <v>111</v>
      </c>
      <c r="AO224">
        <f t="shared" si="106"/>
        <v>101</v>
      </c>
      <c r="AP224">
        <f t="shared" si="107"/>
        <v>69</v>
      </c>
      <c r="AQ224">
        <f t="shared" si="108"/>
        <v>62</v>
      </c>
      <c r="AR224">
        <f t="shared" si="109"/>
        <v>48</v>
      </c>
      <c r="AS224">
        <f t="shared" si="110"/>
        <v>128</v>
      </c>
      <c r="AT224">
        <f t="shared" si="111"/>
        <v>117</v>
      </c>
      <c r="AU224">
        <f t="shared" si="112"/>
        <v>85</v>
      </c>
      <c r="AV224">
        <f t="shared" si="113"/>
        <v>76</v>
      </c>
      <c r="AW224">
        <f t="shared" si="114"/>
        <v>63</v>
      </c>
      <c r="AX224">
        <f t="shared" si="115"/>
        <v>106</v>
      </c>
      <c r="AY224">
        <f t="shared" si="116"/>
        <v>97</v>
      </c>
      <c r="AZ224">
        <f t="shared" si="117"/>
        <v>65</v>
      </c>
      <c r="BA224">
        <f t="shared" si="118"/>
        <v>58</v>
      </c>
      <c r="BB224">
        <f t="shared" si="119"/>
        <v>45</v>
      </c>
    </row>
    <row r="225" spans="1:54" x14ac:dyDescent="0.15">
      <c r="A225">
        <v>142</v>
      </c>
      <c r="B225" t="s">
        <v>852</v>
      </c>
      <c r="C225">
        <v>153</v>
      </c>
      <c r="D225">
        <v>0</v>
      </c>
      <c r="E225" t="s">
        <v>853</v>
      </c>
      <c r="G225" t="s">
        <v>853</v>
      </c>
      <c r="H225" t="s">
        <v>854</v>
      </c>
      <c r="J225" t="s">
        <v>851</v>
      </c>
      <c r="K225">
        <v>15.8</v>
      </c>
      <c r="L225">
        <v>1.2</v>
      </c>
      <c r="M225" t="s">
        <v>26</v>
      </c>
      <c r="O225" t="s">
        <v>28</v>
      </c>
      <c r="P225" t="s">
        <v>660</v>
      </c>
      <c r="R225">
        <v>9</v>
      </c>
      <c r="S225">
        <v>60</v>
      </c>
      <c r="T225">
        <v>62</v>
      </c>
      <c r="U225">
        <v>80</v>
      </c>
      <c r="V225">
        <v>63</v>
      </c>
      <c r="W225">
        <v>80</v>
      </c>
      <c r="X225">
        <v>60</v>
      </c>
      <c r="Y225">
        <f t="shared" si="90"/>
        <v>167</v>
      </c>
      <c r="Z225">
        <f t="shared" si="91"/>
        <v>167</v>
      </c>
      <c r="AA225">
        <f t="shared" si="92"/>
        <v>135</v>
      </c>
      <c r="AB225">
        <f t="shared" si="93"/>
        <v>135</v>
      </c>
      <c r="AC225">
        <f t="shared" si="94"/>
        <v>120</v>
      </c>
      <c r="AD225">
        <f t="shared" si="95"/>
        <v>125</v>
      </c>
      <c r="AE225">
        <f t="shared" si="96"/>
        <v>114</v>
      </c>
      <c r="AF225">
        <f t="shared" si="97"/>
        <v>82</v>
      </c>
      <c r="AG225">
        <f t="shared" si="98"/>
        <v>73</v>
      </c>
      <c r="AH225">
        <f t="shared" si="99"/>
        <v>60</v>
      </c>
      <c r="AI225">
        <f t="shared" si="100"/>
        <v>145</v>
      </c>
      <c r="AJ225">
        <f t="shared" si="101"/>
        <v>132</v>
      </c>
      <c r="AK225">
        <f t="shared" si="102"/>
        <v>100</v>
      </c>
      <c r="AL225">
        <f t="shared" si="103"/>
        <v>90</v>
      </c>
      <c r="AM225">
        <f t="shared" si="104"/>
        <v>76</v>
      </c>
      <c r="AN225">
        <f t="shared" si="105"/>
        <v>126</v>
      </c>
      <c r="AO225">
        <f t="shared" si="106"/>
        <v>115</v>
      </c>
      <c r="AP225">
        <f t="shared" si="107"/>
        <v>83</v>
      </c>
      <c r="AQ225">
        <f t="shared" si="108"/>
        <v>74</v>
      </c>
      <c r="AR225">
        <f t="shared" si="109"/>
        <v>61</v>
      </c>
      <c r="AS225">
        <f t="shared" si="110"/>
        <v>145</v>
      </c>
      <c r="AT225">
        <f t="shared" si="111"/>
        <v>132</v>
      </c>
      <c r="AU225">
        <f t="shared" si="112"/>
        <v>100</v>
      </c>
      <c r="AV225">
        <f t="shared" si="113"/>
        <v>90</v>
      </c>
      <c r="AW225">
        <f t="shared" si="114"/>
        <v>76</v>
      </c>
      <c r="AX225">
        <f t="shared" si="115"/>
        <v>123</v>
      </c>
      <c r="AY225">
        <f t="shared" si="116"/>
        <v>112</v>
      </c>
      <c r="AZ225">
        <f t="shared" si="117"/>
        <v>80</v>
      </c>
      <c r="BA225">
        <f t="shared" si="118"/>
        <v>72</v>
      </c>
      <c r="BB225">
        <f t="shared" si="119"/>
        <v>58</v>
      </c>
    </row>
    <row r="226" spans="1:54" x14ac:dyDescent="0.15">
      <c r="A226">
        <v>143</v>
      </c>
      <c r="B226" t="s">
        <v>855</v>
      </c>
      <c r="C226">
        <v>154</v>
      </c>
      <c r="D226">
        <v>0</v>
      </c>
      <c r="E226" t="s">
        <v>856</v>
      </c>
      <c r="G226" t="s">
        <v>856</v>
      </c>
      <c r="H226" t="s">
        <v>857</v>
      </c>
      <c r="J226" t="s">
        <v>858</v>
      </c>
      <c r="K226">
        <v>100.5</v>
      </c>
      <c r="L226">
        <v>1.8</v>
      </c>
      <c r="M226" t="s">
        <v>26</v>
      </c>
      <c r="O226" t="s">
        <v>28</v>
      </c>
      <c r="P226" t="s">
        <v>660</v>
      </c>
      <c r="R226">
        <v>9</v>
      </c>
      <c r="S226">
        <v>80</v>
      </c>
      <c r="T226">
        <v>82</v>
      </c>
      <c r="U226">
        <v>100</v>
      </c>
      <c r="V226">
        <v>83</v>
      </c>
      <c r="W226">
        <v>100</v>
      </c>
      <c r="X226">
        <v>80</v>
      </c>
      <c r="Y226">
        <f t="shared" si="90"/>
        <v>187</v>
      </c>
      <c r="Z226">
        <f t="shared" si="91"/>
        <v>187</v>
      </c>
      <c r="AA226">
        <f t="shared" si="92"/>
        <v>155</v>
      </c>
      <c r="AB226">
        <f t="shared" si="93"/>
        <v>155</v>
      </c>
      <c r="AC226">
        <f t="shared" si="94"/>
        <v>140</v>
      </c>
      <c r="AD226">
        <f t="shared" si="95"/>
        <v>147</v>
      </c>
      <c r="AE226">
        <f t="shared" si="96"/>
        <v>134</v>
      </c>
      <c r="AF226">
        <f t="shared" si="97"/>
        <v>102</v>
      </c>
      <c r="AG226">
        <f t="shared" si="98"/>
        <v>91</v>
      </c>
      <c r="AH226">
        <f t="shared" si="99"/>
        <v>78</v>
      </c>
      <c r="AI226">
        <f t="shared" si="100"/>
        <v>167</v>
      </c>
      <c r="AJ226">
        <f t="shared" si="101"/>
        <v>152</v>
      </c>
      <c r="AK226">
        <f t="shared" si="102"/>
        <v>120</v>
      </c>
      <c r="AL226">
        <f t="shared" si="103"/>
        <v>108</v>
      </c>
      <c r="AM226">
        <f t="shared" si="104"/>
        <v>94</v>
      </c>
      <c r="AN226">
        <f t="shared" si="105"/>
        <v>148</v>
      </c>
      <c r="AO226">
        <f t="shared" si="106"/>
        <v>135</v>
      </c>
      <c r="AP226">
        <f t="shared" si="107"/>
        <v>103</v>
      </c>
      <c r="AQ226">
        <f t="shared" si="108"/>
        <v>92</v>
      </c>
      <c r="AR226">
        <f t="shared" si="109"/>
        <v>79</v>
      </c>
      <c r="AS226">
        <f t="shared" si="110"/>
        <v>167</v>
      </c>
      <c r="AT226">
        <f t="shared" si="111"/>
        <v>152</v>
      </c>
      <c r="AU226">
        <f t="shared" si="112"/>
        <v>120</v>
      </c>
      <c r="AV226">
        <f t="shared" si="113"/>
        <v>108</v>
      </c>
      <c r="AW226">
        <f t="shared" si="114"/>
        <v>94</v>
      </c>
      <c r="AX226">
        <f t="shared" si="115"/>
        <v>145</v>
      </c>
      <c r="AY226">
        <f t="shared" si="116"/>
        <v>132</v>
      </c>
      <c r="AZ226">
        <f t="shared" si="117"/>
        <v>100</v>
      </c>
      <c r="BA226">
        <f t="shared" si="118"/>
        <v>90</v>
      </c>
      <c r="BB226">
        <f t="shared" si="119"/>
        <v>76</v>
      </c>
    </row>
    <row r="227" spans="1:54" x14ac:dyDescent="0.15">
      <c r="A227">
        <v>144</v>
      </c>
      <c r="B227" t="s">
        <v>859</v>
      </c>
      <c r="C227">
        <v>155</v>
      </c>
      <c r="D227">
        <v>0</v>
      </c>
      <c r="E227" t="s">
        <v>860</v>
      </c>
      <c r="G227" t="s">
        <v>860</v>
      </c>
      <c r="H227" t="s">
        <v>861</v>
      </c>
      <c r="J227" t="s">
        <v>862</v>
      </c>
      <c r="K227">
        <v>7.9</v>
      </c>
      <c r="L227">
        <v>0.5</v>
      </c>
      <c r="M227" t="s">
        <v>47</v>
      </c>
      <c r="O227" t="s">
        <v>48</v>
      </c>
      <c r="P227" t="s">
        <v>245</v>
      </c>
      <c r="R227">
        <v>9</v>
      </c>
      <c r="S227">
        <v>39</v>
      </c>
      <c r="T227">
        <v>52</v>
      </c>
      <c r="U227">
        <v>43</v>
      </c>
      <c r="V227">
        <v>60</v>
      </c>
      <c r="W227">
        <v>50</v>
      </c>
      <c r="X227">
        <v>65</v>
      </c>
      <c r="Y227">
        <f t="shared" si="90"/>
        <v>146</v>
      </c>
      <c r="Z227">
        <f t="shared" si="91"/>
        <v>146</v>
      </c>
      <c r="AA227">
        <f t="shared" si="92"/>
        <v>114</v>
      </c>
      <c r="AB227">
        <f t="shared" si="93"/>
        <v>114</v>
      </c>
      <c r="AC227">
        <f t="shared" si="94"/>
        <v>99</v>
      </c>
      <c r="AD227">
        <f t="shared" si="95"/>
        <v>114</v>
      </c>
      <c r="AE227">
        <f t="shared" si="96"/>
        <v>104</v>
      </c>
      <c r="AF227">
        <f t="shared" si="97"/>
        <v>72</v>
      </c>
      <c r="AG227">
        <f t="shared" si="98"/>
        <v>64</v>
      </c>
      <c r="AH227">
        <f t="shared" si="99"/>
        <v>51</v>
      </c>
      <c r="AI227">
        <f t="shared" si="100"/>
        <v>104</v>
      </c>
      <c r="AJ227">
        <f t="shared" si="101"/>
        <v>95</v>
      </c>
      <c r="AK227">
        <f t="shared" si="102"/>
        <v>63</v>
      </c>
      <c r="AL227">
        <f t="shared" si="103"/>
        <v>56</v>
      </c>
      <c r="AM227">
        <f t="shared" si="104"/>
        <v>43</v>
      </c>
      <c r="AN227">
        <f t="shared" si="105"/>
        <v>123</v>
      </c>
      <c r="AO227">
        <f t="shared" si="106"/>
        <v>112</v>
      </c>
      <c r="AP227">
        <f t="shared" si="107"/>
        <v>80</v>
      </c>
      <c r="AQ227">
        <f t="shared" si="108"/>
        <v>72</v>
      </c>
      <c r="AR227">
        <f t="shared" si="109"/>
        <v>58</v>
      </c>
      <c r="AS227">
        <f t="shared" si="110"/>
        <v>112</v>
      </c>
      <c r="AT227">
        <f t="shared" si="111"/>
        <v>102</v>
      </c>
      <c r="AU227">
        <f t="shared" si="112"/>
        <v>70</v>
      </c>
      <c r="AV227">
        <f t="shared" si="113"/>
        <v>63</v>
      </c>
      <c r="AW227">
        <f t="shared" si="114"/>
        <v>49</v>
      </c>
      <c r="AX227">
        <f t="shared" si="115"/>
        <v>128</v>
      </c>
      <c r="AY227">
        <f t="shared" si="116"/>
        <v>117</v>
      </c>
      <c r="AZ227">
        <f t="shared" si="117"/>
        <v>85</v>
      </c>
      <c r="BA227">
        <f t="shared" si="118"/>
        <v>76</v>
      </c>
      <c r="BB227">
        <f t="shared" si="119"/>
        <v>63</v>
      </c>
    </row>
    <row r="228" spans="1:54" x14ac:dyDescent="0.15">
      <c r="A228">
        <v>145</v>
      </c>
      <c r="B228" t="s">
        <v>863</v>
      </c>
      <c r="C228">
        <v>156</v>
      </c>
      <c r="D228">
        <v>0</v>
      </c>
      <c r="E228" t="s">
        <v>864</v>
      </c>
      <c r="G228" t="s">
        <v>864</v>
      </c>
      <c r="H228" t="s">
        <v>865</v>
      </c>
      <c r="J228" t="s">
        <v>866</v>
      </c>
      <c r="K228">
        <v>19</v>
      </c>
      <c r="L228">
        <v>0.9</v>
      </c>
      <c r="M228" t="s">
        <v>47</v>
      </c>
      <c r="O228" t="s">
        <v>48</v>
      </c>
      <c r="P228" t="s">
        <v>245</v>
      </c>
      <c r="R228">
        <v>9</v>
      </c>
      <c r="S228">
        <v>58</v>
      </c>
      <c r="T228">
        <v>64</v>
      </c>
      <c r="U228">
        <v>58</v>
      </c>
      <c r="V228">
        <v>80</v>
      </c>
      <c r="W228">
        <v>65</v>
      </c>
      <c r="X228">
        <v>80</v>
      </c>
      <c r="Y228">
        <f t="shared" si="90"/>
        <v>165</v>
      </c>
      <c r="Z228">
        <f t="shared" si="91"/>
        <v>165</v>
      </c>
      <c r="AA228">
        <f t="shared" si="92"/>
        <v>133</v>
      </c>
      <c r="AB228">
        <f t="shared" si="93"/>
        <v>133</v>
      </c>
      <c r="AC228">
        <f t="shared" si="94"/>
        <v>118</v>
      </c>
      <c r="AD228">
        <f t="shared" si="95"/>
        <v>127</v>
      </c>
      <c r="AE228">
        <f t="shared" si="96"/>
        <v>116</v>
      </c>
      <c r="AF228">
        <f t="shared" si="97"/>
        <v>84</v>
      </c>
      <c r="AG228">
        <f t="shared" si="98"/>
        <v>75</v>
      </c>
      <c r="AH228">
        <f t="shared" si="99"/>
        <v>62</v>
      </c>
      <c r="AI228">
        <f t="shared" si="100"/>
        <v>121</v>
      </c>
      <c r="AJ228">
        <f t="shared" si="101"/>
        <v>110</v>
      </c>
      <c r="AK228">
        <f t="shared" si="102"/>
        <v>78</v>
      </c>
      <c r="AL228">
        <f t="shared" si="103"/>
        <v>70</v>
      </c>
      <c r="AM228">
        <f t="shared" si="104"/>
        <v>56</v>
      </c>
      <c r="AN228">
        <f t="shared" si="105"/>
        <v>145</v>
      </c>
      <c r="AO228">
        <f t="shared" si="106"/>
        <v>132</v>
      </c>
      <c r="AP228">
        <f t="shared" si="107"/>
        <v>100</v>
      </c>
      <c r="AQ228">
        <f t="shared" si="108"/>
        <v>90</v>
      </c>
      <c r="AR228">
        <f t="shared" si="109"/>
        <v>76</v>
      </c>
      <c r="AS228">
        <f t="shared" si="110"/>
        <v>128</v>
      </c>
      <c r="AT228">
        <f t="shared" si="111"/>
        <v>117</v>
      </c>
      <c r="AU228">
        <f t="shared" si="112"/>
        <v>85</v>
      </c>
      <c r="AV228">
        <f t="shared" si="113"/>
        <v>76</v>
      </c>
      <c r="AW228">
        <f t="shared" si="114"/>
        <v>63</v>
      </c>
      <c r="AX228">
        <f t="shared" si="115"/>
        <v>145</v>
      </c>
      <c r="AY228">
        <f t="shared" si="116"/>
        <v>132</v>
      </c>
      <c r="AZ228">
        <f t="shared" si="117"/>
        <v>100</v>
      </c>
      <c r="BA228">
        <f t="shared" si="118"/>
        <v>90</v>
      </c>
      <c r="BB228">
        <f t="shared" si="119"/>
        <v>76</v>
      </c>
    </row>
    <row r="229" spans="1:54" x14ac:dyDescent="0.15">
      <c r="A229">
        <v>146</v>
      </c>
      <c r="B229" t="s">
        <v>867</v>
      </c>
      <c r="C229">
        <v>157</v>
      </c>
      <c r="D229">
        <v>0</v>
      </c>
      <c r="E229" t="s">
        <v>868</v>
      </c>
      <c r="G229" t="s">
        <v>868</v>
      </c>
      <c r="H229" t="s">
        <v>869</v>
      </c>
      <c r="J229" t="s">
        <v>866</v>
      </c>
      <c r="K229">
        <v>79.5</v>
      </c>
      <c r="L229">
        <v>1.7</v>
      </c>
      <c r="M229" t="s">
        <v>47</v>
      </c>
      <c r="O229" t="s">
        <v>48</v>
      </c>
      <c r="P229" t="s">
        <v>245</v>
      </c>
      <c r="R229">
        <v>9</v>
      </c>
      <c r="S229">
        <v>78</v>
      </c>
      <c r="T229">
        <v>84</v>
      </c>
      <c r="U229">
        <v>78</v>
      </c>
      <c r="V229">
        <v>109</v>
      </c>
      <c r="W229">
        <v>85</v>
      </c>
      <c r="X229">
        <v>100</v>
      </c>
      <c r="Y229">
        <f t="shared" si="90"/>
        <v>185</v>
      </c>
      <c r="Z229">
        <f t="shared" si="91"/>
        <v>185</v>
      </c>
      <c r="AA229">
        <f t="shared" si="92"/>
        <v>153</v>
      </c>
      <c r="AB229">
        <f t="shared" si="93"/>
        <v>153</v>
      </c>
      <c r="AC229">
        <f t="shared" si="94"/>
        <v>138</v>
      </c>
      <c r="AD229">
        <f t="shared" si="95"/>
        <v>149</v>
      </c>
      <c r="AE229">
        <f t="shared" si="96"/>
        <v>136</v>
      </c>
      <c r="AF229">
        <f t="shared" si="97"/>
        <v>104</v>
      </c>
      <c r="AG229">
        <f t="shared" si="98"/>
        <v>93</v>
      </c>
      <c r="AH229">
        <f t="shared" si="99"/>
        <v>80</v>
      </c>
      <c r="AI229">
        <f t="shared" si="100"/>
        <v>143</v>
      </c>
      <c r="AJ229">
        <f t="shared" si="101"/>
        <v>130</v>
      </c>
      <c r="AK229">
        <f t="shared" si="102"/>
        <v>98</v>
      </c>
      <c r="AL229">
        <f t="shared" si="103"/>
        <v>88</v>
      </c>
      <c r="AM229">
        <f t="shared" si="104"/>
        <v>74</v>
      </c>
      <c r="AN229">
        <f t="shared" si="105"/>
        <v>177</v>
      </c>
      <c r="AO229">
        <f t="shared" si="106"/>
        <v>161</v>
      </c>
      <c r="AP229">
        <f t="shared" si="107"/>
        <v>129</v>
      </c>
      <c r="AQ229">
        <f t="shared" si="108"/>
        <v>116</v>
      </c>
      <c r="AR229">
        <f t="shared" si="109"/>
        <v>102</v>
      </c>
      <c r="AS229">
        <f t="shared" si="110"/>
        <v>150</v>
      </c>
      <c r="AT229">
        <f t="shared" si="111"/>
        <v>137</v>
      </c>
      <c r="AU229">
        <f t="shared" si="112"/>
        <v>105</v>
      </c>
      <c r="AV229">
        <f t="shared" si="113"/>
        <v>94</v>
      </c>
      <c r="AW229">
        <f t="shared" si="114"/>
        <v>81</v>
      </c>
      <c r="AX229">
        <f t="shared" si="115"/>
        <v>167</v>
      </c>
      <c r="AY229">
        <f t="shared" si="116"/>
        <v>152</v>
      </c>
      <c r="AZ229">
        <f t="shared" si="117"/>
        <v>120</v>
      </c>
      <c r="BA229">
        <f t="shared" si="118"/>
        <v>108</v>
      </c>
      <c r="BB229">
        <f t="shared" si="119"/>
        <v>94</v>
      </c>
    </row>
    <row r="230" spans="1:54" x14ac:dyDescent="0.15">
      <c r="A230">
        <v>147</v>
      </c>
      <c r="B230" t="s">
        <v>870</v>
      </c>
      <c r="C230">
        <v>157</v>
      </c>
      <c r="D230">
        <v>1</v>
      </c>
      <c r="E230" t="s">
        <v>868</v>
      </c>
      <c r="F230" t="s">
        <v>367</v>
      </c>
      <c r="G230" t="s">
        <v>871</v>
      </c>
      <c r="H230" t="s">
        <v>872</v>
      </c>
      <c r="J230" t="s">
        <v>873</v>
      </c>
      <c r="K230">
        <v>69.8</v>
      </c>
      <c r="L230">
        <v>1.6</v>
      </c>
      <c r="M230" t="s">
        <v>47</v>
      </c>
      <c r="N230" t="s">
        <v>546</v>
      </c>
      <c r="O230" t="s">
        <v>48</v>
      </c>
      <c r="P230" t="s">
        <v>245</v>
      </c>
      <c r="Q230" t="s">
        <v>264</v>
      </c>
      <c r="R230">
        <v>9</v>
      </c>
      <c r="S230">
        <v>73</v>
      </c>
      <c r="T230">
        <v>84</v>
      </c>
      <c r="U230">
        <v>78</v>
      </c>
      <c r="V230">
        <v>119</v>
      </c>
      <c r="W230">
        <v>85</v>
      </c>
      <c r="X230">
        <v>95</v>
      </c>
      <c r="Y230">
        <f t="shared" si="90"/>
        <v>180</v>
      </c>
      <c r="Z230">
        <f t="shared" si="91"/>
        <v>180</v>
      </c>
      <c r="AA230">
        <f t="shared" si="92"/>
        <v>148</v>
      </c>
      <c r="AB230">
        <f t="shared" si="93"/>
        <v>148</v>
      </c>
      <c r="AC230">
        <f t="shared" si="94"/>
        <v>133</v>
      </c>
      <c r="AD230">
        <f t="shared" si="95"/>
        <v>149</v>
      </c>
      <c r="AE230">
        <f t="shared" si="96"/>
        <v>136</v>
      </c>
      <c r="AF230">
        <f t="shared" si="97"/>
        <v>104</v>
      </c>
      <c r="AG230">
        <f t="shared" si="98"/>
        <v>93</v>
      </c>
      <c r="AH230">
        <f t="shared" si="99"/>
        <v>80</v>
      </c>
      <c r="AI230">
        <f t="shared" si="100"/>
        <v>143</v>
      </c>
      <c r="AJ230">
        <f t="shared" si="101"/>
        <v>130</v>
      </c>
      <c r="AK230">
        <f t="shared" si="102"/>
        <v>98</v>
      </c>
      <c r="AL230">
        <f t="shared" si="103"/>
        <v>88</v>
      </c>
      <c r="AM230">
        <f t="shared" si="104"/>
        <v>74</v>
      </c>
      <c r="AN230">
        <f t="shared" si="105"/>
        <v>188</v>
      </c>
      <c r="AO230">
        <f t="shared" si="106"/>
        <v>171</v>
      </c>
      <c r="AP230">
        <f t="shared" si="107"/>
        <v>139</v>
      </c>
      <c r="AQ230">
        <f t="shared" si="108"/>
        <v>125</v>
      </c>
      <c r="AR230">
        <f t="shared" si="109"/>
        <v>111</v>
      </c>
      <c r="AS230">
        <f t="shared" si="110"/>
        <v>150</v>
      </c>
      <c r="AT230">
        <f t="shared" si="111"/>
        <v>137</v>
      </c>
      <c r="AU230">
        <f t="shared" si="112"/>
        <v>105</v>
      </c>
      <c r="AV230">
        <f t="shared" si="113"/>
        <v>94</v>
      </c>
      <c r="AW230">
        <f t="shared" si="114"/>
        <v>81</v>
      </c>
      <c r="AX230">
        <f t="shared" si="115"/>
        <v>161</v>
      </c>
      <c r="AY230">
        <f t="shared" si="116"/>
        <v>147</v>
      </c>
      <c r="AZ230">
        <f t="shared" si="117"/>
        <v>115</v>
      </c>
      <c r="BA230">
        <f t="shared" si="118"/>
        <v>103</v>
      </c>
      <c r="BB230">
        <f t="shared" si="119"/>
        <v>90</v>
      </c>
    </row>
    <row r="231" spans="1:54" x14ac:dyDescent="0.15">
      <c r="A231">
        <v>148</v>
      </c>
      <c r="B231" t="s">
        <v>874</v>
      </c>
      <c r="C231">
        <v>158</v>
      </c>
      <c r="D231">
        <v>0</v>
      </c>
      <c r="E231" t="s">
        <v>875</v>
      </c>
      <c r="G231" t="s">
        <v>875</v>
      </c>
      <c r="H231" t="s">
        <v>876</v>
      </c>
      <c r="J231" t="s">
        <v>877</v>
      </c>
      <c r="K231">
        <v>9.5</v>
      </c>
      <c r="L231">
        <v>0.6</v>
      </c>
      <c r="M231" t="s">
        <v>71</v>
      </c>
      <c r="O231" t="s">
        <v>72</v>
      </c>
      <c r="P231" t="s">
        <v>222</v>
      </c>
      <c r="R231">
        <v>9</v>
      </c>
      <c r="S231">
        <v>50</v>
      </c>
      <c r="T231">
        <v>65</v>
      </c>
      <c r="U231">
        <v>64</v>
      </c>
      <c r="V231">
        <v>44</v>
      </c>
      <c r="W231">
        <v>48</v>
      </c>
      <c r="X231">
        <v>43</v>
      </c>
      <c r="Y231">
        <f t="shared" si="90"/>
        <v>157</v>
      </c>
      <c r="Z231">
        <f t="shared" si="91"/>
        <v>157</v>
      </c>
      <c r="AA231">
        <f t="shared" si="92"/>
        <v>125</v>
      </c>
      <c r="AB231">
        <f t="shared" si="93"/>
        <v>125</v>
      </c>
      <c r="AC231">
        <f t="shared" si="94"/>
        <v>110</v>
      </c>
      <c r="AD231">
        <f t="shared" si="95"/>
        <v>128</v>
      </c>
      <c r="AE231">
        <f t="shared" si="96"/>
        <v>117</v>
      </c>
      <c r="AF231">
        <f t="shared" si="97"/>
        <v>85</v>
      </c>
      <c r="AG231">
        <f t="shared" si="98"/>
        <v>76</v>
      </c>
      <c r="AH231">
        <f t="shared" si="99"/>
        <v>63</v>
      </c>
      <c r="AI231">
        <f t="shared" si="100"/>
        <v>127</v>
      </c>
      <c r="AJ231">
        <f t="shared" si="101"/>
        <v>116</v>
      </c>
      <c r="AK231">
        <f t="shared" si="102"/>
        <v>84</v>
      </c>
      <c r="AL231">
        <f t="shared" si="103"/>
        <v>75</v>
      </c>
      <c r="AM231">
        <f t="shared" si="104"/>
        <v>62</v>
      </c>
      <c r="AN231">
        <f t="shared" si="105"/>
        <v>105</v>
      </c>
      <c r="AO231">
        <f t="shared" si="106"/>
        <v>96</v>
      </c>
      <c r="AP231">
        <f t="shared" si="107"/>
        <v>64</v>
      </c>
      <c r="AQ231">
        <f t="shared" si="108"/>
        <v>57</v>
      </c>
      <c r="AR231">
        <f t="shared" si="109"/>
        <v>44</v>
      </c>
      <c r="AS231">
        <f t="shared" si="110"/>
        <v>110</v>
      </c>
      <c r="AT231">
        <f t="shared" si="111"/>
        <v>100</v>
      </c>
      <c r="AU231">
        <f t="shared" si="112"/>
        <v>68</v>
      </c>
      <c r="AV231">
        <f t="shared" si="113"/>
        <v>61</v>
      </c>
      <c r="AW231">
        <f t="shared" si="114"/>
        <v>47</v>
      </c>
      <c r="AX231">
        <f t="shared" si="115"/>
        <v>104</v>
      </c>
      <c r="AY231">
        <f t="shared" si="116"/>
        <v>95</v>
      </c>
      <c r="AZ231">
        <f t="shared" si="117"/>
        <v>63</v>
      </c>
      <c r="BA231">
        <f t="shared" si="118"/>
        <v>56</v>
      </c>
      <c r="BB231">
        <f t="shared" si="119"/>
        <v>43</v>
      </c>
    </row>
    <row r="232" spans="1:54" x14ac:dyDescent="0.15">
      <c r="A232">
        <v>149</v>
      </c>
      <c r="B232" t="s">
        <v>878</v>
      </c>
      <c r="C232">
        <v>159</v>
      </c>
      <c r="D232">
        <v>0</v>
      </c>
      <c r="E232" t="s">
        <v>879</v>
      </c>
      <c r="G232" t="s">
        <v>879</v>
      </c>
      <c r="H232" t="s">
        <v>880</v>
      </c>
      <c r="J232" t="s">
        <v>877</v>
      </c>
      <c r="K232">
        <v>25</v>
      </c>
      <c r="L232">
        <v>1.1000000000000001</v>
      </c>
      <c r="M232" t="s">
        <v>71</v>
      </c>
      <c r="O232" t="s">
        <v>72</v>
      </c>
      <c r="P232" t="s">
        <v>222</v>
      </c>
      <c r="R232">
        <v>9</v>
      </c>
      <c r="S232">
        <v>65</v>
      </c>
      <c r="T232">
        <v>80</v>
      </c>
      <c r="U232">
        <v>80</v>
      </c>
      <c r="V232">
        <v>59</v>
      </c>
      <c r="W232">
        <v>63</v>
      </c>
      <c r="X232">
        <v>58</v>
      </c>
      <c r="Y232">
        <f t="shared" si="90"/>
        <v>172</v>
      </c>
      <c r="Z232">
        <f t="shared" si="91"/>
        <v>172</v>
      </c>
      <c r="AA232">
        <f t="shared" si="92"/>
        <v>140</v>
      </c>
      <c r="AB232">
        <f t="shared" si="93"/>
        <v>140</v>
      </c>
      <c r="AC232">
        <f t="shared" si="94"/>
        <v>125</v>
      </c>
      <c r="AD232">
        <f t="shared" si="95"/>
        <v>145</v>
      </c>
      <c r="AE232">
        <f t="shared" si="96"/>
        <v>132</v>
      </c>
      <c r="AF232">
        <f t="shared" si="97"/>
        <v>100</v>
      </c>
      <c r="AG232">
        <f t="shared" si="98"/>
        <v>90</v>
      </c>
      <c r="AH232">
        <f t="shared" si="99"/>
        <v>76</v>
      </c>
      <c r="AI232">
        <f t="shared" si="100"/>
        <v>145</v>
      </c>
      <c r="AJ232">
        <f t="shared" si="101"/>
        <v>132</v>
      </c>
      <c r="AK232">
        <f t="shared" si="102"/>
        <v>100</v>
      </c>
      <c r="AL232">
        <f t="shared" si="103"/>
        <v>90</v>
      </c>
      <c r="AM232">
        <f t="shared" si="104"/>
        <v>76</v>
      </c>
      <c r="AN232">
        <f t="shared" si="105"/>
        <v>122</v>
      </c>
      <c r="AO232">
        <f t="shared" si="106"/>
        <v>111</v>
      </c>
      <c r="AP232">
        <f t="shared" si="107"/>
        <v>79</v>
      </c>
      <c r="AQ232">
        <f t="shared" si="108"/>
        <v>71</v>
      </c>
      <c r="AR232">
        <f t="shared" si="109"/>
        <v>57</v>
      </c>
      <c r="AS232">
        <f t="shared" si="110"/>
        <v>126</v>
      </c>
      <c r="AT232">
        <f t="shared" si="111"/>
        <v>115</v>
      </c>
      <c r="AU232">
        <f t="shared" si="112"/>
        <v>83</v>
      </c>
      <c r="AV232">
        <f t="shared" si="113"/>
        <v>74</v>
      </c>
      <c r="AW232">
        <f t="shared" si="114"/>
        <v>61</v>
      </c>
      <c r="AX232">
        <f t="shared" si="115"/>
        <v>121</v>
      </c>
      <c r="AY232">
        <f t="shared" si="116"/>
        <v>110</v>
      </c>
      <c r="AZ232">
        <f t="shared" si="117"/>
        <v>78</v>
      </c>
      <c r="BA232">
        <f t="shared" si="118"/>
        <v>70</v>
      </c>
      <c r="BB232">
        <f t="shared" si="119"/>
        <v>56</v>
      </c>
    </row>
    <row r="233" spans="1:54" x14ac:dyDescent="0.15">
      <c r="A233">
        <v>150</v>
      </c>
      <c r="B233" t="s">
        <v>881</v>
      </c>
      <c r="C233">
        <v>160</v>
      </c>
      <c r="D233">
        <v>0</v>
      </c>
      <c r="E233" t="s">
        <v>882</v>
      </c>
      <c r="G233" t="s">
        <v>882</v>
      </c>
      <c r="H233" t="s">
        <v>883</v>
      </c>
      <c r="J233" t="s">
        <v>877</v>
      </c>
      <c r="K233">
        <v>88.8</v>
      </c>
      <c r="L233">
        <v>2.2999999999999998</v>
      </c>
      <c r="M233" t="s">
        <v>71</v>
      </c>
      <c r="O233" t="s">
        <v>72</v>
      </c>
      <c r="P233" t="s">
        <v>222</v>
      </c>
      <c r="R233">
        <v>9</v>
      </c>
      <c r="S233">
        <v>85</v>
      </c>
      <c r="T233">
        <v>105</v>
      </c>
      <c r="U233">
        <v>100</v>
      </c>
      <c r="V233">
        <v>79</v>
      </c>
      <c r="W233">
        <v>83</v>
      </c>
      <c r="X233">
        <v>78</v>
      </c>
      <c r="Y233">
        <f t="shared" si="90"/>
        <v>192</v>
      </c>
      <c r="Z233">
        <f t="shared" si="91"/>
        <v>192</v>
      </c>
      <c r="AA233">
        <f t="shared" si="92"/>
        <v>160</v>
      </c>
      <c r="AB233">
        <f t="shared" si="93"/>
        <v>160</v>
      </c>
      <c r="AC233">
        <f t="shared" si="94"/>
        <v>145</v>
      </c>
      <c r="AD233">
        <f t="shared" si="95"/>
        <v>172</v>
      </c>
      <c r="AE233">
        <f t="shared" si="96"/>
        <v>157</v>
      </c>
      <c r="AF233">
        <f t="shared" si="97"/>
        <v>125</v>
      </c>
      <c r="AG233">
        <f t="shared" si="98"/>
        <v>112</v>
      </c>
      <c r="AH233">
        <f t="shared" si="99"/>
        <v>99</v>
      </c>
      <c r="AI233">
        <f t="shared" si="100"/>
        <v>167</v>
      </c>
      <c r="AJ233">
        <f t="shared" si="101"/>
        <v>152</v>
      </c>
      <c r="AK233">
        <f t="shared" si="102"/>
        <v>120</v>
      </c>
      <c r="AL233">
        <f t="shared" si="103"/>
        <v>108</v>
      </c>
      <c r="AM233">
        <f t="shared" si="104"/>
        <v>94</v>
      </c>
      <c r="AN233">
        <f t="shared" si="105"/>
        <v>144</v>
      </c>
      <c r="AO233">
        <f t="shared" si="106"/>
        <v>131</v>
      </c>
      <c r="AP233">
        <f t="shared" si="107"/>
        <v>99</v>
      </c>
      <c r="AQ233">
        <f t="shared" si="108"/>
        <v>89</v>
      </c>
      <c r="AR233">
        <f t="shared" si="109"/>
        <v>75</v>
      </c>
      <c r="AS233">
        <f t="shared" si="110"/>
        <v>148</v>
      </c>
      <c r="AT233">
        <f t="shared" si="111"/>
        <v>135</v>
      </c>
      <c r="AU233">
        <f t="shared" si="112"/>
        <v>103</v>
      </c>
      <c r="AV233">
        <f t="shared" si="113"/>
        <v>92</v>
      </c>
      <c r="AW233">
        <f t="shared" si="114"/>
        <v>79</v>
      </c>
      <c r="AX233">
        <f t="shared" si="115"/>
        <v>143</v>
      </c>
      <c r="AY233">
        <f t="shared" si="116"/>
        <v>130</v>
      </c>
      <c r="AZ233">
        <f t="shared" si="117"/>
        <v>98</v>
      </c>
      <c r="BA233">
        <f t="shared" si="118"/>
        <v>88</v>
      </c>
      <c r="BB233">
        <f t="shared" si="119"/>
        <v>74</v>
      </c>
    </row>
    <row r="234" spans="1:54" x14ac:dyDescent="0.15">
      <c r="A234">
        <v>151</v>
      </c>
      <c r="B234" t="s">
        <v>884</v>
      </c>
      <c r="C234">
        <v>161</v>
      </c>
      <c r="D234">
        <v>0</v>
      </c>
      <c r="E234" t="s">
        <v>885</v>
      </c>
      <c r="G234" t="s">
        <v>885</v>
      </c>
      <c r="H234" t="s">
        <v>886</v>
      </c>
      <c r="J234" t="s">
        <v>370</v>
      </c>
      <c r="K234">
        <v>6</v>
      </c>
      <c r="L234">
        <v>0.8</v>
      </c>
      <c r="M234" t="s">
        <v>120</v>
      </c>
      <c r="O234" t="s">
        <v>92</v>
      </c>
      <c r="P234" t="s">
        <v>121</v>
      </c>
      <c r="Q234" t="s">
        <v>264</v>
      </c>
      <c r="R234">
        <v>9</v>
      </c>
      <c r="S234">
        <v>35</v>
      </c>
      <c r="T234">
        <v>46</v>
      </c>
      <c r="U234">
        <v>34</v>
      </c>
      <c r="V234">
        <v>35</v>
      </c>
      <c r="W234">
        <v>45</v>
      </c>
      <c r="X234">
        <v>20</v>
      </c>
      <c r="Y234">
        <f t="shared" si="90"/>
        <v>142</v>
      </c>
      <c r="Z234">
        <f t="shared" si="91"/>
        <v>142</v>
      </c>
      <c r="AA234">
        <f t="shared" si="92"/>
        <v>110</v>
      </c>
      <c r="AB234">
        <f t="shared" si="93"/>
        <v>110</v>
      </c>
      <c r="AC234">
        <f t="shared" si="94"/>
        <v>95</v>
      </c>
      <c r="AD234">
        <f t="shared" si="95"/>
        <v>107</v>
      </c>
      <c r="AE234">
        <f t="shared" si="96"/>
        <v>98</v>
      </c>
      <c r="AF234">
        <f t="shared" si="97"/>
        <v>66</v>
      </c>
      <c r="AG234">
        <f t="shared" si="98"/>
        <v>59</v>
      </c>
      <c r="AH234">
        <f t="shared" si="99"/>
        <v>45</v>
      </c>
      <c r="AI234">
        <f t="shared" si="100"/>
        <v>94</v>
      </c>
      <c r="AJ234">
        <f t="shared" si="101"/>
        <v>86</v>
      </c>
      <c r="AK234">
        <f t="shared" si="102"/>
        <v>54</v>
      </c>
      <c r="AL234">
        <f t="shared" si="103"/>
        <v>48</v>
      </c>
      <c r="AM234">
        <f t="shared" si="104"/>
        <v>35</v>
      </c>
      <c r="AN234">
        <f t="shared" si="105"/>
        <v>95</v>
      </c>
      <c r="AO234">
        <f t="shared" si="106"/>
        <v>87</v>
      </c>
      <c r="AP234">
        <f t="shared" si="107"/>
        <v>55</v>
      </c>
      <c r="AQ234">
        <f t="shared" si="108"/>
        <v>49</v>
      </c>
      <c r="AR234">
        <f t="shared" si="109"/>
        <v>36</v>
      </c>
      <c r="AS234">
        <f t="shared" si="110"/>
        <v>106</v>
      </c>
      <c r="AT234">
        <f t="shared" si="111"/>
        <v>97</v>
      </c>
      <c r="AU234">
        <f t="shared" si="112"/>
        <v>65</v>
      </c>
      <c r="AV234">
        <f t="shared" si="113"/>
        <v>58</v>
      </c>
      <c r="AW234">
        <f t="shared" si="114"/>
        <v>45</v>
      </c>
      <c r="AX234">
        <f t="shared" si="115"/>
        <v>79</v>
      </c>
      <c r="AY234">
        <f t="shared" si="116"/>
        <v>72</v>
      </c>
      <c r="AZ234">
        <f t="shared" si="117"/>
        <v>40</v>
      </c>
      <c r="BA234">
        <f t="shared" si="118"/>
        <v>36</v>
      </c>
      <c r="BB234">
        <f t="shared" si="119"/>
        <v>22</v>
      </c>
    </row>
    <row r="235" spans="1:54" x14ac:dyDescent="0.15">
      <c r="A235">
        <v>152</v>
      </c>
      <c r="B235" t="s">
        <v>887</v>
      </c>
      <c r="C235">
        <v>162</v>
      </c>
      <c r="D235">
        <v>0</v>
      </c>
      <c r="E235" t="s">
        <v>888</v>
      </c>
      <c r="G235" t="s">
        <v>888</v>
      </c>
      <c r="H235" t="s">
        <v>889</v>
      </c>
      <c r="J235" t="s">
        <v>890</v>
      </c>
      <c r="K235">
        <v>32.5</v>
      </c>
      <c r="L235">
        <v>1.8</v>
      </c>
      <c r="M235" t="s">
        <v>120</v>
      </c>
      <c r="O235" t="s">
        <v>92</v>
      </c>
      <c r="P235" t="s">
        <v>121</v>
      </c>
      <c r="Q235" t="s">
        <v>264</v>
      </c>
      <c r="R235">
        <v>9</v>
      </c>
      <c r="S235">
        <v>85</v>
      </c>
      <c r="T235">
        <v>76</v>
      </c>
      <c r="U235">
        <v>64</v>
      </c>
      <c r="V235">
        <v>45</v>
      </c>
      <c r="W235">
        <v>55</v>
      </c>
      <c r="X235">
        <v>90</v>
      </c>
      <c r="Y235">
        <f t="shared" si="90"/>
        <v>192</v>
      </c>
      <c r="Z235">
        <f t="shared" si="91"/>
        <v>192</v>
      </c>
      <c r="AA235">
        <f t="shared" si="92"/>
        <v>160</v>
      </c>
      <c r="AB235">
        <f t="shared" si="93"/>
        <v>160</v>
      </c>
      <c r="AC235">
        <f t="shared" si="94"/>
        <v>145</v>
      </c>
      <c r="AD235">
        <f t="shared" si="95"/>
        <v>140</v>
      </c>
      <c r="AE235">
        <f t="shared" si="96"/>
        <v>128</v>
      </c>
      <c r="AF235">
        <f t="shared" si="97"/>
        <v>96</v>
      </c>
      <c r="AG235">
        <f t="shared" si="98"/>
        <v>86</v>
      </c>
      <c r="AH235">
        <f t="shared" si="99"/>
        <v>72</v>
      </c>
      <c r="AI235">
        <f t="shared" si="100"/>
        <v>127</v>
      </c>
      <c r="AJ235">
        <f t="shared" si="101"/>
        <v>116</v>
      </c>
      <c r="AK235">
        <f t="shared" si="102"/>
        <v>84</v>
      </c>
      <c r="AL235">
        <f t="shared" si="103"/>
        <v>75</v>
      </c>
      <c r="AM235">
        <f t="shared" si="104"/>
        <v>62</v>
      </c>
      <c r="AN235">
        <f t="shared" si="105"/>
        <v>106</v>
      </c>
      <c r="AO235">
        <f t="shared" si="106"/>
        <v>97</v>
      </c>
      <c r="AP235">
        <f t="shared" si="107"/>
        <v>65</v>
      </c>
      <c r="AQ235">
        <f t="shared" si="108"/>
        <v>58</v>
      </c>
      <c r="AR235">
        <f t="shared" si="109"/>
        <v>45</v>
      </c>
      <c r="AS235">
        <f t="shared" si="110"/>
        <v>117</v>
      </c>
      <c r="AT235">
        <f t="shared" si="111"/>
        <v>107</v>
      </c>
      <c r="AU235">
        <f t="shared" si="112"/>
        <v>75</v>
      </c>
      <c r="AV235">
        <f t="shared" si="113"/>
        <v>67</v>
      </c>
      <c r="AW235">
        <f t="shared" si="114"/>
        <v>54</v>
      </c>
      <c r="AX235">
        <f t="shared" si="115"/>
        <v>156</v>
      </c>
      <c r="AY235">
        <f t="shared" si="116"/>
        <v>142</v>
      </c>
      <c r="AZ235">
        <f t="shared" si="117"/>
        <v>110</v>
      </c>
      <c r="BA235">
        <f t="shared" si="118"/>
        <v>99</v>
      </c>
      <c r="BB235">
        <f t="shared" si="119"/>
        <v>85</v>
      </c>
    </row>
    <row r="236" spans="1:54" x14ac:dyDescent="0.15">
      <c r="A236">
        <v>153</v>
      </c>
      <c r="B236" t="s">
        <v>891</v>
      </c>
      <c r="C236">
        <v>163</v>
      </c>
      <c r="D236">
        <v>0</v>
      </c>
      <c r="E236" t="s">
        <v>892</v>
      </c>
      <c r="G236" t="s">
        <v>892</v>
      </c>
      <c r="H236" t="s">
        <v>893</v>
      </c>
      <c r="J236" t="s">
        <v>894</v>
      </c>
      <c r="K236">
        <v>21.2</v>
      </c>
      <c r="L236">
        <v>0.7</v>
      </c>
      <c r="M236" t="s">
        <v>120</v>
      </c>
      <c r="N236" t="s">
        <v>57</v>
      </c>
      <c r="O236" t="s">
        <v>568</v>
      </c>
      <c r="P236" t="s">
        <v>121</v>
      </c>
      <c r="Q236" t="s">
        <v>101</v>
      </c>
      <c r="R236">
        <v>9</v>
      </c>
      <c r="S236">
        <v>60</v>
      </c>
      <c r="T236">
        <v>30</v>
      </c>
      <c r="U236">
        <v>30</v>
      </c>
      <c r="V236">
        <v>36</v>
      </c>
      <c r="W236">
        <v>56</v>
      </c>
      <c r="X236">
        <v>50</v>
      </c>
      <c r="Y236">
        <f t="shared" si="90"/>
        <v>167</v>
      </c>
      <c r="Z236">
        <f t="shared" si="91"/>
        <v>167</v>
      </c>
      <c r="AA236">
        <f t="shared" si="92"/>
        <v>135</v>
      </c>
      <c r="AB236">
        <f t="shared" si="93"/>
        <v>135</v>
      </c>
      <c r="AC236">
        <f t="shared" si="94"/>
        <v>120</v>
      </c>
      <c r="AD236">
        <f t="shared" si="95"/>
        <v>90</v>
      </c>
      <c r="AE236">
        <f t="shared" si="96"/>
        <v>82</v>
      </c>
      <c r="AF236">
        <f t="shared" si="97"/>
        <v>50</v>
      </c>
      <c r="AG236">
        <f t="shared" si="98"/>
        <v>45</v>
      </c>
      <c r="AH236">
        <f t="shared" si="99"/>
        <v>31</v>
      </c>
      <c r="AI236">
        <f t="shared" si="100"/>
        <v>90</v>
      </c>
      <c r="AJ236">
        <f t="shared" si="101"/>
        <v>82</v>
      </c>
      <c r="AK236">
        <f t="shared" si="102"/>
        <v>50</v>
      </c>
      <c r="AL236">
        <f t="shared" si="103"/>
        <v>45</v>
      </c>
      <c r="AM236">
        <f t="shared" si="104"/>
        <v>31</v>
      </c>
      <c r="AN236">
        <f t="shared" si="105"/>
        <v>96</v>
      </c>
      <c r="AO236">
        <f t="shared" si="106"/>
        <v>88</v>
      </c>
      <c r="AP236">
        <f t="shared" si="107"/>
        <v>56</v>
      </c>
      <c r="AQ236">
        <f t="shared" si="108"/>
        <v>50</v>
      </c>
      <c r="AR236">
        <f t="shared" si="109"/>
        <v>36</v>
      </c>
      <c r="AS236">
        <f t="shared" si="110"/>
        <v>118</v>
      </c>
      <c r="AT236">
        <f t="shared" si="111"/>
        <v>108</v>
      </c>
      <c r="AU236">
        <f t="shared" si="112"/>
        <v>76</v>
      </c>
      <c r="AV236">
        <f t="shared" si="113"/>
        <v>68</v>
      </c>
      <c r="AW236">
        <f t="shared" si="114"/>
        <v>54</v>
      </c>
      <c r="AX236">
        <f t="shared" si="115"/>
        <v>112</v>
      </c>
      <c r="AY236">
        <f t="shared" si="116"/>
        <v>102</v>
      </c>
      <c r="AZ236">
        <f t="shared" si="117"/>
        <v>70</v>
      </c>
      <c r="BA236">
        <f t="shared" si="118"/>
        <v>63</v>
      </c>
      <c r="BB236">
        <f t="shared" si="119"/>
        <v>49</v>
      </c>
    </row>
    <row r="237" spans="1:54" x14ac:dyDescent="0.15">
      <c r="A237">
        <v>154</v>
      </c>
      <c r="B237" t="s">
        <v>895</v>
      </c>
      <c r="C237">
        <v>164</v>
      </c>
      <c r="D237">
        <v>0</v>
      </c>
      <c r="E237" t="s">
        <v>896</v>
      </c>
      <c r="G237" t="s">
        <v>896</v>
      </c>
      <c r="H237" t="s">
        <v>897</v>
      </c>
      <c r="J237" t="s">
        <v>894</v>
      </c>
      <c r="K237">
        <v>40.799999999999997</v>
      </c>
      <c r="L237">
        <v>1.6</v>
      </c>
      <c r="M237" t="s">
        <v>120</v>
      </c>
      <c r="N237" t="s">
        <v>57</v>
      </c>
      <c r="O237" t="s">
        <v>568</v>
      </c>
      <c r="P237" t="s">
        <v>121</v>
      </c>
      <c r="Q237" t="s">
        <v>101</v>
      </c>
      <c r="R237">
        <v>9</v>
      </c>
      <c r="S237">
        <v>100</v>
      </c>
      <c r="T237">
        <v>50</v>
      </c>
      <c r="U237">
        <v>50</v>
      </c>
      <c r="V237">
        <v>86</v>
      </c>
      <c r="W237">
        <v>96</v>
      </c>
      <c r="X237">
        <v>70</v>
      </c>
      <c r="Y237">
        <f t="shared" si="90"/>
        <v>207</v>
      </c>
      <c r="Z237">
        <f t="shared" si="91"/>
        <v>207</v>
      </c>
      <c r="AA237">
        <f t="shared" si="92"/>
        <v>175</v>
      </c>
      <c r="AB237">
        <f t="shared" si="93"/>
        <v>175</v>
      </c>
      <c r="AC237">
        <f t="shared" si="94"/>
        <v>160</v>
      </c>
      <c r="AD237">
        <f t="shared" si="95"/>
        <v>112</v>
      </c>
      <c r="AE237">
        <f t="shared" si="96"/>
        <v>102</v>
      </c>
      <c r="AF237">
        <f t="shared" si="97"/>
        <v>70</v>
      </c>
      <c r="AG237">
        <f t="shared" si="98"/>
        <v>63</v>
      </c>
      <c r="AH237">
        <f t="shared" si="99"/>
        <v>49</v>
      </c>
      <c r="AI237">
        <f t="shared" si="100"/>
        <v>112</v>
      </c>
      <c r="AJ237">
        <f t="shared" si="101"/>
        <v>102</v>
      </c>
      <c r="AK237">
        <f t="shared" si="102"/>
        <v>70</v>
      </c>
      <c r="AL237">
        <f t="shared" si="103"/>
        <v>63</v>
      </c>
      <c r="AM237">
        <f t="shared" si="104"/>
        <v>49</v>
      </c>
      <c r="AN237">
        <f t="shared" si="105"/>
        <v>151</v>
      </c>
      <c r="AO237">
        <f t="shared" si="106"/>
        <v>138</v>
      </c>
      <c r="AP237">
        <f t="shared" si="107"/>
        <v>106</v>
      </c>
      <c r="AQ237">
        <f t="shared" si="108"/>
        <v>95</v>
      </c>
      <c r="AR237">
        <f t="shared" si="109"/>
        <v>81</v>
      </c>
      <c r="AS237">
        <f t="shared" si="110"/>
        <v>162</v>
      </c>
      <c r="AT237">
        <f t="shared" si="111"/>
        <v>148</v>
      </c>
      <c r="AU237">
        <f t="shared" si="112"/>
        <v>116</v>
      </c>
      <c r="AV237">
        <f t="shared" si="113"/>
        <v>104</v>
      </c>
      <c r="AW237">
        <f t="shared" si="114"/>
        <v>90</v>
      </c>
      <c r="AX237">
        <f t="shared" si="115"/>
        <v>134</v>
      </c>
      <c r="AY237">
        <f t="shared" si="116"/>
        <v>122</v>
      </c>
      <c r="AZ237">
        <f t="shared" si="117"/>
        <v>90</v>
      </c>
      <c r="BA237">
        <f t="shared" si="118"/>
        <v>81</v>
      </c>
      <c r="BB237">
        <f t="shared" si="119"/>
        <v>67</v>
      </c>
    </row>
    <row r="238" spans="1:54" x14ac:dyDescent="0.15">
      <c r="B238" t="s">
        <v>898</v>
      </c>
      <c r="C238">
        <v>165</v>
      </c>
      <c r="D238">
        <v>0</v>
      </c>
      <c r="E238" t="s">
        <v>899</v>
      </c>
      <c r="G238" t="s">
        <v>899</v>
      </c>
      <c r="J238" t="s">
        <v>900</v>
      </c>
      <c r="K238">
        <v>10.8</v>
      </c>
      <c r="L238">
        <v>1</v>
      </c>
      <c r="M238" t="s">
        <v>90</v>
      </c>
      <c r="N238" t="s">
        <v>57</v>
      </c>
      <c r="O238" t="s">
        <v>112</v>
      </c>
      <c r="P238" t="s">
        <v>504</v>
      </c>
      <c r="Q238" t="s">
        <v>736</v>
      </c>
      <c r="R238">
        <v>8</v>
      </c>
      <c r="S238">
        <v>40</v>
      </c>
      <c r="T238">
        <v>20</v>
      </c>
      <c r="U238">
        <v>30</v>
      </c>
      <c r="V238">
        <v>40</v>
      </c>
      <c r="W238">
        <v>80</v>
      </c>
      <c r="X238">
        <v>55</v>
      </c>
      <c r="Y238">
        <f t="shared" si="90"/>
        <v>147</v>
      </c>
      <c r="Z238">
        <f t="shared" si="91"/>
        <v>147</v>
      </c>
      <c r="AA238">
        <f t="shared" si="92"/>
        <v>115</v>
      </c>
      <c r="AB238">
        <f t="shared" si="93"/>
        <v>115</v>
      </c>
      <c r="AC238">
        <f t="shared" si="94"/>
        <v>100</v>
      </c>
      <c r="AD238">
        <f t="shared" si="95"/>
        <v>79</v>
      </c>
      <c r="AE238">
        <f t="shared" si="96"/>
        <v>72</v>
      </c>
      <c r="AF238">
        <f t="shared" si="97"/>
        <v>40</v>
      </c>
      <c r="AG238">
        <f t="shared" si="98"/>
        <v>36</v>
      </c>
      <c r="AH238">
        <f t="shared" si="99"/>
        <v>22</v>
      </c>
      <c r="AI238">
        <f t="shared" si="100"/>
        <v>90</v>
      </c>
      <c r="AJ238">
        <f t="shared" si="101"/>
        <v>82</v>
      </c>
      <c r="AK238">
        <f t="shared" si="102"/>
        <v>50</v>
      </c>
      <c r="AL238">
        <f t="shared" si="103"/>
        <v>45</v>
      </c>
      <c r="AM238">
        <f t="shared" si="104"/>
        <v>31</v>
      </c>
      <c r="AN238">
        <f t="shared" si="105"/>
        <v>101</v>
      </c>
      <c r="AO238">
        <f t="shared" si="106"/>
        <v>92</v>
      </c>
      <c r="AP238">
        <f t="shared" si="107"/>
        <v>60</v>
      </c>
      <c r="AQ238">
        <f t="shared" si="108"/>
        <v>54</v>
      </c>
      <c r="AR238">
        <f t="shared" si="109"/>
        <v>40</v>
      </c>
      <c r="AS238">
        <f t="shared" si="110"/>
        <v>145</v>
      </c>
      <c r="AT238">
        <f t="shared" si="111"/>
        <v>132</v>
      </c>
      <c r="AU238">
        <f t="shared" si="112"/>
        <v>100</v>
      </c>
      <c r="AV238">
        <f t="shared" si="113"/>
        <v>90</v>
      </c>
      <c r="AW238">
        <f t="shared" si="114"/>
        <v>76</v>
      </c>
      <c r="AX238">
        <f t="shared" si="115"/>
        <v>117</v>
      </c>
      <c r="AY238">
        <f t="shared" si="116"/>
        <v>107</v>
      </c>
      <c r="AZ238">
        <f t="shared" si="117"/>
        <v>75</v>
      </c>
      <c r="BA238">
        <f t="shared" si="118"/>
        <v>67</v>
      </c>
      <c r="BB238">
        <f t="shared" si="119"/>
        <v>54</v>
      </c>
    </row>
    <row r="239" spans="1:54" x14ac:dyDescent="0.15">
      <c r="B239" t="s">
        <v>901</v>
      </c>
      <c r="C239">
        <v>166</v>
      </c>
      <c r="D239">
        <v>0</v>
      </c>
      <c r="E239" t="s">
        <v>902</v>
      </c>
      <c r="G239" t="s">
        <v>902</v>
      </c>
      <c r="J239" t="s">
        <v>900</v>
      </c>
      <c r="K239">
        <v>35.6</v>
      </c>
      <c r="L239">
        <v>1.4</v>
      </c>
      <c r="M239" t="s">
        <v>90</v>
      </c>
      <c r="N239" t="s">
        <v>57</v>
      </c>
      <c r="O239" t="s">
        <v>112</v>
      </c>
      <c r="P239" t="s">
        <v>504</v>
      </c>
      <c r="Q239" t="s">
        <v>629</v>
      </c>
      <c r="R239">
        <v>8</v>
      </c>
      <c r="S239">
        <v>55</v>
      </c>
      <c r="T239">
        <v>35</v>
      </c>
      <c r="U239">
        <v>50</v>
      </c>
      <c r="V239">
        <v>55</v>
      </c>
      <c r="W239">
        <v>110</v>
      </c>
      <c r="X239">
        <v>85</v>
      </c>
      <c r="Y239">
        <f t="shared" si="90"/>
        <v>162</v>
      </c>
      <c r="Z239">
        <f t="shared" si="91"/>
        <v>162</v>
      </c>
      <c r="AA239">
        <f t="shared" si="92"/>
        <v>130</v>
      </c>
      <c r="AB239">
        <f t="shared" si="93"/>
        <v>130</v>
      </c>
      <c r="AC239">
        <f t="shared" si="94"/>
        <v>115</v>
      </c>
      <c r="AD239">
        <f t="shared" si="95"/>
        <v>95</v>
      </c>
      <c r="AE239">
        <f t="shared" si="96"/>
        <v>87</v>
      </c>
      <c r="AF239">
        <f t="shared" si="97"/>
        <v>55</v>
      </c>
      <c r="AG239">
        <f t="shared" si="98"/>
        <v>49</v>
      </c>
      <c r="AH239">
        <f t="shared" si="99"/>
        <v>36</v>
      </c>
      <c r="AI239">
        <f t="shared" si="100"/>
        <v>112</v>
      </c>
      <c r="AJ239">
        <f t="shared" si="101"/>
        <v>102</v>
      </c>
      <c r="AK239">
        <f t="shared" si="102"/>
        <v>70</v>
      </c>
      <c r="AL239">
        <f t="shared" si="103"/>
        <v>63</v>
      </c>
      <c r="AM239">
        <f t="shared" si="104"/>
        <v>49</v>
      </c>
      <c r="AN239">
        <f t="shared" si="105"/>
        <v>117</v>
      </c>
      <c r="AO239">
        <f t="shared" si="106"/>
        <v>107</v>
      </c>
      <c r="AP239">
        <f t="shared" si="107"/>
        <v>75</v>
      </c>
      <c r="AQ239">
        <f t="shared" si="108"/>
        <v>67</v>
      </c>
      <c r="AR239">
        <f t="shared" si="109"/>
        <v>54</v>
      </c>
      <c r="AS239">
        <f t="shared" si="110"/>
        <v>178</v>
      </c>
      <c r="AT239">
        <f t="shared" si="111"/>
        <v>162</v>
      </c>
      <c r="AU239">
        <f t="shared" si="112"/>
        <v>130</v>
      </c>
      <c r="AV239">
        <f t="shared" si="113"/>
        <v>117</v>
      </c>
      <c r="AW239">
        <f t="shared" si="114"/>
        <v>103</v>
      </c>
      <c r="AX239">
        <f t="shared" si="115"/>
        <v>150</v>
      </c>
      <c r="AY239">
        <f t="shared" si="116"/>
        <v>137</v>
      </c>
      <c r="AZ239">
        <f t="shared" si="117"/>
        <v>105</v>
      </c>
      <c r="BA239">
        <f t="shared" si="118"/>
        <v>94</v>
      </c>
      <c r="BB239">
        <f t="shared" si="119"/>
        <v>81</v>
      </c>
    </row>
    <row r="240" spans="1:54" x14ac:dyDescent="0.15">
      <c r="A240">
        <v>155</v>
      </c>
      <c r="B240" t="s">
        <v>903</v>
      </c>
      <c r="C240">
        <v>167</v>
      </c>
      <c r="D240">
        <v>0</v>
      </c>
      <c r="E240" t="s">
        <v>904</v>
      </c>
      <c r="G240" t="s">
        <v>904</v>
      </c>
      <c r="H240" t="s">
        <v>905</v>
      </c>
      <c r="J240" t="s">
        <v>906</v>
      </c>
      <c r="K240">
        <v>8.5</v>
      </c>
      <c r="L240">
        <v>0.5</v>
      </c>
      <c r="M240" t="s">
        <v>90</v>
      </c>
      <c r="N240" t="s">
        <v>27</v>
      </c>
      <c r="O240" t="s">
        <v>112</v>
      </c>
      <c r="P240" t="s">
        <v>568</v>
      </c>
      <c r="Q240" t="s">
        <v>113</v>
      </c>
      <c r="R240">
        <v>9</v>
      </c>
      <c r="S240">
        <v>40</v>
      </c>
      <c r="T240">
        <v>60</v>
      </c>
      <c r="U240">
        <v>40</v>
      </c>
      <c r="V240">
        <v>40</v>
      </c>
      <c r="W240">
        <v>40</v>
      </c>
      <c r="X240">
        <v>30</v>
      </c>
      <c r="Y240">
        <f t="shared" si="90"/>
        <v>147</v>
      </c>
      <c r="Z240">
        <f t="shared" si="91"/>
        <v>147</v>
      </c>
      <c r="AA240">
        <f t="shared" si="92"/>
        <v>115</v>
      </c>
      <c r="AB240">
        <f t="shared" si="93"/>
        <v>115</v>
      </c>
      <c r="AC240">
        <f t="shared" si="94"/>
        <v>100</v>
      </c>
      <c r="AD240">
        <f t="shared" si="95"/>
        <v>123</v>
      </c>
      <c r="AE240">
        <f t="shared" si="96"/>
        <v>112</v>
      </c>
      <c r="AF240">
        <f t="shared" si="97"/>
        <v>80</v>
      </c>
      <c r="AG240">
        <f t="shared" si="98"/>
        <v>72</v>
      </c>
      <c r="AH240">
        <f t="shared" si="99"/>
        <v>58</v>
      </c>
      <c r="AI240">
        <f t="shared" si="100"/>
        <v>101</v>
      </c>
      <c r="AJ240">
        <f t="shared" si="101"/>
        <v>92</v>
      </c>
      <c r="AK240">
        <f t="shared" si="102"/>
        <v>60</v>
      </c>
      <c r="AL240">
        <f t="shared" si="103"/>
        <v>54</v>
      </c>
      <c r="AM240">
        <f t="shared" si="104"/>
        <v>40</v>
      </c>
      <c r="AN240">
        <f t="shared" si="105"/>
        <v>101</v>
      </c>
      <c r="AO240">
        <f t="shared" si="106"/>
        <v>92</v>
      </c>
      <c r="AP240">
        <f t="shared" si="107"/>
        <v>60</v>
      </c>
      <c r="AQ240">
        <f t="shared" si="108"/>
        <v>54</v>
      </c>
      <c r="AR240">
        <f t="shared" si="109"/>
        <v>40</v>
      </c>
      <c r="AS240">
        <f t="shared" si="110"/>
        <v>101</v>
      </c>
      <c r="AT240">
        <f t="shared" si="111"/>
        <v>92</v>
      </c>
      <c r="AU240">
        <f t="shared" si="112"/>
        <v>60</v>
      </c>
      <c r="AV240">
        <f t="shared" si="113"/>
        <v>54</v>
      </c>
      <c r="AW240">
        <f t="shared" si="114"/>
        <v>40</v>
      </c>
      <c r="AX240">
        <f t="shared" si="115"/>
        <v>90</v>
      </c>
      <c r="AY240">
        <f t="shared" si="116"/>
        <v>82</v>
      </c>
      <c r="AZ240">
        <f t="shared" si="117"/>
        <v>50</v>
      </c>
      <c r="BA240">
        <f t="shared" si="118"/>
        <v>45</v>
      </c>
      <c r="BB240">
        <f t="shared" si="119"/>
        <v>31</v>
      </c>
    </row>
    <row r="241" spans="1:54" x14ac:dyDescent="0.15">
      <c r="A241">
        <v>156</v>
      </c>
      <c r="B241" t="s">
        <v>907</v>
      </c>
      <c r="C241">
        <v>168</v>
      </c>
      <c r="D241">
        <v>0</v>
      </c>
      <c r="E241" t="s">
        <v>908</v>
      </c>
      <c r="G241" t="s">
        <v>908</v>
      </c>
      <c r="H241" t="s">
        <v>909</v>
      </c>
      <c r="J241" t="s">
        <v>910</v>
      </c>
      <c r="K241">
        <v>33.5</v>
      </c>
      <c r="L241">
        <v>1.1000000000000001</v>
      </c>
      <c r="M241" t="s">
        <v>90</v>
      </c>
      <c r="N241" t="s">
        <v>27</v>
      </c>
      <c r="O241" t="s">
        <v>112</v>
      </c>
      <c r="P241" t="s">
        <v>568</v>
      </c>
      <c r="Q241" t="s">
        <v>113</v>
      </c>
      <c r="R241">
        <v>9</v>
      </c>
      <c r="S241">
        <v>70</v>
      </c>
      <c r="T241">
        <v>90</v>
      </c>
      <c r="U241">
        <v>70</v>
      </c>
      <c r="V241">
        <v>60</v>
      </c>
      <c r="W241">
        <v>70</v>
      </c>
      <c r="X241">
        <v>40</v>
      </c>
      <c r="Y241">
        <f t="shared" si="90"/>
        <v>177</v>
      </c>
      <c r="Z241">
        <f t="shared" si="91"/>
        <v>177</v>
      </c>
      <c r="AA241">
        <f t="shared" si="92"/>
        <v>145</v>
      </c>
      <c r="AB241">
        <f t="shared" si="93"/>
        <v>145</v>
      </c>
      <c r="AC241">
        <f t="shared" si="94"/>
        <v>130</v>
      </c>
      <c r="AD241">
        <f t="shared" si="95"/>
        <v>156</v>
      </c>
      <c r="AE241">
        <f t="shared" si="96"/>
        <v>142</v>
      </c>
      <c r="AF241">
        <f t="shared" si="97"/>
        <v>110</v>
      </c>
      <c r="AG241">
        <f t="shared" si="98"/>
        <v>99</v>
      </c>
      <c r="AH241">
        <f t="shared" si="99"/>
        <v>85</v>
      </c>
      <c r="AI241">
        <f t="shared" si="100"/>
        <v>134</v>
      </c>
      <c r="AJ241">
        <f t="shared" si="101"/>
        <v>122</v>
      </c>
      <c r="AK241">
        <f t="shared" si="102"/>
        <v>90</v>
      </c>
      <c r="AL241">
        <f t="shared" si="103"/>
        <v>81</v>
      </c>
      <c r="AM241">
        <f t="shared" si="104"/>
        <v>67</v>
      </c>
      <c r="AN241">
        <f t="shared" si="105"/>
        <v>123</v>
      </c>
      <c r="AO241">
        <f t="shared" si="106"/>
        <v>112</v>
      </c>
      <c r="AP241">
        <f t="shared" si="107"/>
        <v>80</v>
      </c>
      <c r="AQ241">
        <f t="shared" si="108"/>
        <v>72</v>
      </c>
      <c r="AR241">
        <f t="shared" si="109"/>
        <v>58</v>
      </c>
      <c r="AS241">
        <f t="shared" si="110"/>
        <v>134</v>
      </c>
      <c r="AT241">
        <f t="shared" si="111"/>
        <v>122</v>
      </c>
      <c r="AU241">
        <f t="shared" si="112"/>
        <v>90</v>
      </c>
      <c r="AV241">
        <f t="shared" si="113"/>
        <v>81</v>
      </c>
      <c r="AW241">
        <f t="shared" si="114"/>
        <v>67</v>
      </c>
      <c r="AX241">
        <f t="shared" si="115"/>
        <v>101</v>
      </c>
      <c r="AY241">
        <f t="shared" si="116"/>
        <v>92</v>
      </c>
      <c r="AZ241">
        <f t="shared" si="117"/>
        <v>60</v>
      </c>
      <c r="BA241">
        <f t="shared" si="118"/>
        <v>54</v>
      </c>
      <c r="BB241">
        <f t="shared" si="119"/>
        <v>40</v>
      </c>
    </row>
    <row r="242" spans="1:54" x14ac:dyDescent="0.15">
      <c r="B242" t="s">
        <v>911</v>
      </c>
      <c r="C242">
        <v>169</v>
      </c>
      <c r="D242">
        <v>0</v>
      </c>
      <c r="E242" t="s">
        <v>912</v>
      </c>
      <c r="G242" t="s">
        <v>912</v>
      </c>
      <c r="J242" t="s">
        <v>267</v>
      </c>
      <c r="K242">
        <v>75</v>
      </c>
      <c r="L242">
        <v>1.8</v>
      </c>
      <c r="M242" t="s">
        <v>27</v>
      </c>
      <c r="N242" t="s">
        <v>57</v>
      </c>
      <c r="O242" t="s">
        <v>268</v>
      </c>
      <c r="P242" t="s">
        <v>269</v>
      </c>
      <c r="R242">
        <v>8</v>
      </c>
      <c r="S242">
        <v>85</v>
      </c>
      <c r="T242">
        <v>90</v>
      </c>
      <c r="U242">
        <v>80</v>
      </c>
      <c r="V242">
        <v>70</v>
      </c>
      <c r="W242">
        <v>80</v>
      </c>
      <c r="X242">
        <v>130</v>
      </c>
      <c r="Y242">
        <f t="shared" si="90"/>
        <v>192</v>
      </c>
      <c r="Z242">
        <f t="shared" si="91"/>
        <v>192</v>
      </c>
      <c r="AA242">
        <f t="shared" si="92"/>
        <v>160</v>
      </c>
      <c r="AB242">
        <f t="shared" si="93"/>
        <v>160</v>
      </c>
      <c r="AC242">
        <f t="shared" si="94"/>
        <v>145</v>
      </c>
      <c r="AD242">
        <f t="shared" si="95"/>
        <v>156</v>
      </c>
      <c r="AE242">
        <f t="shared" si="96"/>
        <v>142</v>
      </c>
      <c r="AF242">
        <f t="shared" si="97"/>
        <v>110</v>
      </c>
      <c r="AG242">
        <f t="shared" si="98"/>
        <v>99</v>
      </c>
      <c r="AH242">
        <f t="shared" si="99"/>
        <v>85</v>
      </c>
      <c r="AI242">
        <f t="shared" si="100"/>
        <v>145</v>
      </c>
      <c r="AJ242">
        <f t="shared" si="101"/>
        <v>132</v>
      </c>
      <c r="AK242">
        <f t="shared" si="102"/>
        <v>100</v>
      </c>
      <c r="AL242">
        <f t="shared" si="103"/>
        <v>90</v>
      </c>
      <c r="AM242">
        <f t="shared" si="104"/>
        <v>76</v>
      </c>
      <c r="AN242">
        <f t="shared" si="105"/>
        <v>134</v>
      </c>
      <c r="AO242">
        <f t="shared" si="106"/>
        <v>122</v>
      </c>
      <c r="AP242">
        <f t="shared" si="107"/>
        <v>90</v>
      </c>
      <c r="AQ242">
        <f t="shared" si="108"/>
        <v>81</v>
      </c>
      <c r="AR242">
        <f t="shared" si="109"/>
        <v>67</v>
      </c>
      <c r="AS242">
        <f t="shared" si="110"/>
        <v>145</v>
      </c>
      <c r="AT242">
        <f t="shared" si="111"/>
        <v>132</v>
      </c>
      <c r="AU242">
        <f t="shared" si="112"/>
        <v>100</v>
      </c>
      <c r="AV242">
        <f t="shared" si="113"/>
        <v>90</v>
      </c>
      <c r="AW242">
        <f t="shared" si="114"/>
        <v>76</v>
      </c>
      <c r="AX242">
        <f t="shared" si="115"/>
        <v>200</v>
      </c>
      <c r="AY242">
        <f t="shared" si="116"/>
        <v>182</v>
      </c>
      <c r="AZ242">
        <f t="shared" si="117"/>
        <v>150</v>
      </c>
      <c r="BA242">
        <f t="shared" si="118"/>
        <v>135</v>
      </c>
      <c r="BB242">
        <f t="shared" si="119"/>
        <v>121</v>
      </c>
    </row>
    <row r="243" spans="1:54" x14ac:dyDescent="0.15">
      <c r="A243">
        <v>157</v>
      </c>
      <c r="B243" t="s">
        <v>913</v>
      </c>
      <c r="C243">
        <v>170</v>
      </c>
      <c r="D243">
        <v>0</v>
      </c>
      <c r="E243" t="s">
        <v>914</v>
      </c>
      <c r="G243" t="s">
        <v>914</v>
      </c>
      <c r="H243" t="s">
        <v>915</v>
      </c>
      <c r="J243" t="s">
        <v>916</v>
      </c>
      <c r="K243">
        <v>12</v>
      </c>
      <c r="L243">
        <v>0.5</v>
      </c>
      <c r="M243" t="s">
        <v>71</v>
      </c>
      <c r="N243" t="s">
        <v>164</v>
      </c>
      <c r="O243" t="s">
        <v>769</v>
      </c>
      <c r="P243" t="s">
        <v>683</v>
      </c>
      <c r="Q243" t="s">
        <v>383</v>
      </c>
      <c r="R243">
        <v>9</v>
      </c>
      <c r="S243">
        <v>75</v>
      </c>
      <c r="T243">
        <v>38</v>
      </c>
      <c r="U243">
        <v>38</v>
      </c>
      <c r="V243">
        <v>56</v>
      </c>
      <c r="W243">
        <v>56</v>
      </c>
      <c r="X243">
        <v>67</v>
      </c>
      <c r="Y243">
        <f t="shared" si="90"/>
        <v>182</v>
      </c>
      <c r="Z243">
        <f t="shared" si="91"/>
        <v>182</v>
      </c>
      <c r="AA243">
        <f t="shared" si="92"/>
        <v>150</v>
      </c>
      <c r="AB243">
        <f t="shared" si="93"/>
        <v>150</v>
      </c>
      <c r="AC243">
        <f t="shared" si="94"/>
        <v>135</v>
      </c>
      <c r="AD243">
        <f t="shared" si="95"/>
        <v>99</v>
      </c>
      <c r="AE243">
        <f t="shared" si="96"/>
        <v>90</v>
      </c>
      <c r="AF243">
        <f t="shared" si="97"/>
        <v>58</v>
      </c>
      <c r="AG243">
        <f t="shared" si="98"/>
        <v>52</v>
      </c>
      <c r="AH243">
        <f t="shared" si="99"/>
        <v>38</v>
      </c>
      <c r="AI243">
        <f t="shared" si="100"/>
        <v>99</v>
      </c>
      <c r="AJ243">
        <f t="shared" si="101"/>
        <v>90</v>
      </c>
      <c r="AK243">
        <f t="shared" si="102"/>
        <v>58</v>
      </c>
      <c r="AL243">
        <f t="shared" si="103"/>
        <v>52</v>
      </c>
      <c r="AM243">
        <f t="shared" si="104"/>
        <v>38</v>
      </c>
      <c r="AN243">
        <f t="shared" si="105"/>
        <v>118</v>
      </c>
      <c r="AO243">
        <f t="shared" si="106"/>
        <v>108</v>
      </c>
      <c r="AP243">
        <f t="shared" si="107"/>
        <v>76</v>
      </c>
      <c r="AQ243">
        <f t="shared" si="108"/>
        <v>68</v>
      </c>
      <c r="AR243">
        <f t="shared" si="109"/>
        <v>54</v>
      </c>
      <c r="AS243">
        <f t="shared" si="110"/>
        <v>118</v>
      </c>
      <c r="AT243">
        <f t="shared" si="111"/>
        <v>108</v>
      </c>
      <c r="AU243">
        <f t="shared" si="112"/>
        <v>76</v>
      </c>
      <c r="AV243">
        <f t="shared" si="113"/>
        <v>68</v>
      </c>
      <c r="AW243">
        <f t="shared" si="114"/>
        <v>54</v>
      </c>
      <c r="AX243">
        <f t="shared" si="115"/>
        <v>130</v>
      </c>
      <c r="AY243">
        <f t="shared" si="116"/>
        <v>119</v>
      </c>
      <c r="AZ243">
        <f t="shared" si="117"/>
        <v>87</v>
      </c>
      <c r="BA243">
        <f t="shared" si="118"/>
        <v>78</v>
      </c>
      <c r="BB243">
        <f t="shared" si="119"/>
        <v>64</v>
      </c>
    </row>
    <row r="244" spans="1:54" x14ac:dyDescent="0.15">
      <c r="A244">
        <v>158</v>
      </c>
      <c r="B244" t="s">
        <v>917</v>
      </c>
      <c r="C244">
        <v>171</v>
      </c>
      <c r="D244">
        <v>0</v>
      </c>
      <c r="E244" t="s">
        <v>918</v>
      </c>
      <c r="G244" t="s">
        <v>918</v>
      </c>
      <c r="H244" t="s">
        <v>919</v>
      </c>
      <c r="J244" t="s">
        <v>920</v>
      </c>
      <c r="K244">
        <v>22.5</v>
      </c>
      <c r="L244">
        <v>1.2</v>
      </c>
      <c r="M244" t="s">
        <v>71</v>
      </c>
      <c r="N244" t="s">
        <v>164</v>
      </c>
      <c r="O244" t="s">
        <v>769</v>
      </c>
      <c r="P244" t="s">
        <v>683</v>
      </c>
      <c r="Q244" t="s">
        <v>383</v>
      </c>
      <c r="R244">
        <v>9</v>
      </c>
      <c r="S244">
        <v>125</v>
      </c>
      <c r="T244">
        <v>58</v>
      </c>
      <c r="U244">
        <v>58</v>
      </c>
      <c r="V244">
        <v>76</v>
      </c>
      <c r="W244">
        <v>76</v>
      </c>
      <c r="X244">
        <v>67</v>
      </c>
      <c r="Y244">
        <f t="shared" si="90"/>
        <v>232</v>
      </c>
      <c r="Z244">
        <f t="shared" si="91"/>
        <v>232</v>
      </c>
      <c r="AA244">
        <f t="shared" si="92"/>
        <v>200</v>
      </c>
      <c r="AB244">
        <f t="shared" si="93"/>
        <v>200</v>
      </c>
      <c r="AC244">
        <f t="shared" si="94"/>
        <v>185</v>
      </c>
      <c r="AD244">
        <f t="shared" si="95"/>
        <v>121</v>
      </c>
      <c r="AE244">
        <f t="shared" si="96"/>
        <v>110</v>
      </c>
      <c r="AF244">
        <f t="shared" si="97"/>
        <v>78</v>
      </c>
      <c r="AG244">
        <f t="shared" si="98"/>
        <v>70</v>
      </c>
      <c r="AH244">
        <f t="shared" si="99"/>
        <v>56</v>
      </c>
      <c r="AI244">
        <f t="shared" si="100"/>
        <v>121</v>
      </c>
      <c r="AJ244">
        <f t="shared" si="101"/>
        <v>110</v>
      </c>
      <c r="AK244">
        <f t="shared" si="102"/>
        <v>78</v>
      </c>
      <c r="AL244">
        <f t="shared" si="103"/>
        <v>70</v>
      </c>
      <c r="AM244">
        <f t="shared" si="104"/>
        <v>56</v>
      </c>
      <c r="AN244">
        <f t="shared" si="105"/>
        <v>140</v>
      </c>
      <c r="AO244">
        <f t="shared" si="106"/>
        <v>128</v>
      </c>
      <c r="AP244">
        <f t="shared" si="107"/>
        <v>96</v>
      </c>
      <c r="AQ244">
        <f t="shared" si="108"/>
        <v>86</v>
      </c>
      <c r="AR244">
        <f t="shared" si="109"/>
        <v>72</v>
      </c>
      <c r="AS244">
        <f t="shared" si="110"/>
        <v>140</v>
      </c>
      <c r="AT244">
        <f t="shared" si="111"/>
        <v>128</v>
      </c>
      <c r="AU244">
        <f t="shared" si="112"/>
        <v>96</v>
      </c>
      <c r="AV244">
        <f t="shared" si="113"/>
        <v>86</v>
      </c>
      <c r="AW244">
        <f t="shared" si="114"/>
        <v>72</v>
      </c>
      <c r="AX244">
        <f t="shared" si="115"/>
        <v>130</v>
      </c>
      <c r="AY244">
        <f t="shared" si="116"/>
        <v>119</v>
      </c>
      <c r="AZ244">
        <f t="shared" si="117"/>
        <v>87</v>
      </c>
      <c r="BA244">
        <f t="shared" si="118"/>
        <v>78</v>
      </c>
      <c r="BB244">
        <f t="shared" si="119"/>
        <v>64</v>
      </c>
    </row>
    <row r="245" spans="1:54" x14ac:dyDescent="0.15">
      <c r="A245">
        <v>159</v>
      </c>
      <c r="B245" t="s">
        <v>921</v>
      </c>
      <c r="C245">
        <v>172</v>
      </c>
      <c r="D245">
        <v>0</v>
      </c>
      <c r="E245" t="s">
        <v>922</v>
      </c>
      <c r="G245" t="s">
        <v>922</v>
      </c>
      <c r="H245" t="s">
        <v>923</v>
      </c>
      <c r="J245" t="s">
        <v>924</v>
      </c>
      <c r="K245">
        <v>2</v>
      </c>
      <c r="L245">
        <v>0.3</v>
      </c>
      <c r="M245" t="s">
        <v>164</v>
      </c>
      <c r="O245" t="s">
        <v>165</v>
      </c>
      <c r="P245" t="s">
        <v>166</v>
      </c>
      <c r="R245">
        <v>9</v>
      </c>
      <c r="S245">
        <v>20</v>
      </c>
      <c r="T245">
        <v>40</v>
      </c>
      <c r="U245">
        <v>15</v>
      </c>
      <c r="V245">
        <v>35</v>
      </c>
      <c r="W245">
        <v>35</v>
      </c>
      <c r="X245">
        <v>60</v>
      </c>
      <c r="Y245">
        <f t="shared" si="90"/>
        <v>127</v>
      </c>
      <c r="Z245">
        <f t="shared" si="91"/>
        <v>127</v>
      </c>
      <c r="AA245">
        <f t="shared" si="92"/>
        <v>95</v>
      </c>
      <c r="AB245">
        <f t="shared" si="93"/>
        <v>95</v>
      </c>
      <c r="AC245">
        <f t="shared" si="94"/>
        <v>80</v>
      </c>
      <c r="AD245">
        <f t="shared" si="95"/>
        <v>101</v>
      </c>
      <c r="AE245">
        <f t="shared" si="96"/>
        <v>92</v>
      </c>
      <c r="AF245">
        <f t="shared" si="97"/>
        <v>60</v>
      </c>
      <c r="AG245">
        <f t="shared" si="98"/>
        <v>54</v>
      </c>
      <c r="AH245">
        <f t="shared" si="99"/>
        <v>40</v>
      </c>
      <c r="AI245">
        <f t="shared" si="100"/>
        <v>73</v>
      </c>
      <c r="AJ245">
        <f t="shared" si="101"/>
        <v>67</v>
      </c>
      <c r="AK245">
        <f t="shared" si="102"/>
        <v>35</v>
      </c>
      <c r="AL245">
        <f t="shared" si="103"/>
        <v>31</v>
      </c>
      <c r="AM245">
        <f t="shared" si="104"/>
        <v>18</v>
      </c>
      <c r="AN245">
        <f t="shared" si="105"/>
        <v>95</v>
      </c>
      <c r="AO245">
        <f t="shared" si="106"/>
        <v>87</v>
      </c>
      <c r="AP245">
        <f t="shared" si="107"/>
        <v>55</v>
      </c>
      <c r="AQ245">
        <f t="shared" si="108"/>
        <v>49</v>
      </c>
      <c r="AR245">
        <f t="shared" si="109"/>
        <v>36</v>
      </c>
      <c r="AS245">
        <f t="shared" si="110"/>
        <v>95</v>
      </c>
      <c r="AT245">
        <f t="shared" si="111"/>
        <v>87</v>
      </c>
      <c r="AU245">
        <f t="shared" si="112"/>
        <v>55</v>
      </c>
      <c r="AV245">
        <f t="shared" si="113"/>
        <v>49</v>
      </c>
      <c r="AW245">
        <f t="shared" si="114"/>
        <v>36</v>
      </c>
      <c r="AX245">
        <f t="shared" si="115"/>
        <v>123</v>
      </c>
      <c r="AY245">
        <f t="shared" si="116"/>
        <v>112</v>
      </c>
      <c r="AZ245">
        <f t="shared" si="117"/>
        <v>80</v>
      </c>
      <c r="BA245">
        <f t="shared" si="118"/>
        <v>72</v>
      </c>
      <c r="BB245">
        <f t="shared" si="119"/>
        <v>58</v>
      </c>
    </row>
    <row r="246" spans="1:54" x14ac:dyDescent="0.15">
      <c r="A246">
        <v>160</v>
      </c>
      <c r="B246" t="s">
        <v>925</v>
      </c>
      <c r="C246">
        <v>173</v>
      </c>
      <c r="D246">
        <v>0</v>
      </c>
      <c r="E246" t="s">
        <v>926</v>
      </c>
      <c r="G246" t="s">
        <v>926</v>
      </c>
      <c r="H246" t="s">
        <v>927</v>
      </c>
      <c r="J246" t="s">
        <v>682</v>
      </c>
      <c r="K246">
        <v>3</v>
      </c>
      <c r="L246">
        <v>0.3</v>
      </c>
      <c r="M246" t="s">
        <v>233</v>
      </c>
      <c r="O246" t="s">
        <v>234</v>
      </c>
      <c r="P246" t="s">
        <v>235</v>
      </c>
      <c r="Q246" t="s">
        <v>236</v>
      </c>
      <c r="R246">
        <v>9</v>
      </c>
      <c r="S246">
        <v>50</v>
      </c>
      <c r="T246">
        <v>25</v>
      </c>
      <c r="U246">
        <v>28</v>
      </c>
      <c r="V246">
        <v>45</v>
      </c>
      <c r="W246">
        <v>55</v>
      </c>
      <c r="X246">
        <v>15</v>
      </c>
      <c r="Y246">
        <f t="shared" si="90"/>
        <v>157</v>
      </c>
      <c r="Z246">
        <f t="shared" si="91"/>
        <v>157</v>
      </c>
      <c r="AA246">
        <f t="shared" si="92"/>
        <v>125</v>
      </c>
      <c r="AB246">
        <f t="shared" si="93"/>
        <v>125</v>
      </c>
      <c r="AC246">
        <f t="shared" si="94"/>
        <v>110</v>
      </c>
      <c r="AD246">
        <f t="shared" si="95"/>
        <v>84</v>
      </c>
      <c r="AE246">
        <f t="shared" si="96"/>
        <v>77</v>
      </c>
      <c r="AF246">
        <f t="shared" si="97"/>
        <v>45</v>
      </c>
      <c r="AG246">
        <f t="shared" si="98"/>
        <v>40</v>
      </c>
      <c r="AH246">
        <f t="shared" si="99"/>
        <v>27</v>
      </c>
      <c r="AI246">
        <f t="shared" si="100"/>
        <v>88</v>
      </c>
      <c r="AJ246">
        <f t="shared" si="101"/>
        <v>80</v>
      </c>
      <c r="AK246">
        <f t="shared" si="102"/>
        <v>48</v>
      </c>
      <c r="AL246">
        <f t="shared" si="103"/>
        <v>43</v>
      </c>
      <c r="AM246">
        <f t="shared" si="104"/>
        <v>29</v>
      </c>
      <c r="AN246">
        <f t="shared" si="105"/>
        <v>106</v>
      </c>
      <c r="AO246">
        <f t="shared" si="106"/>
        <v>97</v>
      </c>
      <c r="AP246">
        <f t="shared" si="107"/>
        <v>65</v>
      </c>
      <c r="AQ246">
        <f t="shared" si="108"/>
        <v>58</v>
      </c>
      <c r="AR246">
        <f t="shared" si="109"/>
        <v>45</v>
      </c>
      <c r="AS246">
        <f t="shared" si="110"/>
        <v>117</v>
      </c>
      <c r="AT246">
        <f t="shared" si="111"/>
        <v>107</v>
      </c>
      <c r="AU246">
        <f t="shared" si="112"/>
        <v>75</v>
      </c>
      <c r="AV246">
        <f t="shared" si="113"/>
        <v>67</v>
      </c>
      <c r="AW246">
        <f t="shared" si="114"/>
        <v>54</v>
      </c>
      <c r="AX246">
        <f t="shared" si="115"/>
        <v>73</v>
      </c>
      <c r="AY246">
        <f t="shared" si="116"/>
        <v>67</v>
      </c>
      <c r="AZ246">
        <f t="shared" si="117"/>
        <v>35</v>
      </c>
      <c r="BA246">
        <f t="shared" si="118"/>
        <v>31</v>
      </c>
      <c r="BB246">
        <f t="shared" si="119"/>
        <v>18</v>
      </c>
    </row>
    <row r="247" spans="1:54" x14ac:dyDescent="0.15">
      <c r="A247">
        <v>161</v>
      </c>
      <c r="B247" t="s">
        <v>928</v>
      </c>
      <c r="C247">
        <v>174</v>
      </c>
      <c r="D247">
        <v>0</v>
      </c>
      <c r="E247" t="s">
        <v>929</v>
      </c>
      <c r="G247" t="s">
        <v>929</v>
      </c>
      <c r="H247" t="s">
        <v>930</v>
      </c>
      <c r="J247" t="s">
        <v>259</v>
      </c>
      <c r="K247">
        <v>1</v>
      </c>
      <c r="L247">
        <v>0.3</v>
      </c>
      <c r="M247" t="s">
        <v>120</v>
      </c>
      <c r="N247" t="s">
        <v>233</v>
      </c>
      <c r="O247" t="s">
        <v>234</v>
      </c>
      <c r="P247" t="s">
        <v>260</v>
      </c>
      <c r="Q247" t="s">
        <v>236</v>
      </c>
      <c r="R247">
        <v>9</v>
      </c>
      <c r="S247">
        <v>90</v>
      </c>
      <c r="T247">
        <v>30</v>
      </c>
      <c r="U247">
        <v>15</v>
      </c>
      <c r="V247">
        <v>40</v>
      </c>
      <c r="W247">
        <v>20</v>
      </c>
      <c r="X247">
        <v>15</v>
      </c>
      <c r="Y247">
        <f t="shared" si="90"/>
        <v>197</v>
      </c>
      <c r="Z247">
        <f t="shared" si="91"/>
        <v>197</v>
      </c>
      <c r="AA247">
        <f t="shared" si="92"/>
        <v>165</v>
      </c>
      <c r="AB247">
        <f t="shared" si="93"/>
        <v>165</v>
      </c>
      <c r="AC247">
        <f t="shared" si="94"/>
        <v>150</v>
      </c>
      <c r="AD247">
        <f t="shared" si="95"/>
        <v>90</v>
      </c>
      <c r="AE247">
        <f t="shared" si="96"/>
        <v>82</v>
      </c>
      <c r="AF247">
        <f t="shared" si="97"/>
        <v>50</v>
      </c>
      <c r="AG247">
        <f t="shared" si="98"/>
        <v>45</v>
      </c>
      <c r="AH247">
        <f t="shared" si="99"/>
        <v>31</v>
      </c>
      <c r="AI247">
        <f t="shared" si="100"/>
        <v>73</v>
      </c>
      <c r="AJ247">
        <f t="shared" si="101"/>
        <v>67</v>
      </c>
      <c r="AK247">
        <f t="shared" si="102"/>
        <v>35</v>
      </c>
      <c r="AL247">
        <f t="shared" si="103"/>
        <v>31</v>
      </c>
      <c r="AM247">
        <f t="shared" si="104"/>
        <v>18</v>
      </c>
      <c r="AN247">
        <f t="shared" si="105"/>
        <v>101</v>
      </c>
      <c r="AO247">
        <f t="shared" si="106"/>
        <v>92</v>
      </c>
      <c r="AP247">
        <f t="shared" si="107"/>
        <v>60</v>
      </c>
      <c r="AQ247">
        <f t="shared" si="108"/>
        <v>54</v>
      </c>
      <c r="AR247">
        <f t="shared" si="109"/>
        <v>40</v>
      </c>
      <c r="AS247">
        <f t="shared" si="110"/>
        <v>79</v>
      </c>
      <c r="AT247">
        <f t="shared" si="111"/>
        <v>72</v>
      </c>
      <c r="AU247">
        <f t="shared" si="112"/>
        <v>40</v>
      </c>
      <c r="AV247">
        <f t="shared" si="113"/>
        <v>36</v>
      </c>
      <c r="AW247">
        <f t="shared" si="114"/>
        <v>22</v>
      </c>
      <c r="AX247">
        <f t="shared" si="115"/>
        <v>73</v>
      </c>
      <c r="AY247">
        <f t="shared" si="116"/>
        <v>67</v>
      </c>
      <c r="AZ247">
        <f t="shared" si="117"/>
        <v>35</v>
      </c>
      <c r="BA247">
        <f t="shared" si="118"/>
        <v>31</v>
      </c>
      <c r="BB247">
        <f t="shared" si="119"/>
        <v>18</v>
      </c>
    </row>
    <row r="248" spans="1:54" x14ac:dyDescent="0.15">
      <c r="B248" t="s">
        <v>931</v>
      </c>
      <c r="C248">
        <v>175</v>
      </c>
      <c r="D248">
        <v>0</v>
      </c>
      <c r="E248" t="s">
        <v>932</v>
      </c>
      <c r="G248" t="s">
        <v>932</v>
      </c>
      <c r="J248" t="s">
        <v>933</v>
      </c>
      <c r="K248">
        <v>1.5</v>
      </c>
      <c r="L248">
        <v>0.3</v>
      </c>
      <c r="M248" t="s">
        <v>233</v>
      </c>
      <c r="O248" t="s">
        <v>136</v>
      </c>
      <c r="P248" t="s">
        <v>655</v>
      </c>
      <c r="Q248" t="s">
        <v>934</v>
      </c>
      <c r="R248">
        <v>8</v>
      </c>
      <c r="S248">
        <v>35</v>
      </c>
      <c r="T248">
        <v>20</v>
      </c>
      <c r="U248">
        <v>65</v>
      </c>
      <c r="V248">
        <v>40</v>
      </c>
      <c r="W248">
        <v>65</v>
      </c>
      <c r="X248">
        <v>20</v>
      </c>
      <c r="Y248">
        <f t="shared" si="90"/>
        <v>142</v>
      </c>
      <c r="Z248">
        <f t="shared" si="91"/>
        <v>142</v>
      </c>
      <c r="AA248">
        <f t="shared" si="92"/>
        <v>110</v>
      </c>
      <c r="AB248">
        <f t="shared" si="93"/>
        <v>110</v>
      </c>
      <c r="AC248">
        <f t="shared" si="94"/>
        <v>95</v>
      </c>
      <c r="AD248">
        <f t="shared" si="95"/>
        <v>79</v>
      </c>
      <c r="AE248">
        <f t="shared" si="96"/>
        <v>72</v>
      </c>
      <c r="AF248">
        <f t="shared" si="97"/>
        <v>40</v>
      </c>
      <c r="AG248">
        <f t="shared" si="98"/>
        <v>36</v>
      </c>
      <c r="AH248">
        <f t="shared" si="99"/>
        <v>22</v>
      </c>
      <c r="AI248">
        <f t="shared" si="100"/>
        <v>128</v>
      </c>
      <c r="AJ248">
        <f t="shared" si="101"/>
        <v>117</v>
      </c>
      <c r="AK248">
        <f t="shared" si="102"/>
        <v>85</v>
      </c>
      <c r="AL248">
        <f t="shared" si="103"/>
        <v>76</v>
      </c>
      <c r="AM248">
        <f t="shared" si="104"/>
        <v>63</v>
      </c>
      <c r="AN248">
        <f t="shared" si="105"/>
        <v>101</v>
      </c>
      <c r="AO248">
        <f t="shared" si="106"/>
        <v>92</v>
      </c>
      <c r="AP248">
        <f t="shared" si="107"/>
        <v>60</v>
      </c>
      <c r="AQ248">
        <f t="shared" si="108"/>
        <v>54</v>
      </c>
      <c r="AR248">
        <f t="shared" si="109"/>
        <v>40</v>
      </c>
      <c r="AS248">
        <f t="shared" si="110"/>
        <v>128</v>
      </c>
      <c r="AT248">
        <f t="shared" si="111"/>
        <v>117</v>
      </c>
      <c r="AU248">
        <f t="shared" si="112"/>
        <v>85</v>
      </c>
      <c r="AV248">
        <f t="shared" si="113"/>
        <v>76</v>
      </c>
      <c r="AW248">
        <f t="shared" si="114"/>
        <v>63</v>
      </c>
      <c r="AX248">
        <f t="shared" si="115"/>
        <v>79</v>
      </c>
      <c r="AY248">
        <f t="shared" si="116"/>
        <v>72</v>
      </c>
      <c r="AZ248">
        <f t="shared" si="117"/>
        <v>40</v>
      </c>
      <c r="BA248">
        <f t="shared" si="118"/>
        <v>36</v>
      </c>
      <c r="BB248">
        <f t="shared" si="119"/>
        <v>22</v>
      </c>
    </row>
    <row r="249" spans="1:54" x14ac:dyDescent="0.15">
      <c r="B249" t="s">
        <v>935</v>
      </c>
      <c r="C249">
        <v>176</v>
      </c>
      <c r="D249">
        <v>0</v>
      </c>
      <c r="E249" t="s">
        <v>936</v>
      </c>
      <c r="G249" t="s">
        <v>936</v>
      </c>
      <c r="J249" t="s">
        <v>937</v>
      </c>
      <c r="K249">
        <v>3.2</v>
      </c>
      <c r="L249">
        <v>0.6</v>
      </c>
      <c r="M249" t="s">
        <v>233</v>
      </c>
      <c r="N249" t="s">
        <v>57</v>
      </c>
      <c r="O249" t="s">
        <v>136</v>
      </c>
      <c r="P249" t="s">
        <v>655</v>
      </c>
      <c r="Q249" t="s">
        <v>934</v>
      </c>
      <c r="R249">
        <v>8</v>
      </c>
      <c r="S249">
        <v>55</v>
      </c>
      <c r="T249">
        <v>40</v>
      </c>
      <c r="U249">
        <v>85</v>
      </c>
      <c r="V249">
        <v>80</v>
      </c>
      <c r="W249">
        <v>105</v>
      </c>
      <c r="X249">
        <v>40</v>
      </c>
      <c r="Y249">
        <f t="shared" si="90"/>
        <v>162</v>
      </c>
      <c r="Z249">
        <f t="shared" si="91"/>
        <v>162</v>
      </c>
      <c r="AA249">
        <f t="shared" si="92"/>
        <v>130</v>
      </c>
      <c r="AB249">
        <f t="shared" si="93"/>
        <v>130</v>
      </c>
      <c r="AC249">
        <f t="shared" si="94"/>
        <v>115</v>
      </c>
      <c r="AD249">
        <f t="shared" si="95"/>
        <v>101</v>
      </c>
      <c r="AE249">
        <f t="shared" si="96"/>
        <v>92</v>
      </c>
      <c r="AF249">
        <f t="shared" si="97"/>
        <v>60</v>
      </c>
      <c r="AG249">
        <f t="shared" si="98"/>
        <v>54</v>
      </c>
      <c r="AH249">
        <f t="shared" si="99"/>
        <v>40</v>
      </c>
      <c r="AI249">
        <f t="shared" si="100"/>
        <v>150</v>
      </c>
      <c r="AJ249">
        <f t="shared" si="101"/>
        <v>137</v>
      </c>
      <c r="AK249">
        <f t="shared" si="102"/>
        <v>105</v>
      </c>
      <c r="AL249">
        <f t="shared" si="103"/>
        <v>94</v>
      </c>
      <c r="AM249">
        <f t="shared" si="104"/>
        <v>81</v>
      </c>
      <c r="AN249">
        <f t="shared" si="105"/>
        <v>145</v>
      </c>
      <c r="AO249">
        <f t="shared" si="106"/>
        <v>132</v>
      </c>
      <c r="AP249">
        <f t="shared" si="107"/>
        <v>100</v>
      </c>
      <c r="AQ249">
        <f t="shared" si="108"/>
        <v>90</v>
      </c>
      <c r="AR249">
        <f t="shared" si="109"/>
        <v>76</v>
      </c>
      <c r="AS249">
        <f t="shared" si="110"/>
        <v>172</v>
      </c>
      <c r="AT249">
        <f t="shared" si="111"/>
        <v>157</v>
      </c>
      <c r="AU249">
        <f t="shared" si="112"/>
        <v>125</v>
      </c>
      <c r="AV249">
        <f t="shared" si="113"/>
        <v>112</v>
      </c>
      <c r="AW249">
        <f t="shared" si="114"/>
        <v>99</v>
      </c>
      <c r="AX249">
        <f t="shared" si="115"/>
        <v>101</v>
      </c>
      <c r="AY249">
        <f t="shared" si="116"/>
        <v>92</v>
      </c>
      <c r="AZ249">
        <f t="shared" si="117"/>
        <v>60</v>
      </c>
      <c r="BA249">
        <f t="shared" si="118"/>
        <v>54</v>
      </c>
      <c r="BB249">
        <f t="shared" si="119"/>
        <v>40</v>
      </c>
    </row>
    <row r="250" spans="1:54" x14ac:dyDescent="0.15">
      <c r="B250" t="s">
        <v>938</v>
      </c>
      <c r="C250">
        <v>177</v>
      </c>
      <c r="D250">
        <v>0</v>
      </c>
      <c r="E250" t="s">
        <v>939</v>
      </c>
      <c r="G250" t="s">
        <v>939</v>
      </c>
      <c r="J250" t="s">
        <v>119</v>
      </c>
      <c r="K250">
        <v>2</v>
      </c>
      <c r="L250">
        <v>0.2</v>
      </c>
      <c r="M250" t="s">
        <v>191</v>
      </c>
      <c r="N250" t="s">
        <v>57</v>
      </c>
      <c r="O250" t="s">
        <v>393</v>
      </c>
      <c r="P250" t="s">
        <v>504</v>
      </c>
      <c r="Q250" t="s">
        <v>940</v>
      </c>
      <c r="R250">
        <v>8</v>
      </c>
      <c r="S250">
        <v>40</v>
      </c>
      <c r="T250">
        <v>50</v>
      </c>
      <c r="U250">
        <v>45</v>
      </c>
      <c r="V250">
        <v>70</v>
      </c>
      <c r="W250">
        <v>45</v>
      </c>
      <c r="X250">
        <v>70</v>
      </c>
      <c r="Y250">
        <f t="shared" si="90"/>
        <v>147</v>
      </c>
      <c r="Z250">
        <f t="shared" si="91"/>
        <v>147</v>
      </c>
      <c r="AA250">
        <f t="shared" si="92"/>
        <v>115</v>
      </c>
      <c r="AB250">
        <f t="shared" si="93"/>
        <v>115</v>
      </c>
      <c r="AC250">
        <f t="shared" si="94"/>
        <v>100</v>
      </c>
      <c r="AD250">
        <f t="shared" si="95"/>
        <v>112</v>
      </c>
      <c r="AE250">
        <f t="shared" si="96"/>
        <v>102</v>
      </c>
      <c r="AF250">
        <f t="shared" si="97"/>
        <v>70</v>
      </c>
      <c r="AG250">
        <f t="shared" si="98"/>
        <v>63</v>
      </c>
      <c r="AH250">
        <f t="shared" si="99"/>
        <v>49</v>
      </c>
      <c r="AI250">
        <f t="shared" si="100"/>
        <v>106</v>
      </c>
      <c r="AJ250">
        <f t="shared" si="101"/>
        <v>97</v>
      </c>
      <c r="AK250">
        <f t="shared" si="102"/>
        <v>65</v>
      </c>
      <c r="AL250">
        <f t="shared" si="103"/>
        <v>58</v>
      </c>
      <c r="AM250">
        <f t="shared" si="104"/>
        <v>45</v>
      </c>
      <c r="AN250">
        <f t="shared" si="105"/>
        <v>134</v>
      </c>
      <c r="AO250">
        <f t="shared" si="106"/>
        <v>122</v>
      </c>
      <c r="AP250">
        <f t="shared" si="107"/>
        <v>90</v>
      </c>
      <c r="AQ250">
        <f t="shared" si="108"/>
        <v>81</v>
      </c>
      <c r="AR250">
        <f t="shared" si="109"/>
        <v>67</v>
      </c>
      <c r="AS250">
        <f t="shared" si="110"/>
        <v>106</v>
      </c>
      <c r="AT250">
        <f t="shared" si="111"/>
        <v>97</v>
      </c>
      <c r="AU250">
        <f t="shared" si="112"/>
        <v>65</v>
      </c>
      <c r="AV250">
        <f t="shared" si="113"/>
        <v>58</v>
      </c>
      <c r="AW250">
        <f t="shared" si="114"/>
        <v>45</v>
      </c>
      <c r="AX250">
        <f t="shared" si="115"/>
        <v>134</v>
      </c>
      <c r="AY250">
        <f t="shared" si="116"/>
        <v>122</v>
      </c>
      <c r="AZ250">
        <f t="shared" si="117"/>
        <v>90</v>
      </c>
      <c r="BA250">
        <f t="shared" si="118"/>
        <v>81</v>
      </c>
      <c r="BB250">
        <f t="shared" si="119"/>
        <v>67</v>
      </c>
    </row>
    <row r="251" spans="1:54" x14ac:dyDescent="0.15">
      <c r="B251" t="s">
        <v>941</v>
      </c>
      <c r="C251">
        <v>178</v>
      </c>
      <c r="D251">
        <v>0</v>
      </c>
      <c r="E251" t="s">
        <v>942</v>
      </c>
      <c r="G251" t="s">
        <v>942</v>
      </c>
      <c r="J251" t="s">
        <v>943</v>
      </c>
      <c r="K251">
        <v>15</v>
      </c>
      <c r="L251">
        <v>1.5</v>
      </c>
      <c r="M251" t="s">
        <v>191</v>
      </c>
      <c r="N251" t="s">
        <v>57</v>
      </c>
      <c r="O251" t="s">
        <v>393</v>
      </c>
      <c r="P251" t="s">
        <v>504</v>
      </c>
      <c r="Q251" t="s">
        <v>940</v>
      </c>
      <c r="R251">
        <v>8</v>
      </c>
      <c r="S251">
        <v>65</v>
      </c>
      <c r="T251">
        <v>75</v>
      </c>
      <c r="U251">
        <v>70</v>
      </c>
      <c r="V251">
        <v>95</v>
      </c>
      <c r="W251">
        <v>70</v>
      </c>
      <c r="X251">
        <v>95</v>
      </c>
      <c r="Y251">
        <f t="shared" si="90"/>
        <v>172</v>
      </c>
      <c r="Z251">
        <f t="shared" si="91"/>
        <v>172</v>
      </c>
      <c r="AA251">
        <f t="shared" si="92"/>
        <v>140</v>
      </c>
      <c r="AB251">
        <f t="shared" si="93"/>
        <v>140</v>
      </c>
      <c r="AC251">
        <f t="shared" si="94"/>
        <v>125</v>
      </c>
      <c r="AD251">
        <f t="shared" si="95"/>
        <v>139</v>
      </c>
      <c r="AE251">
        <f t="shared" si="96"/>
        <v>127</v>
      </c>
      <c r="AF251">
        <f t="shared" si="97"/>
        <v>95</v>
      </c>
      <c r="AG251">
        <f t="shared" si="98"/>
        <v>85</v>
      </c>
      <c r="AH251">
        <f t="shared" si="99"/>
        <v>72</v>
      </c>
      <c r="AI251">
        <f t="shared" si="100"/>
        <v>134</v>
      </c>
      <c r="AJ251">
        <f t="shared" si="101"/>
        <v>122</v>
      </c>
      <c r="AK251">
        <f t="shared" si="102"/>
        <v>90</v>
      </c>
      <c r="AL251">
        <f t="shared" si="103"/>
        <v>81</v>
      </c>
      <c r="AM251">
        <f t="shared" si="104"/>
        <v>67</v>
      </c>
      <c r="AN251">
        <f t="shared" si="105"/>
        <v>161</v>
      </c>
      <c r="AO251">
        <f t="shared" si="106"/>
        <v>147</v>
      </c>
      <c r="AP251">
        <f t="shared" si="107"/>
        <v>115</v>
      </c>
      <c r="AQ251">
        <f t="shared" si="108"/>
        <v>103</v>
      </c>
      <c r="AR251">
        <f t="shared" si="109"/>
        <v>90</v>
      </c>
      <c r="AS251">
        <f t="shared" si="110"/>
        <v>134</v>
      </c>
      <c r="AT251">
        <f t="shared" si="111"/>
        <v>122</v>
      </c>
      <c r="AU251">
        <f t="shared" si="112"/>
        <v>90</v>
      </c>
      <c r="AV251">
        <f t="shared" si="113"/>
        <v>81</v>
      </c>
      <c r="AW251">
        <f t="shared" si="114"/>
        <v>67</v>
      </c>
      <c r="AX251">
        <f t="shared" si="115"/>
        <v>161</v>
      </c>
      <c r="AY251">
        <f t="shared" si="116"/>
        <v>147</v>
      </c>
      <c r="AZ251">
        <f t="shared" si="117"/>
        <v>115</v>
      </c>
      <c r="BA251">
        <f t="shared" si="118"/>
        <v>103</v>
      </c>
      <c r="BB251">
        <f t="shared" si="119"/>
        <v>90</v>
      </c>
    </row>
    <row r="252" spans="1:54" x14ac:dyDescent="0.15">
      <c r="A252">
        <v>162</v>
      </c>
      <c r="B252" t="s">
        <v>944</v>
      </c>
      <c r="C252">
        <v>179</v>
      </c>
      <c r="D252">
        <v>0</v>
      </c>
      <c r="E252" t="s">
        <v>945</v>
      </c>
      <c r="G252" t="s">
        <v>945</v>
      </c>
      <c r="H252" t="s">
        <v>946</v>
      </c>
      <c r="J252" t="s">
        <v>947</v>
      </c>
      <c r="K252">
        <v>7.8</v>
      </c>
      <c r="L252">
        <v>0.6</v>
      </c>
      <c r="M252" t="s">
        <v>164</v>
      </c>
      <c r="O252" t="s">
        <v>165</v>
      </c>
      <c r="P252" t="s">
        <v>948</v>
      </c>
      <c r="R252">
        <v>9</v>
      </c>
      <c r="S252">
        <v>55</v>
      </c>
      <c r="T252">
        <v>40</v>
      </c>
      <c r="U252">
        <v>40</v>
      </c>
      <c r="V252">
        <v>65</v>
      </c>
      <c r="W252">
        <v>45</v>
      </c>
      <c r="X252">
        <v>35</v>
      </c>
      <c r="Y252">
        <f t="shared" si="90"/>
        <v>162</v>
      </c>
      <c r="Z252">
        <f t="shared" si="91"/>
        <v>162</v>
      </c>
      <c r="AA252">
        <f t="shared" si="92"/>
        <v>130</v>
      </c>
      <c r="AB252">
        <f t="shared" si="93"/>
        <v>130</v>
      </c>
      <c r="AC252">
        <f t="shared" si="94"/>
        <v>115</v>
      </c>
      <c r="AD252">
        <f t="shared" si="95"/>
        <v>101</v>
      </c>
      <c r="AE252">
        <f t="shared" si="96"/>
        <v>92</v>
      </c>
      <c r="AF252">
        <f t="shared" si="97"/>
        <v>60</v>
      </c>
      <c r="AG252">
        <f t="shared" si="98"/>
        <v>54</v>
      </c>
      <c r="AH252">
        <f t="shared" si="99"/>
        <v>40</v>
      </c>
      <c r="AI252">
        <f t="shared" si="100"/>
        <v>101</v>
      </c>
      <c r="AJ252">
        <f t="shared" si="101"/>
        <v>92</v>
      </c>
      <c r="AK252">
        <f t="shared" si="102"/>
        <v>60</v>
      </c>
      <c r="AL252">
        <f t="shared" si="103"/>
        <v>54</v>
      </c>
      <c r="AM252">
        <f t="shared" si="104"/>
        <v>40</v>
      </c>
      <c r="AN252">
        <f t="shared" si="105"/>
        <v>128</v>
      </c>
      <c r="AO252">
        <f t="shared" si="106"/>
        <v>117</v>
      </c>
      <c r="AP252">
        <f t="shared" si="107"/>
        <v>85</v>
      </c>
      <c r="AQ252">
        <f t="shared" si="108"/>
        <v>76</v>
      </c>
      <c r="AR252">
        <f t="shared" si="109"/>
        <v>63</v>
      </c>
      <c r="AS252">
        <f t="shared" si="110"/>
        <v>106</v>
      </c>
      <c r="AT252">
        <f t="shared" si="111"/>
        <v>97</v>
      </c>
      <c r="AU252">
        <f t="shared" si="112"/>
        <v>65</v>
      </c>
      <c r="AV252">
        <f t="shared" si="113"/>
        <v>58</v>
      </c>
      <c r="AW252">
        <f t="shared" si="114"/>
        <v>45</v>
      </c>
      <c r="AX252">
        <f t="shared" si="115"/>
        <v>95</v>
      </c>
      <c r="AY252">
        <f t="shared" si="116"/>
        <v>87</v>
      </c>
      <c r="AZ252">
        <f t="shared" si="117"/>
        <v>55</v>
      </c>
      <c r="BA252">
        <f t="shared" si="118"/>
        <v>49</v>
      </c>
      <c r="BB252">
        <f t="shared" si="119"/>
        <v>36</v>
      </c>
    </row>
    <row r="253" spans="1:54" x14ac:dyDescent="0.15">
      <c r="A253">
        <v>163</v>
      </c>
      <c r="B253" t="s">
        <v>949</v>
      </c>
      <c r="C253">
        <v>180</v>
      </c>
      <c r="D253">
        <v>0</v>
      </c>
      <c r="E253" t="s">
        <v>950</v>
      </c>
      <c r="G253" t="s">
        <v>950</v>
      </c>
      <c r="H253" t="s">
        <v>951</v>
      </c>
      <c r="J253" t="s">
        <v>947</v>
      </c>
      <c r="K253">
        <v>13.3</v>
      </c>
      <c r="L253">
        <v>0.8</v>
      </c>
      <c r="M253" t="s">
        <v>164</v>
      </c>
      <c r="O253" t="s">
        <v>165</v>
      </c>
      <c r="P253" t="s">
        <v>948</v>
      </c>
      <c r="R253">
        <v>9</v>
      </c>
      <c r="S253">
        <v>70</v>
      </c>
      <c r="T253">
        <v>55</v>
      </c>
      <c r="U253">
        <v>55</v>
      </c>
      <c r="V253">
        <v>80</v>
      </c>
      <c r="W253">
        <v>60</v>
      </c>
      <c r="X253">
        <v>45</v>
      </c>
      <c r="Y253">
        <f t="shared" si="90"/>
        <v>177</v>
      </c>
      <c r="Z253">
        <f t="shared" si="91"/>
        <v>177</v>
      </c>
      <c r="AA253">
        <f t="shared" si="92"/>
        <v>145</v>
      </c>
      <c r="AB253">
        <f t="shared" si="93"/>
        <v>145</v>
      </c>
      <c r="AC253">
        <f t="shared" si="94"/>
        <v>130</v>
      </c>
      <c r="AD253">
        <f t="shared" si="95"/>
        <v>117</v>
      </c>
      <c r="AE253">
        <f t="shared" si="96"/>
        <v>107</v>
      </c>
      <c r="AF253">
        <f t="shared" si="97"/>
        <v>75</v>
      </c>
      <c r="AG253">
        <f t="shared" si="98"/>
        <v>67</v>
      </c>
      <c r="AH253">
        <f t="shared" si="99"/>
        <v>54</v>
      </c>
      <c r="AI253">
        <f t="shared" si="100"/>
        <v>117</v>
      </c>
      <c r="AJ253">
        <f t="shared" si="101"/>
        <v>107</v>
      </c>
      <c r="AK253">
        <f t="shared" si="102"/>
        <v>75</v>
      </c>
      <c r="AL253">
        <f t="shared" si="103"/>
        <v>67</v>
      </c>
      <c r="AM253">
        <f t="shared" si="104"/>
        <v>54</v>
      </c>
      <c r="AN253">
        <f t="shared" si="105"/>
        <v>145</v>
      </c>
      <c r="AO253">
        <f t="shared" si="106"/>
        <v>132</v>
      </c>
      <c r="AP253">
        <f t="shared" si="107"/>
        <v>100</v>
      </c>
      <c r="AQ253">
        <f t="shared" si="108"/>
        <v>90</v>
      </c>
      <c r="AR253">
        <f t="shared" si="109"/>
        <v>76</v>
      </c>
      <c r="AS253">
        <f t="shared" si="110"/>
        <v>123</v>
      </c>
      <c r="AT253">
        <f t="shared" si="111"/>
        <v>112</v>
      </c>
      <c r="AU253">
        <f t="shared" si="112"/>
        <v>80</v>
      </c>
      <c r="AV253">
        <f t="shared" si="113"/>
        <v>72</v>
      </c>
      <c r="AW253">
        <f t="shared" si="114"/>
        <v>58</v>
      </c>
      <c r="AX253">
        <f t="shared" si="115"/>
        <v>106</v>
      </c>
      <c r="AY253">
        <f t="shared" si="116"/>
        <v>97</v>
      </c>
      <c r="AZ253">
        <f t="shared" si="117"/>
        <v>65</v>
      </c>
      <c r="BA253">
        <f t="shared" si="118"/>
        <v>58</v>
      </c>
      <c r="BB253">
        <f t="shared" si="119"/>
        <v>45</v>
      </c>
    </row>
    <row r="254" spans="1:54" x14ac:dyDescent="0.15">
      <c r="A254">
        <v>164</v>
      </c>
      <c r="B254" t="s">
        <v>952</v>
      </c>
      <c r="C254">
        <v>181</v>
      </c>
      <c r="D254">
        <v>0</v>
      </c>
      <c r="E254" t="s">
        <v>953</v>
      </c>
      <c r="G254" t="s">
        <v>953</v>
      </c>
      <c r="H254" t="s">
        <v>954</v>
      </c>
      <c r="J254" t="s">
        <v>920</v>
      </c>
      <c r="K254">
        <v>61.5</v>
      </c>
      <c r="L254">
        <v>1.4</v>
      </c>
      <c r="M254" t="s">
        <v>164</v>
      </c>
      <c r="O254" t="s">
        <v>165</v>
      </c>
      <c r="P254" t="s">
        <v>948</v>
      </c>
      <c r="R254">
        <v>9</v>
      </c>
      <c r="S254">
        <v>90</v>
      </c>
      <c r="T254">
        <v>75</v>
      </c>
      <c r="U254">
        <v>85</v>
      </c>
      <c r="V254">
        <v>115</v>
      </c>
      <c r="W254">
        <v>90</v>
      </c>
      <c r="X254">
        <v>55</v>
      </c>
      <c r="Y254">
        <f t="shared" si="90"/>
        <v>197</v>
      </c>
      <c r="Z254">
        <f t="shared" si="91"/>
        <v>197</v>
      </c>
      <c r="AA254">
        <f t="shared" si="92"/>
        <v>165</v>
      </c>
      <c r="AB254">
        <f t="shared" si="93"/>
        <v>165</v>
      </c>
      <c r="AC254">
        <f t="shared" si="94"/>
        <v>150</v>
      </c>
      <c r="AD254">
        <f t="shared" si="95"/>
        <v>139</v>
      </c>
      <c r="AE254">
        <f t="shared" si="96"/>
        <v>127</v>
      </c>
      <c r="AF254">
        <f t="shared" si="97"/>
        <v>95</v>
      </c>
      <c r="AG254">
        <f t="shared" si="98"/>
        <v>85</v>
      </c>
      <c r="AH254">
        <f t="shared" si="99"/>
        <v>72</v>
      </c>
      <c r="AI254">
        <f t="shared" si="100"/>
        <v>150</v>
      </c>
      <c r="AJ254">
        <f t="shared" si="101"/>
        <v>137</v>
      </c>
      <c r="AK254">
        <f t="shared" si="102"/>
        <v>105</v>
      </c>
      <c r="AL254">
        <f t="shared" si="103"/>
        <v>94</v>
      </c>
      <c r="AM254">
        <f t="shared" si="104"/>
        <v>81</v>
      </c>
      <c r="AN254">
        <f t="shared" si="105"/>
        <v>183</v>
      </c>
      <c r="AO254">
        <f t="shared" si="106"/>
        <v>167</v>
      </c>
      <c r="AP254">
        <f t="shared" si="107"/>
        <v>135</v>
      </c>
      <c r="AQ254">
        <f t="shared" si="108"/>
        <v>121</v>
      </c>
      <c r="AR254">
        <f t="shared" si="109"/>
        <v>108</v>
      </c>
      <c r="AS254">
        <f t="shared" si="110"/>
        <v>156</v>
      </c>
      <c r="AT254">
        <f t="shared" si="111"/>
        <v>142</v>
      </c>
      <c r="AU254">
        <f t="shared" si="112"/>
        <v>110</v>
      </c>
      <c r="AV254">
        <f t="shared" si="113"/>
        <v>99</v>
      </c>
      <c r="AW254">
        <f t="shared" si="114"/>
        <v>85</v>
      </c>
      <c r="AX254">
        <f t="shared" si="115"/>
        <v>117</v>
      </c>
      <c r="AY254">
        <f t="shared" si="116"/>
        <v>107</v>
      </c>
      <c r="AZ254">
        <f t="shared" si="117"/>
        <v>75</v>
      </c>
      <c r="BA254">
        <f t="shared" si="118"/>
        <v>67</v>
      </c>
      <c r="BB254">
        <f t="shared" si="119"/>
        <v>54</v>
      </c>
    </row>
    <row r="255" spans="1:54" x14ac:dyDescent="0.15">
      <c r="B255" t="s">
        <v>955</v>
      </c>
      <c r="C255">
        <v>181</v>
      </c>
      <c r="D255">
        <v>1</v>
      </c>
      <c r="E255" t="s">
        <v>953</v>
      </c>
      <c r="F255" t="s">
        <v>956</v>
      </c>
      <c r="G255" t="s">
        <v>956</v>
      </c>
      <c r="J255" t="s">
        <v>920</v>
      </c>
      <c r="K255">
        <v>61.5</v>
      </c>
      <c r="L255">
        <v>1.4</v>
      </c>
      <c r="M255" t="s">
        <v>164</v>
      </c>
      <c r="N255" t="s">
        <v>60</v>
      </c>
      <c r="O255" t="s">
        <v>713</v>
      </c>
      <c r="P255" t="s">
        <v>948</v>
      </c>
      <c r="R255">
        <v>7</v>
      </c>
      <c r="S255">
        <v>90</v>
      </c>
      <c r="T255">
        <v>75</v>
      </c>
      <c r="U255">
        <v>85</v>
      </c>
      <c r="V255">
        <v>115</v>
      </c>
      <c r="W255">
        <v>90</v>
      </c>
      <c r="X255">
        <v>55</v>
      </c>
      <c r="Y255">
        <f t="shared" si="90"/>
        <v>197</v>
      </c>
      <c r="Z255">
        <f t="shared" si="91"/>
        <v>197</v>
      </c>
      <c r="AA255">
        <f t="shared" si="92"/>
        <v>165</v>
      </c>
      <c r="AB255">
        <f t="shared" si="93"/>
        <v>165</v>
      </c>
      <c r="AC255">
        <f t="shared" si="94"/>
        <v>150</v>
      </c>
      <c r="AD255">
        <f t="shared" si="95"/>
        <v>139</v>
      </c>
      <c r="AE255">
        <f t="shared" si="96"/>
        <v>127</v>
      </c>
      <c r="AF255">
        <f t="shared" si="97"/>
        <v>95</v>
      </c>
      <c r="AG255">
        <f t="shared" si="98"/>
        <v>85</v>
      </c>
      <c r="AH255">
        <f t="shared" si="99"/>
        <v>72</v>
      </c>
      <c r="AI255">
        <f t="shared" si="100"/>
        <v>150</v>
      </c>
      <c r="AJ255">
        <f t="shared" si="101"/>
        <v>137</v>
      </c>
      <c r="AK255">
        <f t="shared" si="102"/>
        <v>105</v>
      </c>
      <c r="AL255">
        <f t="shared" si="103"/>
        <v>94</v>
      </c>
      <c r="AM255">
        <f t="shared" si="104"/>
        <v>81</v>
      </c>
      <c r="AN255">
        <f t="shared" si="105"/>
        <v>183</v>
      </c>
      <c r="AO255">
        <f t="shared" si="106"/>
        <v>167</v>
      </c>
      <c r="AP255">
        <f t="shared" si="107"/>
        <v>135</v>
      </c>
      <c r="AQ255">
        <f t="shared" si="108"/>
        <v>121</v>
      </c>
      <c r="AR255">
        <f t="shared" si="109"/>
        <v>108</v>
      </c>
      <c r="AS255">
        <f t="shared" si="110"/>
        <v>156</v>
      </c>
      <c r="AT255">
        <f t="shared" si="111"/>
        <v>142</v>
      </c>
      <c r="AU255">
        <f t="shared" si="112"/>
        <v>110</v>
      </c>
      <c r="AV255">
        <f t="shared" si="113"/>
        <v>99</v>
      </c>
      <c r="AW255">
        <f t="shared" si="114"/>
        <v>85</v>
      </c>
      <c r="AX255">
        <f t="shared" si="115"/>
        <v>117</v>
      </c>
      <c r="AY255">
        <f t="shared" si="116"/>
        <v>107</v>
      </c>
      <c r="AZ255">
        <f t="shared" si="117"/>
        <v>75</v>
      </c>
      <c r="BA255">
        <f t="shared" si="118"/>
        <v>67</v>
      </c>
      <c r="BB255">
        <f t="shared" si="119"/>
        <v>54</v>
      </c>
    </row>
    <row r="256" spans="1:54" x14ac:dyDescent="0.15">
      <c r="A256">
        <v>165</v>
      </c>
      <c r="B256" t="s">
        <v>957</v>
      </c>
      <c r="C256">
        <v>182</v>
      </c>
      <c r="D256">
        <v>0</v>
      </c>
      <c r="E256" t="s">
        <v>958</v>
      </c>
      <c r="G256" t="s">
        <v>958</v>
      </c>
      <c r="H256" t="s">
        <v>959</v>
      </c>
      <c r="J256" t="s">
        <v>283</v>
      </c>
      <c r="K256">
        <v>5.8</v>
      </c>
      <c r="L256">
        <v>0.4</v>
      </c>
      <c r="M256" t="s">
        <v>26</v>
      </c>
      <c r="O256" t="s">
        <v>29</v>
      </c>
      <c r="P256" t="s">
        <v>656</v>
      </c>
      <c r="R256">
        <v>8</v>
      </c>
      <c r="S256">
        <v>75</v>
      </c>
      <c r="T256">
        <v>80</v>
      </c>
      <c r="U256">
        <v>95</v>
      </c>
      <c r="V256">
        <v>90</v>
      </c>
      <c r="W256">
        <v>100</v>
      </c>
      <c r="X256">
        <v>50</v>
      </c>
      <c r="Y256">
        <f t="shared" si="90"/>
        <v>182</v>
      </c>
      <c r="Z256">
        <f t="shared" si="91"/>
        <v>182</v>
      </c>
      <c r="AA256">
        <f t="shared" si="92"/>
        <v>150</v>
      </c>
      <c r="AB256">
        <f t="shared" si="93"/>
        <v>150</v>
      </c>
      <c r="AC256">
        <f t="shared" si="94"/>
        <v>135</v>
      </c>
      <c r="AD256">
        <f t="shared" si="95"/>
        <v>145</v>
      </c>
      <c r="AE256">
        <f t="shared" si="96"/>
        <v>132</v>
      </c>
      <c r="AF256">
        <f t="shared" si="97"/>
        <v>100</v>
      </c>
      <c r="AG256">
        <f t="shared" si="98"/>
        <v>90</v>
      </c>
      <c r="AH256">
        <f t="shared" si="99"/>
        <v>76</v>
      </c>
      <c r="AI256">
        <f t="shared" si="100"/>
        <v>161</v>
      </c>
      <c r="AJ256">
        <f t="shared" si="101"/>
        <v>147</v>
      </c>
      <c r="AK256">
        <f t="shared" si="102"/>
        <v>115</v>
      </c>
      <c r="AL256">
        <f t="shared" si="103"/>
        <v>103</v>
      </c>
      <c r="AM256">
        <f t="shared" si="104"/>
        <v>90</v>
      </c>
      <c r="AN256">
        <f t="shared" si="105"/>
        <v>156</v>
      </c>
      <c r="AO256">
        <f t="shared" si="106"/>
        <v>142</v>
      </c>
      <c r="AP256">
        <f t="shared" si="107"/>
        <v>110</v>
      </c>
      <c r="AQ256">
        <f t="shared" si="108"/>
        <v>99</v>
      </c>
      <c r="AR256">
        <f t="shared" si="109"/>
        <v>85</v>
      </c>
      <c r="AS256">
        <f t="shared" si="110"/>
        <v>167</v>
      </c>
      <c r="AT256">
        <f t="shared" si="111"/>
        <v>152</v>
      </c>
      <c r="AU256">
        <f t="shared" si="112"/>
        <v>120</v>
      </c>
      <c r="AV256">
        <f t="shared" si="113"/>
        <v>108</v>
      </c>
      <c r="AW256">
        <f t="shared" si="114"/>
        <v>94</v>
      </c>
      <c r="AX256">
        <f t="shared" si="115"/>
        <v>112</v>
      </c>
      <c r="AY256">
        <f t="shared" si="116"/>
        <v>102</v>
      </c>
      <c r="AZ256">
        <f t="shared" si="117"/>
        <v>70</v>
      </c>
      <c r="BA256">
        <f t="shared" si="118"/>
        <v>63</v>
      </c>
      <c r="BB256">
        <f t="shared" si="119"/>
        <v>49</v>
      </c>
    </row>
    <row r="257" spans="1:54" x14ac:dyDescent="0.15">
      <c r="A257">
        <v>166</v>
      </c>
      <c r="B257" t="s">
        <v>960</v>
      </c>
      <c r="C257">
        <v>183</v>
      </c>
      <c r="D257">
        <v>0</v>
      </c>
      <c r="E257" t="s">
        <v>961</v>
      </c>
      <c r="G257" t="s">
        <v>961</v>
      </c>
      <c r="H257" t="s">
        <v>962</v>
      </c>
      <c r="J257" t="s">
        <v>963</v>
      </c>
      <c r="K257">
        <v>8.5</v>
      </c>
      <c r="L257">
        <v>0.4</v>
      </c>
      <c r="M257" t="s">
        <v>71</v>
      </c>
      <c r="N257" t="s">
        <v>233</v>
      </c>
      <c r="O257" t="s">
        <v>38</v>
      </c>
      <c r="P257" t="s">
        <v>964</v>
      </c>
      <c r="Q257" t="s">
        <v>965</v>
      </c>
      <c r="R257">
        <v>9</v>
      </c>
      <c r="S257">
        <v>70</v>
      </c>
      <c r="T257">
        <v>20</v>
      </c>
      <c r="U257">
        <v>50</v>
      </c>
      <c r="V257">
        <v>20</v>
      </c>
      <c r="W257">
        <v>50</v>
      </c>
      <c r="X257">
        <v>40</v>
      </c>
      <c r="Y257">
        <f t="shared" si="90"/>
        <v>177</v>
      </c>
      <c r="Z257">
        <f t="shared" si="91"/>
        <v>177</v>
      </c>
      <c r="AA257">
        <f t="shared" si="92"/>
        <v>145</v>
      </c>
      <c r="AB257">
        <f t="shared" si="93"/>
        <v>145</v>
      </c>
      <c r="AC257">
        <f t="shared" si="94"/>
        <v>130</v>
      </c>
      <c r="AD257">
        <f t="shared" si="95"/>
        <v>79</v>
      </c>
      <c r="AE257">
        <f t="shared" si="96"/>
        <v>72</v>
      </c>
      <c r="AF257">
        <f t="shared" si="97"/>
        <v>40</v>
      </c>
      <c r="AG257">
        <f t="shared" si="98"/>
        <v>36</v>
      </c>
      <c r="AH257">
        <f t="shared" si="99"/>
        <v>22</v>
      </c>
      <c r="AI257">
        <f t="shared" si="100"/>
        <v>112</v>
      </c>
      <c r="AJ257">
        <f t="shared" si="101"/>
        <v>102</v>
      </c>
      <c r="AK257">
        <f t="shared" si="102"/>
        <v>70</v>
      </c>
      <c r="AL257">
        <f t="shared" si="103"/>
        <v>63</v>
      </c>
      <c r="AM257">
        <f t="shared" si="104"/>
        <v>49</v>
      </c>
      <c r="AN257">
        <f t="shared" si="105"/>
        <v>79</v>
      </c>
      <c r="AO257">
        <f t="shared" si="106"/>
        <v>72</v>
      </c>
      <c r="AP257">
        <f t="shared" si="107"/>
        <v>40</v>
      </c>
      <c r="AQ257">
        <f t="shared" si="108"/>
        <v>36</v>
      </c>
      <c r="AR257">
        <f t="shared" si="109"/>
        <v>22</v>
      </c>
      <c r="AS257">
        <f t="shared" si="110"/>
        <v>112</v>
      </c>
      <c r="AT257">
        <f t="shared" si="111"/>
        <v>102</v>
      </c>
      <c r="AU257">
        <f t="shared" si="112"/>
        <v>70</v>
      </c>
      <c r="AV257">
        <f t="shared" si="113"/>
        <v>63</v>
      </c>
      <c r="AW257">
        <f t="shared" si="114"/>
        <v>49</v>
      </c>
      <c r="AX257">
        <f t="shared" si="115"/>
        <v>101</v>
      </c>
      <c r="AY257">
        <f t="shared" si="116"/>
        <v>92</v>
      </c>
      <c r="AZ257">
        <f t="shared" si="117"/>
        <v>60</v>
      </c>
      <c r="BA257">
        <f t="shared" si="118"/>
        <v>54</v>
      </c>
      <c r="BB257">
        <f t="shared" si="119"/>
        <v>40</v>
      </c>
    </row>
    <row r="258" spans="1:54" x14ac:dyDescent="0.15">
      <c r="A258">
        <v>167</v>
      </c>
      <c r="B258" t="s">
        <v>966</v>
      </c>
      <c r="C258">
        <v>184</v>
      </c>
      <c r="D258">
        <v>0</v>
      </c>
      <c r="E258" t="s">
        <v>967</v>
      </c>
      <c r="G258" t="s">
        <v>967</v>
      </c>
      <c r="H258" t="s">
        <v>968</v>
      </c>
      <c r="J258" t="s">
        <v>969</v>
      </c>
      <c r="K258">
        <v>28.5</v>
      </c>
      <c r="L258">
        <v>0.8</v>
      </c>
      <c r="M258" t="s">
        <v>71</v>
      </c>
      <c r="N258" t="s">
        <v>233</v>
      </c>
      <c r="O258" t="s">
        <v>38</v>
      </c>
      <c r="P258" t="s">
        <v>964</v>
      </c>
      <c r="Q258" t="s">
        <v>965</v>
      </c>
      <c r="R258">
        <v>9</v>
      </c>
      <c r="S258">
        <v>100</v>
      </c>
      <c r="T258">
        <v>50</v>
      </c>
      <c r="U258">
        <v>80</v>
      </c>
      <c r="V258">
        <v>60</v>
      </c>
      <c r="W258">
        <v>80</v>
      </c>
      <c r="X258">
        <v>50</v>
      </c>
      <c r="Y258">
        <f t="shared" ref="Y258:Y321" si="120">IF(S258="", "", S258+107)</f>
        <v>207</v>
      </c>
      <c r="Z258">
        <f t="shared" ref="Z258:Z321" si="121">IF(S258="", "", S258+107)</f>
        <v>207</v>
      </c>
      <c r="AA258">
        <f t="shared" ref="AA258:AA321" si="122">IF(S258="", "", INT(INT(S258*2 + 31)/2) + 60)</f>
        <v>175</v>
      </c>
      <c r="AB258">
        <f t="shared" ref="AB258:AB321" si="123">IF(S258="", "", INT(INT(S258*2 + 31)/2) + 60)</f>
        <v>175</v>
      </c>
      <c r="AC258">
        <f t="shared" ref="AC258:AC321" si="124">IF(S258="", "", S258 + 60)</f>
        <v>160</v>
      </c>
      <c r="AD258">
        <f t="shared" ref="AD258:AD321" si="125">IF(T258="","",INT((T258+52)*1.1))</f>
        <v>112</v>
      </c>
      <c r="AE258">
        <f t="shared" ref="AE258:AE321" si="126">IF(T258="","",T258+52)</f>
        <v>102</v>
      </c>
      <c r="AF258">
        <f t="shared" ref="AF258:AF321" si="127">IF(T258="", "", INT((T258*2 + 31)/2) + 5)</f>
        <v>70</v>
      </c>
      <c r="AG258">
        <f t="shared" ref="AG258:AG321" si="128">IF(T258="", "", INT((INT((T258*2 + 31)/2) + 5)*0.9) )</f>
        <v>63</v>
      </c>
      <c r="AH258">
        <f t="shared" ref="AH258:AH321" si="129">IF(T258="", "", INT((T258 + 5) * 0.9))</f>
        <v>49</v>
      </c>
      <c r="AI258">
        <f t="shared" ref="AI258:AI321" si="130">IF(U258="","",INT((U258+52)*1.1))</f>
        <v>145</v>
      </c>
      <c r="AJ258">
        <f t="shared" ref="AJ258:AJ321" si="131">IF(U258="","",U258+52)</f>
        <v>132</v>
      </c>
      <c r="AK258">
        <f t="shared" ref="AK258:AK321" si="132">IF(U258="", "", INT((U258*2 + 31)/2) + 5)</f>
        <v>100</v>
      </c>
      <c r="AL258">
        <f t="shared" ref="AL258:AL321" si="133">IF(U258="", "", INT((INT((U258*2 + 31)/2) + 5)*0.9) )</f>
        <v>90</v>
      </c>
      <c r="AM258">
        <f t="shared" ref="AM258:AM321" si="134">IF(U258="", "", INT((U258 + 5) * 0.9))</f>
        <v>76</v>
      </c>
      <c r="AN258">
        <f t="shared" ref="AN258:AN321" si="135">IF(V258="","",INT((V258+52)*1.1))</f>
        <v>123</v>
      </c>
      <c r="AO258">
        <f t="shared" ref="AO258:AO321" si="136">IF(V258="","",V258+52)</f>
        <v>112</v>
      </c>
      <c r="AP258">
        <f t="shared" ref="AP258:AP321" si="137">IF(V258="", "", INT((V258*2 + 31)/2) + 5)</f>
        <v>80</v>
      </c>
      <c r="AQ258">
        <f t="shared" ref="AQ258:AQ321" si="138">IF(V258="", "", INT((INT((V258*2 + 31)/2) + 5)*0.9) )</f>
        <v>72</v>
      </c>
      <c r="AR258">
        <f t="shared" ref="AR258:AR321" si="139">IF(V258="", "", INT((V258 + 5) * 0.9))</f>
        <v>58</v>
      </c>
      <c r="AS258">
        <f t="shared" ref="AS258:AS321" si="140">IF(W258="","",INT((W258+52)*1.1))</f>
        <v>145</v>
      </c>
      <c r="AT258">
        <f t="shared" ref="AT258:AT321" si="141">IF(W258="","",W258+52)</f>
        <v>132</v>
      </c>
      <c r="AU258">
        <f t="shared" ref="AU258:AU321" si="142">IF(W258="", "", INT((W258*2 + 31)/2) + 5)</f>
        <v>100</v>
      </c>
      <c r="AV258">
        <f t="shared" ref="AV258:AV321" si="143">IF(W258="", "", INT((INT((W258*2 + 31)/2) + 5)*0.9) )</f>
        <v>90</v>
      </c>
      <c r="AW258">
        <f t="shared" ref="AW258:AW321" si="144">IF(W258="", "", INT((W258 + 5) * 0.9))</f>
        <v>76</v>
      </c>
      <c r="AX258">
        <f t="shared" ref="AX258:AX321" si="145">IF(X258="","",INT((X258+52)*1.1))</f>
        <v>112</v>
      </c>
      <c r="AY258">
        <f t="shared" ref="AY258:AY321" si="146">IF(X258="","",X258+52)</f>
        <v>102</v>
      </c>
      <c r="AZ258">
        <f t="shared" ref="AZ258:AZ321" si="147">IF(X258="", "", INT((X258*2 + 31)/2) + 5)</f>
        <v>70</v>
      </c>
      <c r="BA258">
        <f t="shared" ref="BA258:BA321" si="148">IF(X258="", "", INT((INT((X258*2 + 31)/2) + 5)*0.9) )</f>
        <v>63</v>
      </c>
      <c r="BB258">
        <f t="shared" ref="BB258:BB321" si="149">IF(X258="", "", INT((X258 + 5) * 0.9))</f>
        <v>49</v>
      </c>
    </row>
    <row r="259" spans="1:54" x14ac:dyDescent="0.15">
      <c r="A259">
        <v>168</v>
      </c>
      <c r="B259" t="s">
        <v>970</v>
      </c>
      <c r="C259">
        <v>185</v>
      </c>
      <c r="D259">
        <v>0</v>
      </c>
      <c r="E259" t="s">
        <v>971</v>
      </c>
      <c r="G259" t="s">
        <v>971</v>
      </c>
      <c r="H259" t="s">
        <v>972</v>
      </c>
      <c r="J259" t="s">
        <v>973</v>
      </c>
      <c r="K259">
        <v>38</v>
      </c>
      <c r="L259">
        <v>1.2</v>
      </c>
      <c r="M259" t="s">
        <v>371</v>
      </c>
      <c r="O259" t="s">
        <v>435</v>
      </c>
      <c r="P259" t="s">
        <v>434</v>
      </c>
      <c r="Q259" t="s">
        <v>736</v>
      </c>
      <c r="R259">
        <v>9</v>
      </c>
      <c r="S259">
        <v>70</v>
      </c>
      <c r="T259">
        <v>100</v>
      </c>
      <c r="U259">
        <v>115</v>
      </c>
      <c r="V259">
        <v>30</v>
      </c>
      <c r="W259">
        <v>65</v>
      </c>
      <c r="X259">
        <v>30</v>
      </c>
      <c r="Y259">
        <f t="shared" si="120"/>
        <v>177</v>
      </c>
      <c r="Z259">
        <f t="shared" si="121"/>
        <v>177</v>
      </c>
      <c r="AA259">
        <f t="shared" si="122"/>
        <v>145</v>
      </c>
      <c r="AB259">
        <f t="shared" si="123"/>
        <v>145</v>
      </c>
      <c r="AC259">
        <f t="shared" si="124"/>
        <v>130</v>
      </c>
      <c r="AD259">
        <f t="shared" si="125"/>
        <v>167</v>
      </c>
      <c r="AE259">
        <f t="shared" si="126"/>
        <v>152</v>
      </c>
      <c r="AF259">
        <f t="shared" si="127"/>
        <v>120</v>
      </c>
      <c r="AG259">
        <f t="shared" si="128"/>
        <v>108</v>
      </c>
      <c r="AH259">
        <f t="shared" si="129"/>
        <v>94</v>
      </c>
      <c r="AI259">
        <f t="shared" si="130"/>
        <v>183</v>
      </c>
      <c r="AJ259">
        <f t="shared" si="131"/>
        <v>167</v>
      </c>
      <c r="AK259">
        <f t="shared" si="132"/>
        <v>135</v>
      </c>
      <c r="AL259">
        <f t="shared" si="133"/>
        <v>121</v>
      </c>
      <c r="AM259">
        <f t="shared" si="134"/>
        <v>108</v>
      </c>
      <c r="AN259">
        <f t="shared" si="135"/>
        <v>90</v>
      </c>
      <c r="AO259">
        <f t="shared" si="136"/>
        <v>82</v>
      </c>
      <c r="AP259">
        <f t="shared" si="137"/>
        <v>50</v>
      </c>
      <c r="AQ259">
        <f t="shared" si="138"/>
        <v>45</v>
      </c>
      <c r="AR259">
        <f t="shared" si="139"/>
        <v>31</v>
      </c>
      <c r="AS259">
        <f t="shared" si="140"/>
        <v>128</v>
      </c>
      <c r="AT259">
        <f t="shared" si="141"/>
        <v>117</v>
      </c>
      <c r="AU259">
        <f t="shared" si="142"/>
        <v>85</v>
      </c>
      <c r="AV259">
        <f t="shared" si="143"/>
        <v>76</v>
      </c>
      <c r="AW259">
        <f t="shared" si="144"/>
        <v>63</v>
      </c>
      <c r="AX259">
        <f t="shared" si="145"/>
        <v>90</v>
      </c>
      <c r="AY259">
        <f t="shared" si="146"/>
        <v>82</v>
      </c>
      <c r="AZ259">
        <f t="shared" si="147"/>
        <v>50</v>
      </c>
      <c r="BA259">
        <f t="shared" si="148"/>
        <v>45</v>
      </c>
      <c r="BB259">
        <f t="shared" si="149"/>
        <v>31</v>
      </c>
    </row>
    <row r="260" spans="1:54" x14ac:dyDescent="0.15">
      <c r="A260">
        <v>169</v>
      </c>
      <c r="B260" t="s">
        <v>974</v>
      </c>
      <c r="C260">
        <v>186</v>
      </c>
      <c r="D260">
        <v>0</v>
      </c>
      <c r="E260" t="s">
        <v>975</v>
      </c>
      <c r="G260" t="s">
        <v>975</v>
      </c>
      <c r="H260" t="s">
        <v>976</v>
      </c>
      <c r="J260" t="s">
        <v>977</v>
      </c>
      <c r="K260">
        <v>33.9</v>
      </c>
      <c r="L260">
        <v>1.1000000000000001</v>
      </c>
      <c r="M260" t="s">
        <v>71</v>
      </c>
      <c r="O260" t="s">
        <v>383</v>
      </c>
      <c r="P260" t="s">
        <v>289</v>
      </c>
      <c r="Q260" t="s">
        <v>978</v>
      </c>
      <c r="R260">
        <v>9</v>
      </c>
      <c r="S260">
        <v>90</v>
      </c>
      <c r="T260">
        <v>75</v>
      </c>
      <c r="U260">
        <v>75</v>
      </c>
      <c r="V260">
        <v>90</v>
      </c>
      <c r="W260">
        <v>100</v>
      </c>
      <c r="X260">
        <v>70</v>
      </c>
      <c r="Y260">
        <f t="shared" si="120"/>
        <v>197</v>
      </c>
      <c r="Z260">
        <f t="shared" si="121"/>
        <v>197</v>
      </c>
      <c r="AA260">
        <f t="shared" si="122"/>
        <v>165</v>
      </c>
      <c r="AB260">
        <f t="shared" si="123"/>
        <v>165</v>
      </c>
      <c r="AC260">
        <f t="shared" si="124"/>
        <v>150</v>
      </c>
      <c r="AD260">
        <f t="shared" si="125"/>
        <v>139</v>
      </c>
      <c r="AE260">
        <f t="shared" si="126"/>
        <v>127</v>
      </c>
      <c r="AF260">
        <f t="shared" si="127"/>
        <v>95</v>
      </c>
      <c r="AG260">
        <f t="shared" si="128"/>
        <v>85</v>
      </c>
      <c r="AH260">
        <f t="shared" si="129"/>
        <v>72</v>
      </c>
      <c r="AI260">
        <f t="shared" si="130"/>
        <v>139</v>
      </c>
      <c r="AJ260">
        <f t="shared" si="131"/>
        <v>127</v>
      </c>
      <c r="AK260">
        <f t="shared" si="132"/>
        <v>95</v>
      </c>
      <c r="AL260">
        <f t="shared" si="133"/>
        <v>85</v>
      </c>
      <c r="AM260">
        <f t="shared" si="134"/>
        <v>72</v>
      </c>
      <c r="AN260">
        <f t="shared" si="135"/>
        <v>156</v>
      </c>
      <c r="AO260">
        <f t="shared" si="136"/>
        <v>142</v>
      </c>
      <c r="AP260">
        <f t="shared" si="137"/>
        <v>110</v>
      </c>
      <c r="AQ260">
        <f t="shared" si="138"/>
        <v>99</v>
      </c>
      <c r="AR260">
        <f t="shared" si="139"/>
        <v>85</v>
      </c>
      <c r="AS260">
        <f t="shared" si="140"/>
        <v>167</v>
      </c>
      <c r="AT260">
        <f t="shared" si="141"/>
        <v>152</v>
      </c>
      <c r="AU260">
        <f t="shared" si="142"/>
        <v>120</v>
      </c>
      <c r="AV260">
        <f t="shared" si="143"/>
        <v>108</v>
      </c>
      <c r="AW260">
        <f t="shared" si="144"/>
        <v>94</v>
      </c>
      <c r="AX260">
        <f t="shared" si="145"/>
        <v>134</v>
      </c>
      <c r="AY260">
        <f t="shared" si="146"/>
        <v>122</v>
      </c>
      <c r="AZ260">
        <f t="shared" si="147"/>
        <v>90</v>
      </c>
      <c r="BA260">
        <f t="shared" si="148"/>
        <v>81</v>
      </c>
      <c r="BB260">
        <f t="shared" si="149"/>
        <v>67</v>
      </c>
    </row>
    <row r="261" spans="1:54" x14ac:dyDescent="0.15">
      <c r="A261">
        <v>170</v>
      </c>
      <c r="B261" t="s">
        <v>979</v>
      </c>
      <c r="C261">
        <v>187</v>
      </c>
      <c r="D261">
        <v>0</v>
      </c>
      <c r="E261" t="s">
        <v>980</v>
      </c>
      <c r="G261" t="s">
        <v>980</v>
      </c>
      <c r="H261" t="s">
        <v>981</v>
      </c>
      <c r="J261" t="s">
        <v>982</v>
      </c>
      <c r="K261">
        <v>0.5</v>
      </c>
      <c r="L261">
        <v>0.4</v>
      </c>
      <c r="M261" t="s">
        <v>26</v>
      </c>
      <c r="N261" t="s">
        <v>57</v>
      </c>
      <c r="O261" t="s">
        <v>29</v>
      </c>
      <c r="P261" t="s">
        <v>660</v>
      </c>
      <c r="Q261" t="s">
        <v>269</v>
      </c>
      <c r="R261">
        <v>9</v>
      </c>
      <c r="S261">
        <v>35</v>
      </c>
      <c r="T261">
        <v>35</v>
      </c>
      <c r="U261">
        <v>40</v>
      </c>
      <c r="V261">
        <v>35</v>
      </c>
      <c r="W261">
        <v>55</v>
      </c>
      <c r="X261">
        <v>50</v>
      </c>
      <c r="Y261">
        <f t="shared" si="120"/>
        <v>142</v>
      </c>
      <c r="Z261">
        <f t="shared" si="121"/>
        <v>142</v>
      </c>
      <c r="AA261">
        <f t="shared" si="122"/>
        <v>110</v>
      </c>
      <c r="AB261">
        <f t="shared" si="123"/>
        <v>110</v>
      </c>
      <c r="AC261">
        <f t="shared" si="124"/>
        <v>95</v>
      </c>
      <c r="AD261">
        <f t="shared" si="125"/>
        <v>95</v>
      </c>
      <c r="AE261">
        <f t="shared" si="126"/>
        <v>87</v>
      </c>
      <c r="AF261">
        <f t="shared" si="127"/>
        <v>55</v>
      </c>
      <c r="AG261">
        <f t="shared" si="128"/>
        <v>49</v>
      </c>
      <c r="AH261">
        <f t="shared" si="129"/>
        <v>36</v>
      </c>
      <c r="AI261">
        <f t="shared" si="130"/>
        <v>101</v>
      </c>
      <c r="AJ261">
        <f t="shared" si="131"/>
        <v>92</v>
      </c>
      <c r="AK261">
        <f t="shared" si="132"/>
        <v>60</v>
      </c>
      <c r="AL261">
        <f t="shared" si="133"/>
        <v>54</v>
      </c>
      <c r="AM261">
        <f t="shared" si="134"/>
        <v>40</v>
      </c>
      <c r="AN261">
        <f t="shared" si="135"/>
        <v>95</v>
      </c>
      <c r="AO261">
        <f t="shared" si="136"/>
        <v>87</v>
      </c>
      <c r="AP261">
        <f t="shared" si="137"/>
        <v>55</v>
      </c>
      <c r="AQ261">
        <f t="shared" si="138"/>
        <v>49</v>
      </c>
      <c r="AR261">
        <f t="shared" si="139"/>
        <v>36</v>
      </c>
      <c r="AS261">
        <f t="shared" si="140"/>
        <v>117</v>
      </c>
      <c r="AT261">
        <f t="shared" si="141"/>
        <v>107</v>
      </c>
      <c r="AU261">
        <f t="shared" si="142"/>
        <v>75</v>
      </c>
      <c r="AV261">
        <f t="shared" si="143"/>
        <v>67</v>
      </c>
      <c r="AW261">
        <f t="shared" si="144"/>
        <v>54</v>
      </c>
      <c r="AX261">
        <f t="shared" si="145"/>
        <v>112</v>
      </c>
      <c r="AY261">
        <f t="shared" si="146"/>
        <v>102</v>
      </c>
      <c r="AZ261">
        <f t="shared" si="147"/>
        <v>70</v>
      </c>
      <c r="BA261">
        <f t="shared" si="148"/>
        <v>63</v>
      </c>
      <c r="BB261">
        <f t="shared" si="149"/>
        <v>49</v>
      </c>
    </row>
    <row r="262" spans="1:54" x14ac:dyDescent="0.15">
      <c r="A262">
        <v>171</v>
      </c>
      <c r="B262" t="s">
        <v>983</v>
      </c>
      <c r="C262">
        <v>188</v>
      </c>
      <c r="D262">
        <v>0</v>
      </c>
      <c r="E262" t="s">
        <v>984</v>
      </c>
      <c r="G262" t="s">
        <v>984</v>
      </c>
      <c r="H262" t="s">
        <v>985</v>
      </c>
      <c r="J262" t="s">
        <v>982</v>
      </c>
      <c r="K262">
        <v>1</v>
      </c>
      <c r="L262">
        <v>0.6</v>
      </c>
      <c r="M262" t="s">
        <v>26</v>
      </c>
      <c r="N262" t="s">
        <v>57</v>
      </c>
      <c r="O262" t="s">
        <v>29</v>
      </c>
      <c r="P262" t="s">
        <v>660</v>
      </c>
      <c r="Q262" t="s">
        <v>269</v>
      </c>
      <c r="R262">
        <v>9</v>
      </c>
      <c r="S262">
        <v>55</v>
      </c>
      <c r="T262">
        <v>45</v>
      </c>
      <c r="U262">
        <v>50</v>
      </c>
      <c r="V262">
        <v>45</v>
      </c>
      <c r="W262">
        <v>65</v>
      </c>
      <c r="X262">
        <v>80</v>
      </c>
      <c r="Y262">
        <f t="shared" si="120"/>
        <v>162</v>
      </c>
      <c r="Z262">
        <f t="shared" si="121"/>
        <v>162</v>
      </c>
      <c r="AA262">
        <f t="shared" si="122"/>
        <v>130</v>
      </c>
      <c r="AB262">
        <f t="shared" si="123"/>
        <v>130</v>
      </c>
      <c r="AC262">
        <f t="shared" si="124"/>
        <v>115</v>
      </c>
      <c r="AD262">
        <f t="shared" si="125"/>
        <v>106</v>
      </c>
      <c r="AE262">
        <f t="shared" si="126"/>
        <v>97</v>
      </c>
      <c r="AF262">
        <f t="shared" si="127"/>
        <v>65</v>
      </c>
      <c r="AG262">
        <f t="shared" si="128"/>
        <v>58</v>
      </c>
      <c r="AH262">
        <f t="shared" si="129"/>
        <v>45</v>
      </c>
      <c r="AI262">
        <f t="shared" si="130"/>
        <v>112</v>
      </c>
      <c r="AJ262">
        <f t="shared" si="131"/>
        <v>102</v>
      </c>
      <c r="AK262">
        <f t="shared" si="132"/>
        <v>70</v>
      </c>
      <c r="AL262">
        <f t="shared" si="133"/>
        <v>63</v>
      </c>
      <c r="AM262">
        <f t="shared" si="134"/>
        <v>49</v>
      </c>
      <c r="AN262">
        <f t="shared" si="135"/>
        <v>106</v>
      </c>
      <c r="AO262">
        <f t="shared" si="136"/>
        <v>97</v>
      </c>
      <c r="AP262">
        <f t="shared" si="137"/>
        <v>65</v>
      </c>
      <c r="AQ262">
        <f t="shared" si="138"/>
        <v>58</v>
      </c>
      <c r="AR262">
        <f t="shared" si="139"/>
        <v>45</v>
      </c>
      <c r="AS262">
        <f t="shared" si="140"/>
        <v>128</v>
      </c>
      <c r="AT262">
        <f t="shared" si="141"/>
        <v>117</v>
      </c>
      <c r="AU262">
        <f t="shared" si="142"/>
        <v>85</v>
      </c>
      <c r="AV262">
        <f t="shared" si="143"/>
        <v>76</v>
      </c>
      <c r="AW262">
        <f t="shared" si="144"/>
        <v>63</v>
      </c>
      <c r="AX262">
        <f t="shared" si="145"/>
        <v>145</v>
      </c>
      <c r="AY262">
        <f t="shared" si="146"/>
        <v>132</v>
      </c>
      <c r="AZ262">
        <f t="shared" si="147"/>
        <v>100</v>
      </c>
      <c r="BA262">
        <f t="shared" si="148"/>
        <v>90</v>
      </c>
      <c r="BB262">
        <f t="shared" si="149"/>
        <v>76</v>
      </c>
    </row>
    <row r="263" spans="1:54" x14ac:dyDescent="0.15">
      <c r="A263">
        <v>172</v>
      </c>
      <c r="B263" t="s">
        <v>986</v>
      </c>
      <c r="C263">
        <v>189</v>
      </c>
      <c r="D263">
        <v>0</v>
      </c>
      <c r="E263" t="s">
        <v>987</v>
      </c>
      <c r="G263" t="s">
        <v>987</v>
      </c>
      <c r="H263" t="s">
        <v>988</v>
      </c>
      <c r="J263" t="s">
        <v>982</v>
      </c>
      <c r="K263">
        <v>3</v>
      </c>
      <c r="L263">
        <v>0.8</v>
      </c>
      <c r="M263" t="s">
        <v>26</v>
      </c>
      <c r="N263" t="s">
        <v>57</v>
      </c>
      <c r="O263" t="s">
        <v>29</v>
      </c>
      <c r="P263" t="s">
        <v>660</v>
      </c>
      <c r="Q263" t="s">
        <v>269</v>
      </c>
      <c r="R263">
        <v>9</v>
      </c>
      <c r="S263">
        <v>75</v>
      </c>
      <c r="T263">
        <v>55</v>
      </c>
      <c r="U263">
        <v>70</v>
      </c>
      <c r="V263">
        <v>55</v>
      </c>
      <c r="W263">
        <v>95</v>
      </c>
      <c r="X263">
        <v>110</v>
      </c>
      <c r="Y263">
        <f t="shared" si="120"/>
        <v>182</v>
      </c>
      <c r="Z263">
        <f t="shared" si="121"/>
        <v>182</v>
      </c>
      <c r="AA263">
        <f t="shared" si="122"/>
        <v>150</v>
      </c>
      <c r="AB263">
        <f t="shared" si="123"/>
        <v>150</v>
      </c>
      <c r="AC263">
        <f t="shared" si="124"/>
        <v>135</v>
      </c>
      <c r="AD263">
        <f t="shared" si="125"/>
        <v>117</v>
      </c>
      <c r="AE263">
        <f t="shared" si="126"/>
        <v>107</v>
      </c>
      <c r="AF263">
        <f t="shared" si="127"/>
        <v>75</v>
      </c>
      <c r="AG263">
        <f t="shared" si="128"/>
        <v>67</v>
      </c>
      <c r="AH263">
        <f t="shared" si="129"/>
        <v>54</v>
      </c>
      <c r="AI263">
        <f t="shared" si="130"/>
        <v>134</v>
      </c>
      <c r="AJ263">
        <f t="shared" si="131"/>
        <v>122</v>
      </c>
      <c r="AK263">
        <f t="shared" si="132"/>
        <v>90</v>
      </c>
      <c r="AL263">
        <f t="shared" si="133"/>
        <v>81</v>
      </c>
      <c r="AM263">
        <f t="shared" si="134"/>
        <v>67</v>
      </c>
      <c r="AN263">
        <f t="shared" si="135"/>
        <v>117</v>
      </c>
      <c r="AO263">
        <f t="shared" si="136"/>
        <v>107</v>
      </c>
      <c r="AP263">
        <f t="shared" si="137"/>
        <v>75</v>
      </c>
      <c r="AQ263">
        <f t="shared" si="138"/>
        <v>67</v>
      </c>
      <c r="AR263">
        <f t="shared" si="139"/>
        <v>54</v>
      </c>
      <c r="AS263">
        <f t="shared" si="140"/>
        <v>161</v>
      </c>
      <c r="AT263">
        <f t="shared" si="141"/>
        <v>147</v>
      </c>
      <c r="AU263">
        <f t="shared" si="142"/>
        <v>115</v>
      </c>
      <c r="AV263">
        <f t="shared" si="143"/>
        <v>103</v>
      </c>
      <c r="AW263">
        <f t="shared" si="144"/>
        <v>90</v>
      </c>
      <c r="AX263">
        <f t="shared" si="145"/>
        <v>178</v>
      </c>
      <c r="AY263">
        <f t="shared" si="146"/>
        <v>162</v>
      </c>
      <c r="AZ263">
        <f t="shared" si="147"/>
        <v>130</v>
      </c>
      <c r="BA263">
        <f t="shared" si="148"/>
        <v>117</v>
      </c>
      <c r="BB263">
        <f t="shared" si="149"/>
        <v>103</v>
      </c>
    </row>
    <row r="264" spans="1:54" x14ac:dyDescent="0.15">
      <c r="A264">
        <v>173</v>
      </c>
      <c r="B264" t="s">
        <v>989</v>
      </c>
      <c r="C264">
        <v>190</v>
      </c>
      <c r="D264">
        <v>0</v>
      </c>
      <c r="E264" t="s">
        <v>990</v>
      </c>
      <c r="G264" t="s">
        <v>990</v>
      </c>
      <c r="H264" t="s">
        <v>991</v>
      </c>
      <c r="J264" t="s">
        <v>992</v>
      </c>
      <c r="K264">
        <v>11.5</v>
      </c>
      <c r="L264">
        <v>0.8</v>
      </c>
      <c r="M264" t="s">
        <v>120</v>
      </c>
      <c r="O264" t="s">
        <v>92</v>
      </c>
      <c r="P264" t="s">
        <v>321</v>
      </c>
      <c r="Q264" t="s">
        <v>537</v>
      </c>
      <c r="R264">
        <v>9</v>
      </c>
      <c r="S264">
        <v>55</v>
      </c>
      <c r="T264">
        <v>70</v>
      </c>
      <c r="U264">
        <v>55</v>
      </c>
      <c r="V264">
        <v>40</v>
      </c>
      <c r="W264">
        <v>55</v>
      </c>
      <c r="X264">
        <v>85</v>
      </c>
      <c r="Y264">
        <f t="shared" si="120"/>
        <v>162</v>
      </c>
      <c r="Z264">
        <f t="shared" si="121"/>
        <v>162</v>
      </c>
      <c r="AA264">
        <f t="shared" si="122"/>
        <v>130</v>
      </c>
      <c r="AB264">
        <f t="shared" si="123"/>
        <v>130</v>
      </c>
      <c r="AC264">
        <f t="shared" si="124"/>
        <v>115</v>
      </c>
      <c r="AD264">
        <f t="shared" si="125"/>
        <v>134</v>
      </c>
      <c r="AE264">
        <f t="shared" si="126"/>
        <v>122</v>
      </c>
      <c r="AF264">
        <f t="shared" si="127"/>
        <v>90</v>
      </c>
      <c r="AG264">
        <f t="shared" si="128"/>
        <v>81</v>
      </c>
      <c r="AH264">
        <f t="shared" si="129"/>
        <v>67</v>
      </c>
      <c r="AI264">
        <f t="shared" si="130"/>
        <v>117</v>
      </c>
      <c r="AJ264">
        <f t="shared" si="131"/>
        <v>107</v>
      </c>
      <c r="AK264">
        <f t="shared" si="132"/>
        <v>75</v>
      </c>
      <c r="AL264">
        <f t="shared" si="133"/>
        <v>67</v>
      </c>
      <c r="AM264">
        <f t="shared" si="134"/>
        <v>54</v>
      </c>
      <c r="AN264">
        <f t="shared" si="135"/>
        <v>101</v>
      </c>
      <c r="AO264">
        <f t="shared" si="136"/>
        <v>92</v>
      </c>
      <c r="AP264">
        <f t="shared" si="137"/>
        <v>60</v>
      </c>
      <c r="AQ264">
        <f t="shared" si="138"/>
        <v>54</v>
      </c>
      <c r="AR264">
        <f t="shared" si="139"/>
        <v>40</v>
      </c>
      <c r="AS264">
        <f t="shared" si="140"/>
        <v>117</v>
      </c>
      <c r="AT264">
        <f t="shared" si="141"/>
        <v>107</v>
      </c>
      <c r="AU264">
        <f t="shared" si="142"/>
        <v>75</v>
      </c>
      <c r="AV264">
        <f t="shared" si="143"/>
        <v>67</v>
      </c>
      <c r="AW264">
        <f t="shared" si="144"/>
        <v>54</v>
      </c>
      <c r="AX264">
        <f t="shared" si="145"/>
        <v>150</v>
      </c>
      <c r="AY264">
        <f t="shared" si="146"/>
        <v>137</v>
      </c>
      <c r="AZ264">
        <f t="shared" si="147"/>
        <v>105</v>
      </c>
      <c r="BA264">
        <f t="shared" si="148"/>
        <v>94</v>
      </c>
      <c r="BB264">
        <f t="shared" si="149"/>
        <v>81</v>
      </c>
    </row>
    <row r="265" spans="1:54" x14ac:dyDescent="0.15">
      <c r="A265">
        <v>174</v>
      </c>
      <c r="B265" t="s">
        <v>993</v>
      </c>
      <c r="C265">
        <v>191</v>
      </c>
      <c r="D265">
        <v>0</v>
      </c>
      <c r="E265" t="s">
        <v>994</v>
      </c>
      <c r="G265" t="s">
        <v>994</v>
      </c>
      <c r="H265" t="s">
        <v>995</v>
      </c>
      <c r="J265" t="s">
        <v>25</v>
      </c>
      <c r="K265">
        <v>1.8</v>
      </c>
      <c r="L265">
        <v>0.3</v>
      </c>
      <c r="M265" t="s">
        <v>26</v>
      </c>
      <c r="O265" t="s">
        <v>29</v>
      </c>
      <c r="P265" t="s">
        <v>49</v>
      </c>
      <c r="Q265" t="s">
        <v>504</v>
      </c>
      <c r="R265">
        <v>9</v>
      </c>
      <c r="S265">
        <v>30</v>
      </c>
      <c r="T265">
        <v>30</v>
      </c>
      <c r="U265">
        <v>30</v>
      </c>
      <c r="V265">
        <v>30</v>
      </c>
      <c r="W265">
        <v>30</v>
      </c>
      <c r="X265">
        <v>30</v>
      </c>
      <c r="Y265">
        <f t="shared" si="120"/>
        <v>137</v>
      </c>
      <c r="Z265">
        <f t="shared" si="121"/>
        <v>137</v>
      </c>
      <c r="AA265">
        <f t="shared" si="122"/>
        <v>105</v>
      </c>
      <c r="AB265">
        <f t="shared" si="123"/>
        <v>105</v>
      </c>
      <c r="AC265">
        <f t="shared" si="124"/>
        <v>90</v>
      </c>
      <c r="AD265">
        <f t="shared" si="125"/>
        <v>90</v>
      </c>
      <c r="AE265">
        <f t="shared" si="126"/>
        <v>82</v>
      </c>
      <c r="AF265">
        <f t="shared" si="127"/>
        <v>50</v>
      </c>
      <c r="AG265">
        <f t="shared" si="128"/>
        <v>45</v>
      </c>
      <c r="AH265">
        <f t="shared" si="129"/>
        <v>31</v>
      </c>
      <c r="AI265">
        <f t="shared" si="130"/>
        <v>90</v>
      </c>
      <c r="AJ265">
        <f t="shared" si="131"/>
        <v>82</v>
      </c>
      <c r="AK265">
        <f t="shared" si="132"/>
        <v>50</v>
      </c>
      <c r="AL265">
        <f t="shared" si="133"/>
        <v>45</v>
      </c>
      <c r="AM265">
        <f t="shared" si="134"/>
        <v>31</v>
      </c>
      <c r="AN265">
        <f t="shared" si="135"/>
        <v>90</v>
      </c>
      <c r="AO265">
        <f t="shared" si="136"/>
        <v>82</v>
      </c>
      <c r="AP265">
        <f t="shared" si="137"/>
        <v>50</v>
      </c>
      <c r="AQ265">
        <f t="shared" si="138"/>
        <v>45</v>
      </c>
      <c r="AR265">
        <f t="shared" si="139"/>
        <v>31</v>
      </c>
      <c r="AS265">
        <f t="shared" si="140"/>
        <v>90</v>
      </c>
      <c r="AT265">
        <f t="shared" si="141"/>
        <v>82</v>
      </c>
      <c r="AU265">
        <f t="shared" si="142"/>
        <v>50</v>
      </c>
      <c r="AV265">
        <f t="shared" si="143"/>
        <v>45</v>
      </c>
      <c r="AW265">
        <f t="shared" si="144"/>
        <v>31</v>
      </c>
      <c r="AX265">
        <f t="shared" si="145"/>
        <v>90</v>
      </c>
      <c r="AY265">
        <f t="shared" si="146"/>
        <v>82</v>
      </c>
      <c r="AZ265">
        <f t="shared" si="147"/>
        <v>50</v>
      </c>
      <c r="BA265">
        <f t="shared" si="148"/>
        <v>45</v>
      </c>
      <c r="BB265">
        <f t="shared" si="149"/>
        <v>31</v>
      </c>
    </row>
    <row r="266" spans="1:54" x14ac:dyDescent="0.15">
      <c r="A266">
        <v>175</v>
      </c>
      <c r="B266" t="s">
        <v>996</v>
      </c>
      <c r="C266">
        <v>192</v>
      </c>
      <c r="D266">
        <v>0</v>
      </c>
      <c r="E266" t="s">
        <v>997</v>
      </c>
      <c r="G266" t="s">
        <v>997</v>
      </c>
      <c r="H266" t="s">
        <v>998</v>
      </c>
      <c r="J266" t="s">
        <v>999</v>
      </c>
      <c r="K266">
        <v>8.5</v>
      </c>
      <c r="L266">
        <v>0.8</v>
      </c>
      <c r="M266" t="s">
        <v>26</v>
      </c>
      <c r="O266" t="s">
        <v>29</v>
      </c>
      <c r="P266" t="s">
        <v>49</v>
      </c>
      <c r="Q266" t="s">
        <v>504</v>
      </c>
      <c r="R266">
        <v>9</v>
      </c>
      <c r="S266">
        <v>75</v>
      </c>
      <c r="T266">
        <v>75</v>
      </c>
      <c r="U266">
        <v>55</v>
      </c>
      <c r="V266">
        <v>105</v>
      </c>
      <c r="W266">
        <v>85</v>
      </c>
      <c r="X266">
        <v>30</v>
      </c>
      <c r="Y266">
        <f t="shared" si="120"/>
        <v>182</v>
      </c>
      <c r="Z266">
        <f t="shared" si="121"/>
        <v>182</v>
      </c>
      <c r="AA266">
        <f t="shared" si="122"/>
        <v>150</v>
      </c>
      <c r="AB266">
        <f t="shared" si="123"/>
        <v>150</v>
      </c>
      <c r="AC266">
        <f t="shared" si="124"/>
        <v>135</v>
      </c>
      <c r="AD266">
        <f t="shared" si="125"/>
        <v>139</v>
      </c>
      <c r="AE266">
        <f t="shared" si="126"/>
        <v>127</v>
      </c>
      <c r="AF266">
        <f t="shared" si="127"/>
        <v>95</v>
      </c>
      <c r="AG266">
        <f t="shared" si="128"/>
        <v>85</v>
      </c>
      <c r="AH266">
        <f t="shared" si="129"/>
        <v>72</v>
      </c>
      <c r="AI266">
        <f t="shared" si="130"/>
        <v>117</v>
      </c>
      <c r="AJ266">
        <f t="shared" si="131"/>
        <v>107</v>
      </c>
      <c r="AK266">
        <f t="shared" si="132"/>
        <v>75</v>
      </c>
      <c r="AL266">
        <f t="shared" si="133"/>
        <v>67</v>
      </c>
      <c r="AM266">
        <f t="shared" si="134"/>
        <v>54</v>
      </c>
      <c r="AN266">
        <f t="shared" si="135"/>
        <v>172</v>
      </c>
      <c r="AO266">
        <f t="shared" si="136"/>
        <v>157</v>
      </c>
      <c r="AP266">
        <f t="shared" si="137"/>
        <v>125</v>
      </c>
      <c r="AQ266">
        <f t="shared" si="138"/>
        <v>112</v>
      </c>
      <c r="AR266">
        <f t="shared" si="139"/>
        <v>99</v>
      </c>
      <c r="AS266">
        <f t="shared" si="140"/>
        <v>150</v>
      </c>
      <c r="AT266">
        <f t="shared" si="141"/>
        <v>137</v>
      </c>
      <c r="AU266">
        <f t="shared" si="142"/>
        <v>105</v>
      </c>
      <c r="AV266">
        <f t="shared" si="143"/>
        <v>94</v>
      </c>
      <c r="AW266">
        <f t="shared" si="144"/>
        <v>81</v>
      </c>
      <c r="AX266">
        <f t="shared" si="145"/>
        <v>90</v>
      </c>
      <c r="AY266">
        <f t="shared" si="146"/>
        <v>82</v>
      </c>
      <c r="AZ266">
        <f t="shared" si="147"/>
        <v>50</v>
      </c>
      <c r="BA266">
        <f t="shared" si="148"/>
        <v>45</v>
      </c>
      <c r="BB266">
        <f t="shared" si="149"/>
        <v>31</v>
      </c>
    </row>
    <row r="267" spans="1:54" x14ac:dyDescent="0.15">
      <c r="A267">
        <v>176</v>
      </c>
      <c r="B267" t="s">
        <v>1000</v>
      </c>
      <c r="C267">
        <v>193</v>
      </c>
      <c r="D267">
        <v>0</v>
      </c>
      <c r="E267" t="s">
        <v>1001</v>
      </c>
      <c r="G267" t="s">
        <v>1001</v>
      </c>
      <c r="H267" t="s">
        <v>1002</v>
      </c>
      <c r="J267" t="s">
        <v>1003</v>
      </c>
      <c r="K267">
        <v>38</v>
      </c>
      <c r="L267">
        <v>1.2</v>
      </c>
      <c r="M267" t="s">
        <v>90</v>
      </c>
      <c r="N267" t="s">
        <v>57</v>
      </c>
      <c r="O267" t="s">
        <v>1004</v>
      </c>
      <c r="P267" t="s">
        <v>100</v>
      </c>
      <c r="Q267" t="s">
        <v>264</v>
      </c>
      <c r="R267">
        <v>9</v>
      </c>
      <c r="S267">
        <v>65</v>
      </c>
      <c r="T267">
        <v>65</v>
      </c>
      <c r="U267">
        <v>45</v>
      </c>
      <c r="V267">
        <v>75</v>
      </c>
      <c r="W267">
        <v>45</v>
      </c>
      <c r="X267">
        <v>95</v>
      </c>
      <c r="Y267">
        <f t="shared" si="120"/>
        <v>172</v>
      </c>
      <c r="Z267">
        <f t="shared" si="121"/>
        <v>172</v>
      </c>
      <c r="AA267">
        <f t="shared" si="122"/>
        <v>140</v>
      </c>
      <c r="AB267">
        <f t="shared" si="123"/>
        <v>140</v>
      </c>
      <c r="AC267">
        <f t="shared" si="124"/>
        <v>125</v>
      </c>
      <c r="AD267">
        <f t="shared" si="125"/>
        <v>128</v>
      </c>
      <c r="AE267">
        <f t="shared" si="126"/>
        <v>117</v>
      </c>
      <c r="AF267">
        <f t="shared" si="127"/>
        <v>85</v>
      </c>
      <c r="AG267">
        <f t="shared" si="128"/>
        <v>76</v>
      </c>
      <c r="AH267">
        <f t="shared" si="129"/>
        <v>63</v>
      </c>
      <c r="AI267">
        <f t="shared" si="130"/>
        <v>106</v>
      </c>
      <c r="AJ267">
        <f t="shared" si="131"/>
        <v>97</v>
      </c>
      <c r="AK267">
        <f t="shared" si="132"/>
        <v>65</v>
      </c>
      <c r="AL267">
        <f t="shared" si="133"/>
        <v>58</v>
      </c>
      <c r="AM267">
        <f t="shared" si="134"/>
        <v>45</v>
      </c>
      <c r="AN267">
        <f t="shared" si="135"/>
        <v>139</v>
      </c>
      <c r="AO267">
        <f t="shared" si="136"/>
        <v>127</v>
      </c>
      <c r="AP267">
        <f t="shared" si="137"/>
        <v>95</v>
      </c>
      <c r="AQ267">
        <f t="shared" si="138"/>
        <v>85</v>
      </c>
      <c r="AR267">
        <f t="shared" si="139"/>
        <v>72</v>
      </c>
      <c r="AS267">
        <f t="shared" si="140"/>
        <v>106</v>
      </c>
      <c r="AT267">
        <f t="shared" si="141"/>
        <v>97</v>
      </c>
      <c r="AU267">
        <f t="shared" si="142"/>
        <v>65</v>
      </c>
      <c r="AV267">
        <f t="shared" si="143"/>
        <v>58</v>
      </c>
      <c r="AW267">
        <f t="shared" si="144"/>
        <v>45</v>
      </c>
      <c r="AX267">
        <f t="shared" si="145"/>
        <v>161</v>
      </c>
      <c r="AY267">
        <f t="shared" si="146"/>
        <v>147</v>
      </c>
      <c r="AZ267">
        <f t="shared" si="147"/>
        <v>115</v>
      </c>
      <c r="BA267">
        <f t="shared" si="148"/>
        <v>103</v>
      </c>
      <c r="BB267">
        <f t="shared" si="149"/>
        <v>90</v>
      </c>
    </row>
    <row r="268" spans="1:54" x14ac:dyDescent="0.15">
      <c r="A268">
        <v>177</v>
      </c>
      <c r="B268" t="s">
        <v>1005</v>
      </c>
      <c r="C268">
        <v>194</v>
      </c>
      <c r="D268">
        <v>0</v>
      </c>
      <c r="E268" t="s">
        <v>1006</v>
      </c>
      <c r="G268" t="s">
        <v>1006</v>
      </c>
      <c r="H268" t="s">
        <v>1007</v>
      </c>
      <c r="J268" t="s">
        <v>1008</v>
      </c>
      <c r="K268">
        <v>8.5</v>
      </c>
      <c r="L268">
        <v>0.4</v>
      </c>
      <c r="M268" t="s">
        <v>71</v>
      </c>
      <c r="N268" t="s">
        <v>196</v>
      </c>
      <c r="O268" t="s">
        <v>289</v>
      </c>
      <c r="P268" t="s">
        <v>383</v>
      </c>
      <c r="Q268" t="s">
        <v>240</v>
      </c>
      <c r="R268">
        <v>9</v>
      </c>
      <c r="S268">
        <v>55</v>
      </c>
      <c r="T268">
        <v>45</v>
      </c>
      <c r="U268">
        <v>45</v>
      </c>
      <c r="V268">
        <v>25</v>
      </c>
      <c r="W268">
        <v>25</v>
      </c>
      <c r="X268">
        <v>15</v>
      </c>
      <c r="Y268">
        <f t="shared" si="120"/>
        <v>162</v>
      </c>
      <c r="Z268">
        <f t="shared" si="121"/>
        <v>162</v>
      </c>
      <c r="AA268">
        <f t="shared" si="122"/>
        <v>130</v>
      </c>
      <c r="AB268">
        <f t="shared" si="123"/>
        <v>130</v>
      </c>
      <c r="AC268">
        <f t="shared" si="124"/>
        <v>115</v>
      </c>
      <c r="AD268">
        <f t="shared" si="125"/>
        <v>106</v>
      </c>
      <c r="AE268">
        <f t="shared" si="126"/>
        <v>97</v>
      </c>
      <c r="AF268">
        <f t="shared" si="127"/>
        <v>65</v>
      </c>
      <c r="AG268">
        <f t="shared" si="128"/>
        <v>58</v>
      </c>
      <c r="AH268">
        <f t="shared" si="129"/>
        <v>45</v>
      </c>
      <c r="AI268">
        <f t="shared" si="130"/>
        <v>106</v>
      </c>
      <c r="AJ268">
        <f t="shared" si="131"/>
        <v>97</v>
      </c>
      <c r="AK268">
        <f t="shared" si="132"/>
        <v>65</v>
      </c>
      <c r="AL268">
        <f t="shared" si="133"/>
        <v>58</v>
      </c>
      <c r="AM268">
        <f t="shared" si="134"/>
        <v>45</v>
      </c>
      <c r="AN268">
        <f t="shared" si="135"/>
        <v>84</v>
      </c>
      <c r="AO268">
        <f t="shared" si="136"/>
        <v>77</v>
      </c>
      <c r="AP268">
        <f t="shared" si="137"/>
        <v>45</v>
      </c>
      <c r="AQ268">
        <f t="shared" si="138"/>
        <v>40</v>
      </c>
      <c r="AR268">
        <f t="shared" si="139"/>
        <v>27</v>
      </c>
      <c r="AS268">
        <f t="shared" si="140"/>
        <v>84</v>
      </c>
      <c r="AT268">
        <f t="shared" si="141"/>
        <v>77</v>
      </c>
      <c r="AU268">
        <f t="shared" si="142"/>
        <v>45</v>
      </c>
      <c r="AV268">
        <f t="shared" si="143"/>
        <v>40</v>
      </c>
      <c r="AW268">
        <f t="shared" si="144"/>
        <v>27</v>
      </c>
      <c r="AX268">
        <f t="shared" si="145"/>
        <v>73</v>
      </c>
      <c r="AY268">
        <f t="shared" si="146"/>
        <v>67</v>
      </c>
      <c r="AZ268">
        <f t="shared" si="147"/>
        <v>35</v>
      </c>
      <c r="BA268">
        <f t="shared" si="148"/>
        <v>31</v>
      </c>
      <c r="BB268">
        <f t="shared" si="149"/>
        <v>18</v>
      </c>
    </row>
    <row r="269" spans="1:54" x14ac:dyDescent="0.15">
      <c r="A269">
        <v>178</v>
      </c>
      <c r="B269" t="s">
        <v>1009</v>
      </c>
      <c r="C269">
        <v>194</v>
      </c>
      <c r="D269">
        <v>1</v>
      </c>
      <c r="E269" t="s">
        <v>1006</v>
      </c>
      <c r="F269" t="s">
        <v>723</v>
      </c>
      <c r="G269" t="s">
        <v>1010</v>
      </c>
      <c r="H269" t="s">
        <v>1011</v>
      </c>
      <c r="J269" t="s">
        <v>1012</v>
      </c>
      <c r="K269">
        <v>11</v>
      </c>
      <c r="L269">
        <v>0.4</v>
      </c>
      <c r="M269" t="s">
        <v>27</v>
      </c>
      <c r="N269" t="s">
        <v>196</v>
      </c>
      <c r="O269" t="s">
        <v>215</v>
      </c>
      <c r="P269" t="s">
        <v>383</v>
      </c>
      <c r="Q269" t="s">
        <v>240</v>
      </c>
      <c r="R269">
        <v>9</v>
      </c>
      <c r="S269">
        <v>55</v>
      </c>
      <c r="T269">
        <v>45</v>
      </c>
      <c r="U269">
        <v>45</v>
      </c>
      <c r="V269">
        <v>25</v>
      </c>
      <c r="W269">
        <v>25</v>
      </c>
      <c r="X269">
        <v>15</v>
      </c>
      <c r="Y269">
        <f t="shared" si="120"/>
        <v>162</v>
      </c>
      <c r="Z269">
        <f t="shared" si="121"/>
        <v>162</v>
      </c>
      <c r="AA269">
        <f t="shared" si="122"/>
        <v>130</v>
      </c>
      <c r="AB269">
        <f t="shared" si="123"/>
        <v>130</v>
      </c>
      <c r="AC269">
        <f t="shared" si="124"/>
        <v>115</v>
      </c>
      <c r="AD269">
        <f t="shared" si="125"/>
        <v>106</v>
      </c>
      <c r="AE269">
        <f t="shared" si="126"/>
        <v>97</v>
      </c>
      <c r="AF269">
        <f t="shared" si="127"/>
        <v>65</v>
      </c>
      <c r="AG269">
        <f t="shared" si="128"/>
        <v>58</v>
      </c>
      <c r="AH269">
        <f t="shared" si="129"/>
        <v>45</v>
      </c>
      <c r="AI269">
        <f t="shared" si="130"/>
        <v>106</v>
      </c>
      <c r="AJ269">
        <f t="shared" si="131"/>
        <v>97</v>
      </c>
      <c r="AK269">
        <f t="shared" si="132"/>
        <v>65</v>
      </c>
      <c r="AL269">
        <f t="shared" si="133"/>
        <v>58</v>
      </c>
      <c r="AM269">
        <f t="shared" si="134"/>
        <v>45</v>
      </c>
      <c r="AN269">
        <f t="shared" si="135"/>
        <v>84</v>
      </c>
      <c r="AO269">
        <f t="shared" si="136"/>
        <v>77</v>
      </c>
      <c r="AP269">
        <f t="shared" si="137"/>
        <v>45</v>
      </c>
      <c r="AQ269">
        <f t="shared" si="138"/>
        <v>40</v>
      </c>
      <c r="AR269">
        <f t="shared" si="139"/>
        <v>27</v>
      </c>
      <c r="AS269">
        <f t="shared" si="140"/>
        <v>84</v>
      </c>
      <c r="AT269">
        <f t="shared" si="141"/>
        <v>77</v>
      </c>
      <c r="AU269">
        <f t="shared" si="142"/>
        <v>45</v>
      </c>
      <c r="AV269">
        <f t="shared" si="143"/>
        <v>40</v>
      </c>
      <c r="AW269">
        <f t="shared" si="144"/>
        <v>27</v>
      </c>
      <c r="AX269">
        <f t="shared" si="145"/>
        <v>73</v>
      </c>
      <c r="AY269">
        <f t="shared" si="146"/>
        <v>67</v>
      </c>
      <c r="AZ269">
        <f t="shared" si="147"/>
        <v>35</v>
      </c>
      <c r="BA269">
        <f t="shared" si="148"/>
        <v>31</v>
      </c>
      <c r="BB269">
        <f t="shared" si="149"/>
        <v>18</v>
      </c>
    </row>
    <row r="270" spans="1:54" x14ac:dyDescent="0.15">
      <c r="A270">
        <v>179</v>
      </c>
      <c r="B270" t="s">
        <v>1013</v>
      </c>
      <c r="C270">
        <v>195</v>
      </c>
      <c r="D270">
        <v>0</v>
      </c>
      <c r="E270" t="s">
        <v>1014</v>
      </c>
      <c r="G270" t="s">
        <v>1014</v>
      </c>
      <c r="H270" t="s">
        <v>1015</v>
      </c>
      <c r="J270" t="s">
        <v>1008</v>
      </c>
      <c r="K270">
        <v>75</v>
      </c>
      <c r="L270">
        <v>1.4</v>
      </c>
      <c r="M270" t="s">
        <v>71</v>
      </c>
      <c r="N270" t="s">
        <v>196</v>
      </c>
      <c r="O270" t="s">
        <v>289</v>
      </c>
      <c r="P270" t="s">
        <v>383</v>
      </c>
      <c r="Q270" t="s">
        <v>240</v>
      </c>
      <c r="R270">
        <v>9</v>
      </c>
      <c r="S270">
        <v>95</v>
      </c>
      <c r="T270">
        <v>85</v>
      </c>
      <c r="U270">
        <v>85</v>
      </c>
      <c r="V270">
        <v>65</v>
      </c>
      <c r="W270">
        <v>65</v>
      </c>
      <c r="X270">
        <v>35</v>
      </c>
      <c r="Y270">
        <f t="shared" si="120"/>
        <v>202</v>
      </c>
      <c r="Z270">
        <f t="shared" si="121"/>
        <v>202</v>
      </c>
      <c r="AA270">
        <f t="shared" si="122"/>
        <v>170</v>
      </c>
      <c r="AB270">
        <f t="shared" si="123"/>
        <v>170</v>
      </c>
      <c r="AC270">
        <f t="shared" si="124"/>
        <v>155</v>
      </c>
      <c r="AD270">
        <f t="shared" si="125"/>
        <v>150</v>
      </c>
      <c r="AE270">
        <f t="shared" si="126"/>
        <v>137</v>
      </c>
      <c r="AF270">
        <f t="shared" si="127"/>
        <v>105</v>
      </c>
      <c r="AG270">
        <f t="shared" si="128"/>
        <v>94</v>
      </c>
      <c r="AH270">
        <f t="shared" si="129"/>
        <v>81</v>
      </c>
      <c r="AI270">
        <f t="shared" si="130"/>
        <v>150</v>
      </c>
      <c r="AJ270">
        <f t="shared" si="131"/>
        <v>137</v>
      </c>
      <c r="AK270">
        <f t="shared" si="132"/>
        <v>105</v>
      </c>
      <c r="AL270">
        <f t="shared" si="133"/>
        <v>94</v>
      </c>
      <c r="AM270">
        <f t="shared" si="134"/>
        <v>81</v>
      </c>
      <c r="AN270">
        <f t="shared" si="135"/>
        <v>128</v>
      </c>
      <c r="AO270">
        <f t="shared" si="136"/>
        <v>117</v>
      </c>
      <c r="AP270">
        <f t="shared" si="137"/>
        <v>85</v>
      </c>
      <c r="AQ270">
        <f t="shared" si="138"/>
        <v>76</v>
      </c>
      <c r="AR270">
        <f t="shared" si="139"/>
        <v>63</v>
      </c>
      <c r="AS270">
        <f t="shared" si="140"/>
        <v>128</v>
      </c>
      <c r="AT270">
        <f t="shared" si="141"/>
        <v>117</v>
      </c>
      <c r="AU270">
        <f t="shared" si="142"/>
        <v>85</v>
      </c>
      <c r="AV270">
        <f t="shared" si="143"/>
        <v>76</v>
      </c>
      <c r="AW270">
        <f t="shared" si="144"/>
        <v>63</v>
      </c>
      <c r="AX270">
        <f t="shared" si="145"/>
        <v>95</v>
      </c>
      <c r="AY270">
        <f t="shared" si="146"/>
        <v>87</v>
      </c>
      <c r="AZ270">
        <f t="shared" si="147"/>
        <v>55</v>
      </c>
      <c r="BA270">
        <f t="shared" si="148"/>
        <v>49</v>
      </c>
      <c r="BB270">
        <f t="shared" si="149"/>
        <v>36</v>
      </c>
    </row>
    <row r="271" spans="1:54" x14ac:dyDescent="0.15">
      <c r="A271">
        <v>180</v>
      </c>
      <c r="B271" t="s">
        <v>1016</v>
      </c>
      <c r="C271">
        <v>196</v>
      </c>
      <c r="D271">
        <v>0</v>
      </c>
      <c r="E271" t="s">
        <v>1017</v>
      </c>
      <c r="G271" t="s">
        <v>1017</v>
      </c>
      <c r="H271" t="s">
        <v>1018</v>
      </c>
      <c r="J271" t="s">
        <v>999</v>
      </c>
      <c r="K271">
        <v>26.5</v>
      </c>
      <c r="L271">
        <v>0.9</v>
      </c>
      <c r="M271" t="s">
        <v>191</v>
      </c>
      <c r="O271" t="s">
        <v>393</v>
      </c>
      <c r="P271" t="s">
        <v>940</v>
      </c>
      <c r="R271">
        <v>9</v>
      </c>
      <c r="S271">
        <v>65</v>
      </c>
      <c r="T271">
        <v>65</v>
      </c>
      <c r="U271">
        <v>60</v>
      </c>
      <c r="V271">
        <v>130</v>
      </c>
      <c r="W271">
        <v>95</v>
      </c>
      <c r="X271">
        <v>110</v>
      </c>
      <c r="Y271">
        <f t="shared" si="120"/>
        <v>172</v>
      </c>
      <c r="Z271">
        <f t="shared" si="121"/>
        <v>172</v>
      </c>
      <c r="AA271">
        <f t="shared" si="122"/>
        <v>140</v>
      </c>
      <c r="AB271">
        <f t="shared" si="123"/>
        <v>140</v>
      </c>
      <c r="AC271">
        <f t="shared" si="124"/>
        <v>125</v>
      </c>
      <c r="AD271">
        <f t="shared" si="125"/>
        <v>128</v>
      </c>
      <c r="AE271">
        <f t="shared" si="126"/>
        <v>117</v>
      </c>
      <c r="AF271">
        <f t="shared" si="127"/>
        <v>85</v>
      </c>
      <c r="AG271">
        <f t="shared" si="128"/>
        <v>76</v>
      </c>
      <c r="AH271">
        <f t="shared" si="129"/>
        <v>63</v>
      </c>
      <c r="AI271">
        <f t="shared" si="130"/>
        <v>123</v>
      </c>
      <c r="AJ271">
        <f t="shared" si="131"/>
        <v>112</v>
      </c>
      <c r="AK271">
        <f t="shared" si="132"/>
        <v>80</v>
      </c>
      <c r="AL271">
        <f t="shared" si="133"/>
        <v>72</v>
      </c>
      <c r="AM271">
        <f t="shared" si="134"/>
        <v>58</v>
      </c>
      <c r="AN271">
        <f t="shared" si="135"/>
        <v>200</v>
      </c>
      <c r="AO271">
        <f t="shared" si="136"/>
        <v>182</v>
      </c>
      <c r="AP271">
        <f t="shared" si="137"/>
        <v>150</v>
      </c>
      <c r="AQ271">
        <f t="shared" si="138"/>
        <v>135</v>
      </c>
      <c r="AR271">
        <f t="shared" si="139"/>
        <v>121</v>
      </c>
      <c r="AS271">
        <f t="shared" si="140"/>
        <v>161</v>
      </c>
      <c r="AT271">
        <f t="shared" si="141"/>
        <v>147</v>
      </c>
      <c r="AU271">
        <f t="shared" si="142"/>
        <v>115</v>
      </c>
      <c r="AV271">
        <f t="shared" si="143"/>
        <v>103</v>
      </c>
      <c r="AW271">
        <f t="shared" si="144"/>
        <v>90</v>
      </c>
      <c r="AX271">
        <f t="shared" si="145"/>
        <v>178</v>
      </c>
      <c r="AY271">
        <f t="shared" si="146"/>
        <v>162</v>
      </c>
      <c r="AZ271">
        <f t="shared" si="147"/>
        <v>130</v>
      </c>
      <c r="BA271">
        <f t="shared" si="148"/>
        <v>117</v>
      </c>
      <c r="BB271">
        <f t="shared" si="149"/>
        <v>103</v>
      </c>
    </row>
    <row r="272" spans="1:54" x14ac:dyDescent="0.15">
      <c r="A272">
        <v>181</v>
      </c>
      <c r="B272" t="s">
        <v>1019</v>
      </c>
      <c r="C272">
        <v>197</v>
      </c>
      <c r="D272">
        <v>0</v>
      </c>
      <c r="E272" t="s">
        <v>1020</v>
      </c>
      <c r="G272" t="s">
        <v>1020</v>
      </c>
      <c r="H272" t="s">
        <v>1021</v>
      </c>
      <c r="J272" t="s">
        <v>1022</v>
      </c>
      <c r="K272">
        <v>27</v>
      </c>
      <c r="L272">
        <v>1</v>
      </c>
      <c r="M272" t="s">
        <v>140</v>
      </c>
      <c r="O272" t="s">
        <v>393</v>
      </c>
      <c r="P272" t="s">
        <v>268</v>
      </c>
      <c r="R272">
        <v>9</v>
      </c>
      <c r="S272">
        <v>95</v>
      </c>
      <c r="T272">
        <v>65</v>
      </c>
      <c r="U272">
        <v>110</v>
      </c>
      <c r="V272">
        <v>60</v>
      </c>
      <c r="W272">
        <v>130</v>
      </c>
      <c r="X272">
        <v>65</v>
      </c>
      <c r="Y272">
        <f t="shared" si="120"/>
        <v>202</v>
      </c>
      <c r="Z272">
        <f t="shared" si="121"/>
        <v>202</v>
      </c>
      <c r="AA272">
        <f t="shared" si="122"/>
        <v>170</v>
      </c>
      <c r="AB272">
        <f t="shared" si="123"/>
        <v>170</v>
      </c>
      <c r="AC272">
        <f t="shared" si="124"/>
        <v>155</v>
      </c>
      <c r="AD272">
        <f t="shared" si="125"/>
        <v>128</v>
      </c>
      <c r="AE272">
        <f t="shared" si="126"/>
        <v>117</v>
      </c>
      <c r="AF272">
        <f t="shared" si="127"/>
        <v>85</v>
      </c>
      <c r="AG272">
        <f t="shared" si="128"/>
        <v>76</v>
      </c>
      <c r="AH272">
        <f t="shared" si="129"/>
        <v>63</v>
      </c>
      <c r="AI272">
        <f t="shared" si="130"/>
        <v>178</v>
      </c>
      <c r="AJ272">
        <f t="shared" si="131"/>
        <v>162</v>
      </c>
      <c r="AK272">
        <f t="shared" si="132"/>
        <v>130</v>
      </c>
      <c r="AL272">
        <f t="shared" si="133"/>
        <v>117</v>
      </c>
      <c r="AM272">
        <f t="shared" si="134"/>
        <v>103</v>
      </c>
      <c r="AN272">
        <f t="shared" si="135"/>
        <v>123</v>
      </c>
      <c r="AO272">
        <f t="shared" si="136"/>
        <v>112</v>
      </c>
      <c r="AP272">
        <f t="shared" si="137"/>
        <v>80</v>
      </c>
      <c r="AQ272">
        <f t="shared" si="138"/>
        <v>72</v>
      </c>
      <c r="AR272">
        <f t="shared" si="139"/>
        <v>58</v>
      </c>
      <c r="AS272">
        <f t="shared" si="140"/>
        <v>200</v>
      </c>
      <c r="AT272">
        <f t="shared" si="141"/>
        <v>182</v>
      </c>
      <c r="AU272">
        <f t="shared" si="142"/>
        <v>150</v>
      </c>
      <c r="AV272">
        <f t="shared" si="143"/>
        <v>135</v>
      </c>
      <c r="AW272">
        <f t="shared" si="144"/>
        <v>121</v>
      </c>
      <c r="AX272">
        <f t="shared" si="145"/>
        <v>128</v>
      </c>
      <c r="AY272">
        <f t="shared" si="146"/>
        <v>117</v>
      </c>
      <c r="AZ272">
        <f t="shared" si="147"/>
        <v>85</v>
      </c>
      <c r="BA272">
        <f t="shared" si="148"/>
        <v>76</v>
      </c>
      <c r="BB272">
        <f t="shared" si="149"/>
        <v>63</v>
      </c>
    </row>
    <row r="273" spans="1:54" x14ac:dyDescent="0.15">
      <c r="A273">
        <v>182</v>
      </c>
      <c r="B273" t="s">
        <v>1023</v>
      </c>
      <c r="C273">
        <v>198</v>
      </c>
      <c r="D273">
        <v>0</v>
      </c>
      <c r="E273" t="s">
        <v>1024</v>
      </c>
      <c r="G273" t="s">
        <v>1024</v>
      </c>
      <c r="H273" t="s">
        <v>1025</v>
      </c>
      <c r="J273" t="s">
        <v>1026</v>
      </c>
      <c r="K273">
        <v>2.1</v>
      </c>
      <c r="L273">
        <v>0.5</v>
      </c>
      <c r="M273" t="s">
        <v>140</v>
      </c>
      <c r="N273" t="s">
        <v>57</v>
      </c>
      <c r="O273" t="s">
        <v>568</v>
      </c>
      <c r="P273" t="s">
        <v>934</v>
      </c>
      <c r="Q273" t="s">
        <v>1027</v>
      </c>
      <c r="R273">
        <v>9</v>
      </c>
      <c r="S273">
        <v>60</v>
      </c>
      <c r="T273">
        <v>85</v>
      </c>
      <c r="U273">
        <v>42</v>
      </c>
      <c r="V273">
        <v>85</v>
      </c>
      <c r="W273">
        <v>42</v>
      </c>
      <c r="X273">
        <v>91</v>
      </c>
      <c r="Y273">
        <f t="shared" si="120"/>
        <v>167</v>
      </c>
      <c r="Z273">
        <f t="shared" si="121"/>
        <v>167</v>
      </c>
      <c r="AA273">
        <f t="shared" si="122"/>
        <v>135</v>
      </c>
      <c r="AB273">
        <f t="shared" si="123"/>
        <v>135</v>
      </c>
      <c r="AC273">
        <f t="shared" si="124"/>
        <v>120</v>
      </c>
      <c r="AD273">
        <f t="shared" si="125"/>
        <v>150</v>
      </c>
      <c r="AE273">
        <f t="shared" si="126"/>
        <v>137</v>
      </c>
      <c r="AF273">
        <f t="shared" si="127"/>
        <v>105</v>
      </c>
      <c r="AG273">
        <f t="shared" si="128"/>
        <v>94</v>
      </c>
      <c r="AH273">
        <f t="shared" si="129"/>
        <v>81</v>
      </c>
      <c r="AI273">
        <f t="shared" si="130"/>
        <v>103</v>
      </c>
      <c r="AJ273">
        <f t="shared" si="131"/>
        <v>94</v>
      </c>
      <c r="AK273">
        <f t="shared" si="132"/>
        <v>62</v>
      </c>
      <c r="AL273">
        <f t="shared" si="133"/>
        <v>55</v>
      </c>
      <c r="AM273">
        <f t="shared" si="134"/>
        <v>42</v>
      </c>
      <c r="AN273">
        <f t="shared" si="135"/>
        <v>150</v>
      </c>
      <c r="AO273">
        <f t="shared" si="136"/>
        <v>137</v>
      </c>
      <c r="AP273">
        <f t="shared" si="137"/>
        <v>105</v>
      </c>
      <c r="AQ273">
        <f t="shared" si="138"/>
        <v>94</v>
      </c>
      <c r="AR273">
        <f t="shared" si="139"/>
        <v>81</v>
      </c>
      <c r="AS273">
        <f t="shared" si="140"/>
        <v>103</v>
      </c>
      <c r="AT273">
        <f t="shared" si="141"/>
        <v>94</v>
      </c>
      <c r="AU273">
        <f t="shared" si="142"/>
        <v>62</v>
      </c>
      <c r="AV273">
        <f t="shared" si="143"/>
        <v>55</v>
      </c>
      <c r="AW273">
        <f t="shared" si="144"/>
        <v>42</v>
      </c>
      <c r="AX273">
        <f t="shared" si="145"/>
        <v>157</v>
      </c>
      <c r="AY273">
        <f t="shared" si="146"/>
        <v>143</v>
      </c>
      <c r="AZ273">
        <f t="shared" si="147"/>
        <v>111</v>
      </c>
      <c r="BA273">
        <f t="shared" si="148"/>
        <v>99</v>
      </c>
      <c r="BB273">
        <f t="shared" si="149"/>
        <v>86</v>
      </c>
    </row>
    <row r="274" spans="1:54" x14ac:dyDescent="0.15">
      <c r="A274">
        <v>183</v>
      </c>
      <c r="B274" t="s">
        <v>1028</v>
      </c>
      <c r="C274">
        <v>199</v>
      </c>
      <c r="D274">
        <v>0</v>
      </c>
      <c r="E274" t="s">
        <v>1029</v>
      </c>
      <c r="G274" t="s">
        <v>1029</v>
      </c>
      <c r="H274" t="s">
        <v>1030</v>
      </c>
      <c r="J274" t="s">
        <v>1031</v>
      </c>
      <c r="K274">
        <v>79.5</v>
      </c>
      <c r="L274">
        <v>2</v>
      </c>
      <c r="M274" t="s">
        <v>71</v>
      </c>
      <c r="N274" t="s">
        <v>191</v>
      </c>
      <c r="O274" t="s">
        <v>469</v>
      </c>
      <c r="P274" t="s">
        <v>470</v>
      </c>
      <c r="Q274" t="s">
        <v>471</v>
      </c>
      <c r="R274">
        <v>9</v>
      </c>
      <c r="S274">
        <v>95</v>
      </c>
      <c r="T274">
        <v>75</v>
      </c>
      <c r="U274">
        <v>80</v>
      </c>
      <c r="V274">
        <v>100</v>
      </c>
      <c r="W274">
        <v>110</v>
      </c>
      <c r="X274">
        <v>30</v>
      </c>
      <c r="Y274">
        <f t="shared" si="120"/>
        <v>202</v>
      </c>
      <c r="Z274">
        <f t="shared" si="121"/>
        <v>202</v>
      </c>
      <c r="AA274">
        <f t="shared" si="122"/>
        <v>170</v>
      </c>
      <c r="AB274">
        <f t="shared" si="123"/>
        <v>170</v>
      </c>
      <c r="AC274">
        <f t="shared" si="124"/>
        <v>155</v>
      </c>
      <c r="AD274">
        <f t="shared" si="125"/>
        <v>139</v>
      </c>
      <c r="AE274">
        <f t="shared" si="126"/>
        <v>127</v>
      </c>
      <c r="AF274">
        <f t="shared" si="127"/>
        <v>95</v>
      </c>
      <c r="AG274">
        <f t="shared" si="128"/>
        <v>85</v>
      </c>
      <c r="AH274">
        <f t="shared" si="129"/>
        <v>72</v>
      </c>
      <c r="AI274">
        <f t="shared" si="130"/>
        <v>145</v>
      </c>
      <c r="AJ274">
        <f t="shared" si="131"/>
        <v>132</v>
      </c>
      <c r="AK274">
        <f t="shared" si="132"/>
        <v>100</v>
      </c>
      <c r="AL274">
        <f t="shared" si="133"/>
        <v>90</v>
      </c>
      <c r="AM274">
        <f t="shared" si="134"/>
        <v>76</v>
      </c>
      <c r="AN274">
        <f t="shared" si="135"/>
        <v>167</v>
      </c>
      <c r="AO274">
        <f t="shared" si="136"/>
        <v>152</v>
      </c>
      <c r="AP274">
        <f t="shared" si="137"/>
        <v>120</v>
      </c>
      <c r="AQ274">
        <f t="shared" si="138"/>
        <v>108</v>
      </c>
      <c r="AR274">
        <f t="shared" si="139"/>
        <v>94</v>
      </c>
      <c r="AS274">
        <f t="shared" si="140"/>
        <v>178</v>
      </c>
      <c r="AT274">
        <f t="shared" si="141"/>
        <v>162</v>
      </c>
      <c r="AU274">
        <f t="shared" si="142"/>
        <v>130</v>
      </c>
      <c r="AV274">
        <f t="shared" si="143"/>
        <v>117</v>
      </c>
      <c r="AW274">
        <f t="shared" si="144"/>
        <v>103</v>
      </c>
      <c r="AX274">
        <f t="shared" si="145"/>
        <v>90</v>
      </c>
      <c r="AY274">
        <f t="shared" si="146"/>
        <v>82</v>
      </c>
      <c r="AZ274">
        <f t="shared" si="147"/>
        <v>50</v>
      </c>
      <c r="BA274">
        <f t="shared" si="148"/>
        <v>45</v>
      </c>
      <c r="BB274">
        <f t="shared" si="149"/>
        <v>31</v>
      </c>
    </row>
    <row r="275" spans="1:54" x14ac:dyDescent="0.15">
      <c r="A275">
        <v>184</v>
      </c>
      <c r="B275" t="s">
        <v>1032</v>
      </c>
      <c r="C275">
        <v>199</v>
      </c>
      <c r="D275">
        <v>1</v>
      </c>
      <c r="E275" t="s">
        <v>1029</v>
      </c>
      <c r="F275" t="s">
        <v>327</v>
      </c>
      <c r="G275" t="s">
        <v>1033</v>
      </c>
      <c r="H275" t="s">
        <v>1034</v>
      </c>
      <c r="J275" t="s">
        <v>1035</v>
      </c>
      <c r="K275">
        <v>79.5</v>
      </c>
      <c r="L275">
        <v>1.8</v>
      </c>
      <c r="M275" t="s">
        <v>27</v>
      </c>
      <c r="N275" t="s">
        <v>191</v>
      </c>
      <c r="O275" t="s">
        <v>1036</v>
      </c>
      <c r="P275" t="s">
        <v>470</v>
      </c>
      <c r="Q275" t="s">
        <v>471</v>
      </c>
      <c r="R275">
        <v>9</v>
      </c>
      <c r="S275">
        <v>95</v>
      </c>
      <c r="T275">
        <v>65</v>
      </c>
      <c r="U275">
        <v>80</v>
      </c>
      <c r="V275">
        <v>110</v>
      </c>
      <c r="W275">
        <v>110</v>
      </c>
      <c r="X275">
        <v>30</v>
      </c>
      <c r="Y275">
        <f t="shared" si="120"/>
        <v>202</v>
      </c>
      <c r="Z275">
        <f t="shared" si="121"/>
        <v>202</v>
      </c>
      <c r="AA275">
        <f t="shared" si="122"/>
        <v>170</v>
      </c>
      <c r="AB275">
        <f t="shared" si="123"/>
        <v>170</v>
      </c>
      <c r="AC275">
        <f t="shared" si="124"/>
        <v>155</v>
      </c>
      <c r="AD275">
        <f t="shared" si="125"/>
        <v>128</v>
      </c>
      <c r="AE275">
        <f t="shared" si="126"/>
        <v>117</v>
      </c>
      <c r="AF275">
        <f t="shared" si="127"/>
        <v>85</v>
      </c>
      <c r="AG275">
        <f t="shared" si="128"/>
        <v>76</v>
      </c>
      <c r="AH275">
        <f t="shared" si="129"/>
        <v>63</v>
      </c>
      <c r="AI275">
        <f t="shared" si="130"/>
        <v>145</v>
      </c>
      <c r="AJ275">
        <f t="shared" si="131"/>
        <v>132</v>
      </c>
      <c r="AK275">
        <f t="shared" si="132"/>
        <v>100</v>
      </c>
      <c r="AL275">
        <f t="shared" si="133"/>
        <v>90</v>
      </c>
      <c r="AM275">
        <f t="shared" si="134"/>
        <v>76</v>
      </c>
      <c r="AN275">
        <f t="shared" si="135"/>
        <v>178</v>
      </c>
      <c r="AO275">
        <f t="shared" si="136"/>
        <v>162</v>
      </c>
      <c r="AP275">
        <f t="shared" si="137"/>
        <v>130</v>
      </c>
      <c r="AQ275">
        <f t="shared" si="138"/>
        <v>117</v>
      </c>
      <c r="AR275">
        <f t="shared" si="139"/>
        <v>103</v>
      </c>
      <c r="AS275">
        <f t="shared" si="140"/>
        <v>178</v>
      </c>
      <c r="AT275">
        <f t="shared" si="141"/>
        <v>162</v>
      </c>
      <c r="AU275">
        <f t="shared" si="142"/>
        <v>130</v>
      </c>
      <c r="AV275">
        <f t="shared" si="143"/>
        <v>117</v>
      </c>
      <c r="AW275">
        <f t="shared" si="144"/>
        <v>103</v>
      </c>
      <c r="AX275">
        <f t="shared" si="145"/>
        <v>90</v>
      </c>
      <c r="AY275">
        <f t="shared" si="146"/>
        <v>82</v>
      </c>
      <c r="AZ275">
        <f t="shared" si="147"/>
        <v>50</v>
      </c>
      <c r="BA275">
        <f t="shared" si="148"/>
        <v>45</v>
      </c>
      <c r="BB275">
        <f t="shared" si="149"/>
        <v>31</v>
      </c>
    </row>
    <row r="276" spans="1:54" x14ac:dyDescent="0.15">
      <c r="A276">
        <v>185</v>
      </c>
      <c r="B276" t="s">
        <v>1037</v>
      </c>
      <c r="C276">
        <v>200</v>
      </c>
      <c r="D276">
        <v>0</v>
      </c>
      <c r="E276" t="s">
        <v>1038</v>
      </c>
      <c r="G276" t="s">
        <v>1038</v>
      </c>
      <c r="H276" t="s">
        <v>1039</v>
      </c>
      <c r="J276" t="s">
        <v>1040</v>
      </c>
      <c r="K276">
        <v>1</v>
      </c>
      <c r="L276">
        <v>0.7</v>
      </c>
      <c r="M276" t="s">
        <v>546</v>
      </c>
      <c r="O276" t="s">
        <v>547</v>
      </c>
      <c r="R276">
        <v>9</v>
      </c>
      <c r="S276">
        <v>60</v>
      </c>
      <c r="T276">
        <v>60</v>
      </c>
      <c r="U276">
        <v>60</v>
      </c>
      <c r="V276">
        <v>85</v>
      </c>
      <c r="W276">
        <v>85</v>
      </c>
      <c r="X276">
        <v>85</v>
      </c>
      <c r="Y276">
        <f t="shared" si="120"/>
        <v>167</v>
      </c>
      <c r="Z276">
        <f t="shared" si="121"/>
        <v>167</v>
      </c>
      <c r="AA276">
        <f t="shared" si="122"/>
        <v>135</v>
      </c>
      <c r="AB276">
        <f t="shared" si="123"/>
        <v>135</v>
      </c>
      <c r="AC276">
        <f t="shared" si="124"/>
        <v>120</v>
      </c>
      <c r="AD276">
        <f t="shared" si="125"/>
        <v>123</v>
      </c>
      <c r="AE276">
        <f t="shared" si="126"/>
        <v>112</v>
      </c>
      <c r="AF276">
        <f t="shared" si="127"/>
        <v>80</v>
      </c>
      <c r="AG276">
        <f t="shared" si="128"/>
        <v>72</v>
      </c>
      <c r="AH276">
        <f t="shared" si="129"/>
        <v>58</v>
      </c>
      <c r="AI276">
        <f t="shared" si="130"/>
        <v>123</v>
      </c>
      <c r="AJ276">
        <f t="shared" si="131"/>
        <v>112</v>
      </c>
      <c r="AK276">
        <f t="shared" si="132"/>
        <v>80</v>
      </c>
      <c r="AL276">
        <f t="shared" si="133"/>
        <v>72</v>
      </c>
      <c r="AM276">
        <f t="shared" si="134"/>
        <v>58</v>
      </c>
      <c r="AN276">
        <f t="shared" si="135"/>
        <v>150</v>
      </c>
      <c r="AO276">
        <f t="shared" si="136"/>
        <v>137</v>
      </c>
      <c r="AP276">
        <f t="shared" si="137"/>
        <v>105</v>
      </c>
      <c r="AQ276">
        <f t="shared" si="138"/>
        <v>94</v>
      </c>
      <c r="AR276">
        <f t="shared" si="139"/>
        <v>81</v>
      </c>
      <c r="AS276">
        <f t="shared" si="140"/>
        <v>150</v>
      </c>
      <c r="AT276">
        <f t="shared" si="141"/>
        <v>137</v>
      </c>
      <c r="AU276">
        <f t="shared" si="142"/>
        <v>105</v>
      </c>
      <c r="AV276">
        <f t="shared" si="143"/>
        <v>94</v>
      </c>
      <c r="AW276">
        <f t="shared" si="144"/>
        <v>81</v>
      </c>
      <c r="AX276">
        <f t="shared" si="145"/>
        <v>150</v>
      </c>
      <c r="AY276">
        <f t="shared" si="146"/>
        <v>137</v>
      </c>
      <c r="AZ276">
        <f t="shared" si="147"/>
        <v>105</v>
      </c>
      <c r="BA276">
        <f t="shared" si="148"/>
        <v>94</v>
      </c>
      <c r="BB276">
        <f t="shared" si="149"/>
        <v>81</v>
      </c>
    </row>
    <row r="277" spans="1:54" x14ac:dyDescent="0.15">
      <c r="B277" t="s">
        <v>1041</v>
      </c>
      <c r="C277">
        <v>201</v>
      </c>
      <c r="D277">
        <v>0</v>
      </c>
      <c r="E277" t="s">
        <v>1042</v>
      </c>
      <c r="F277" t="s">
        <v>1043</v>
      </c>
      <c r="G277" t="s">
        <v>1042</v>
      </c>
      <c r="J277" t="s">
        <v>1044</v>
      </c>
      <c r="K277">
        <v>5</v>
      </c>
      <c r="L277">
        <v>0.5</v>
      </c>
      <c r="M277" t="s">
        <v>191</v>
      </c>
      <c r="O277" t="s">
        <v>547</v>
      </c>
      <c r="R277">
        <v>8</v>
      </c>
      <c r="S277">
        <v>48</v>
      </c>
      <c r="T277">
        <v>72</v>
      </c>
      <c r="U277">
        <v>48</v>
      </c>
      <c r="V277">
        <v>72</v>
      </c>
      <c r="W277">
        <v>48</v>
      </c>
      <c r="X277">
        <v>48</v>
      </c>
      <c r="Y277">
        <f t="shared" si="120"/>
        <v>155</v>
      </c>
      <c r="Z277">
        <f t="shared" si="121"/>
        <v>155</v>
      </c>
      <c r="AA277">
        <f t="shared" si="122"/>
        <v>123</v>
      </c>
      <c r="AB277">
        <f t="shared" si="123"/>
        <v>123</v>
      </c>
      <c r="AC277">
        <f t="shared" si="124"/>
        <v>108</v>
      </c>
      <c r="AD277">
        <f t="shared" si="125"/>
        <v>136</v>
      </c>
      <c r="AE277">
        <f t="shared" si="126"/>
        <v>124</v>
      </c>
      <c r="AF277">
        <f t="shared" si="127"/>
        <v>92</v>
      </c>
      <c r="AG277">
        <f t="shared" si="128"/>
        <v>82</v>
      </c>
      <c r="AH277">
        <f t="shared" si="129"/>
        <v>69</v>
      </c>
      <c r="AI277">
        <f t="shared" si="130"/>
        <v>110</v>
      </c>
      <c r="AJ277">
        <f t="shared" si="131"/>
        <v>100</v>
      </c>
      <c r="AK277">
        <f t="shared" si="132"/>
        <v>68</v>
      </c>
      <c r="AL277">
        <f t="shared" si="133"/>
        <v>61</v>
      </c>
      <c r="AM277">
        <f t="shared" si="134"/>
        <v>47</v>
      </c>
      <c r="AN277">
        <f t="shared" si="135"/>
        <v>136</v>
      </c>
      <c r="AO277">
        <f t="shared" si="136"/>
        <v>124</v>
      </c>
      <c r="AP277">
        <f t="shared" si="137"/>
        <v>92</v>
      </c>
      <c r="AQ277">
        <f t="shared" si="138"/>
        <v>82</v>
      </c>
      <c r="AR277">
        <f t="shared" si="139"/>
        <v>69</v>
      </c>
      <c r="AS277">
        <f t="shared" si="140"/>
        <v>110</v>
      </c>
      <c r="AT277">
        <f t="shared" si="141"/>
        <v>100</v>
      </c>
      <c r="AU277">
        <f t="shared" si="142"/>
        <v>68</v>
      </c>
      <c r="AV277">
        <f t="shared" si="143"/>
        <v>61</v>
      </c>
      <c r="AW277">
        <f t="shared" si="144"/>
        <v>47</v>
      </c>
      <c r="AX277">
        <f t="shared" si="145"/>
        <v>110</v>
      </c>
      <c r="AY277">
        <f t="shared" si="146"/>
        <v>100</v>
      </c>
      <c r="AZ277">
        <f t="shared" si="147"/>
        <v>68</v>
      </c>
      <c r="BA277">
        <f t="shared" si="148"/>
        <v>61</v>
      </c>
      <c r="BB277">
        <f t="shared" si="149"/>
        <v>47</v>
      </c>
    </row>
    <row r="278" spans="1:54" x14ac:dyDescent="0.15">
      <c r="B278" t="s">
        <v>1045</v>
      </c>
      <c r="C278">
        <v>202</v>
      </c>
      <c r="D278">
        <v>0</v>
      </c>
      <c r="E278" t="s">
        <v>1046</v>
      </c>
      <c r="G278" t="s">
        <v>1046</v>
      </c>
      <c r="J278" t="s">
        <v>1047</v>
      </c>
      <c r="K278">
        <v>28.5</v>
      </c>
      <c r="L278">
        <v>1.3</v>
      </c>
      <c r="M278" t="s">
        <v>191</v>
      </c>
      <c r="O278" t="s">
        <v>557</v>
      </c>
      <c r="P278" t="s">
        <v>1048</v>
      </c>
      <c r="R278">
        <v>8</v>
      </c>
      <c r="S278">
        <v>190</v>
      </c>
      <c r="T278">
        <v>33</v>
      </c>
      <c r="U278">
        <v>58</v>
      </c>
      <c r="V278">
        <v>33</v>
      </c>
      <c r="W278">
        <v>58</v>
      </c>
      <c r="X278">
        <v>33</v>
      </c>
      <c r="Y278">
        <f t="shared" si="120"/>
        <v>297</v>
      </c>
      <c r="Z278">
        <f t="shared" si="121"/>
        <v>297</v>
      </c>
      <c r="AA278">
        <f t="shared" si="122"/>
        <v>265</v>
      </c>
      <c r="AB278">
        <f t="shared" si="123"/>
        <v>265</v>
      </c>
      <c r="AC278">
        <f t="shared" si="124"/>
        <v>250</v>
      </c>
      <c r="AD278">
        <f t="shared" si="125"/>
        <v>93</v>
      </c>
      <c r="AE278">
        <f t="shared" si="126"/>
        <v>85</v>
      </c>
      <c r="AF278">
        <f t="shared" si="127"/>
        <v>53</v>
      </c>
      <c r="AG278">
        <f t="shared" si="128"/>
        <v>47</v>
      </c>
      <c r="AH278">
        <f t="shared" si="129"/>
        <v>34</v>
      </c>
      <c r="AI278">
        <f t="shared" si="130"/>
        <v>121</v>
      </c>
      <c r="AJ278">
        <f t="shared" si="131"/>
        <v>110</v>
      </c>
      <c r="AK278">
        <f t="shared" si="132"/>
        <v>78</v>
      </c>
      <c r="AL278">
        <f t="shared" si="133"/>
        <v>70</v>
      </c>
      <c r="AM278">
        <f t="shared" si="134"/>
        <v>56</v>
      </c>
      <c r="AN278">
        <f t="shared" si="135"/>
        <v>93</v>
      </c>
      <c r="AO278">
        <f t="shared" si="136"/>
        <v>85</v>
      </c>
      <c r="AP278">
        <f t="shared" si="137"/>
        <v>53</v>
      </c>
      <c r="AQ278">
        <f t="shared" si="138"/>
        <v>47</v>
      </c>
      <c r="AR278">
        <f t="shared" si="139"/>
        <v>34</v>
      </c>
      <c r="AS278">
        <f t="shared" si="140"/>
        <v>121</v>
      </c>
      <c r="AT278">
        <f t="shared" si="141"/>
        <v>110</v>
      </c>
      <c r="AU278">
        <f t="shared" si="142"/>
        <v>78</v>
      </c>
      <c r="AV278">
        <f t="shared" si="143"/>
        <v>70</v>
      </c>
      <c r="AW278">
        <f t="shared" si="144"/>
        <v>56</v>
      </c>
      <c r="AX278">
        <f t="shared" si="145"/>
        <v>93</v>
      </c>
      <c r="AY278">
        <f t="shared" si="146"/>
        <v>85</v>
      </c>
      <c r="AZ278">
        <f t="shared" si="147"/>
        <v>53</v>
      </c>
      <c r="BA278">
        <f t="shared" si="148"/>
        <v>47</v>
      </c>
      <c r="BB278">
        <f t="shared" si="149"/>
        <v>34</v>
      </c>
    </row>
    <row r="279" spans="1:54" x14ac:dyDescent="0.15">
      <c r="A279">
        <v>186</v>
      </c>
      <c r="B279" t="s">
        <v>1049</v>
      </c>
      <c r="C279">
        <v>203</v>
      </c>
      <c r="D279">
        <v>0</v>
      </c>
      <c r="E279" t="s">
        <v>1050</v>
      </c>
      <c r="G279" t="s">
        <v>1050</v>
      </c>
      <c r="H279" t="s">
        <v>1051</v>
      </c>
      <c r="J279" t="s">
        <v>1052</v>
      </c>
      <c r="K279">
        <v>41.5</v>
      </c>
      <c r="L279">
        <v>1.5</v>
      </c>
      <c r="M279" t="s">
        <v>120</v>
      </c>
      <c r="N279" t="s">
        <v>191</v>
      </c>
      <c r="O279" t="s">
        <v>268</v>
      </c>
      <c r="P279" t="s">
        <v>504</v>
      </c>
      <c r="Q279" t="s">
        <v>965</v>
      </c>
      <c r="R279">
        <v>9</v>
      </c>
      <c r="S279">
        <v>70</v>
      </c>
      <c r="T279">
        <v>80</v>
      </c>
      <c r="U279">
        <v>65</v>
      </c>
      <c r="V279">
        <v>90</v>
      </c>
      <c r="W279">
        <v>65</v>
      </c>
      <c r="X279">
        <v>85</v>
      </c>
      <c r="Y279">
        <f t="shared" si="120"/>
        <v>177</v>
      </c>
      <c r="Z279">
        <f t="shared" si="121"/>
        <v>177</v>
      </c>
      <c r="AA279">
        <f t="shared" si="122"/>
        <v>145</v>
      </c>
      <c r="AB279">
        <f t="shared" si="123"/>
        <v>145</v>
      </c>
      <c r="AC279">
        <f t="shared" si="124"/>
        <v>130</v>
      </c>
      <c r="AD279">
        <f t="shared" si="125"/>
        <v>145</v>
      </c>
      <c r="AE279">
        <f t="shared" si="126"/>
        <v>132</v>
      </c>
      <c r="AF279">
        <f t="shared" si="127"/>
        <v>100</v>
      </c>
      <c r="AG279">
        <f t="shared" si="128"/>
        <v>90</v>
      </c>
      <c r="AH279">
        <f t="shared" si="129"/>
        <v>76</v>
      </c>
      <c r="AI279">
        <f t="shared" si="130"/>
        <v>128</v>
      </c>
      <c r="AJ279">
        <f t="shared" si="131"/>
        <v>117</v>
      </c>
      <c r="AK279">
        <f t="shared" si="132"/>
        <v>85</v>
      </c>
      <c r="AL279">
        <f t="shared" si="133"/>
        <v>76</v>
      </c>
      <c r="AM279">
        <f t="shared" si="134"/>
        <v>63</v>
      </c>
      <c r="AN279">
        <f t="shared" si="135"/>
        <v>156</v>
      </c>
      <c r="AO279">
        <f t="shared" si="136"/>
        <v>142</v>
      </c>
      <c r="AP279">
        <f t="shared" si="137"/>
        <v>110</v>
      </c>
      <c r="AQ279">
        <f t="shared" si="138"/>
        <v>99</v>
      </c>
      <c r="AR279">
        <f t="shared" si="139"/>
        <v>85</v>
      </c>
      <c r="AS279">
        <f t="shared" si="140"/>
        <v>128</v>
      </c>
      <c r="AT279">
        <f t="shared" si="141"/>
        <v>117</v>
      </c>
      <c r="AU279">
        <f t="shared" si="142"/>
        <v>85</v>
      </c>
      <c r="AV279">
        <f t="shared" si="143"/>
        <v>76</v>
      </c>
      <c r="AW279">
        <f t="shared" si="144"/>
        <v>63</v>
      </c>
      <c r="AX279">
        <f t="shared" si="145"/>
        <v>150</v>
      </c>
      <c r="AY279">
        <f t="shared" si="146"/>
        <v>137</v>
      </c>
      <c r="AZ279">
        <f t="shared" si="147"/>
        <v>105</v>
      </c>
      <c r="BA279">
        <f t="shared" si="148"/>
        <v>94</v>
      </c>
      <c r="BB279">
        <f t="shared" si="149"/>
        <v>81</v>
      </c>
    </row>
    <row r="280" spans="1:54" x14ac:dyDescent="0.15">
      <c r="A280">
        <v>187</v>
      </c>
      <c r="B280" t="s">
        <v>1053</v>
      </c>
      <c r="C280">
        <v>204</v>
      </c>
      <c r="D280">
        <v>0</v>
      </c>
      <c r="E280" t="s">
        <v>1054</v>
      </c>
      <c r="G280" t="s">
        <v>1054</v>
      </c>
      <c r="H280" t="s">
        <v>1055</v>
      </c>
      <c r="J280" t="s">
        <v>1056</v>
      </c>
      <c r="K280">
        <v>7.2</v>
      </c>
      <c r="L280">
        <v>0.6</v>
      </c>
      <c r="M280" t="s">
        <v>90</v>
      </c>
      <c r="O280" t="s">
        <v>435</v>
      </c>
      <c r="P280" t="s">
        <v>538</v>
      </c>
      <c r="R280">
        <v>9</v>
      </c>
      <c r="S280">
        <v>50</v>
      </c>
      <c r="T280">
        <v>65</v>
      </c>
      <c r="U280">
        <v>90</v>
      </c>
      <c r="V280">
        <v>35</v>
      </c>
      <c r="W280">
        <v>35</v>
      </c>
      <c r="X280">
        <v>15</v>
      </c>
      <c r="Y280">
        <f t="shared" si="120"/>
        <v>157</v>
      </c>
      <c r="Z280">
        <f t="shared" si="121"/>
        <v>157</v>
      </c>
      <c r="AA280">
        <f t="shared" si="122"/>
        <v>125</v>
      </c>
      <c r="AB280">
        <f t="shared" si="123"/>
        <v>125</v>
      </c>
      <c r="AC280">
        <f t="shared" si="124"/>
        <v>110</v>
      </c>
      <c r="AD280">
        <f t="shared" si="125"/>
        <v>128</v>
      </c>
      <c r="AE280">
        <f t="shared" si="126"/>
        <v>117</v>
      </c>
      <c r="AF280">
        <f t="shared" si="127"/>
        <v>85</v>
      </c>
      <c r="AG280">
        <f t="shared" si="128"/>
        <v>76</v>
      </c>
      <c r="AH280">
        <f t="shared" si="129"/>
        <v>63</v>
      </c>
      <c r="AI280">
        <f t="shared" si="130"/>
        <v>156</v>
      </c>
      <c r="AJ280">
        <f t="shared" si="131"/>
        <v>142</v>
      </c>
      <c r="AK280">
        <f t="shared" si="132"/>
        <v>110</v>
      </c>
      <c r="AL280">
        <f t="shared" si="133"/>
        <v>99</v>
      </c>
      <c r="AM280">
        <f t="shared" si="134"/>
        <v>85</v>
      </c>
      <c r="AN280">
        <f t="shared" si="135"/>
        <v>95</v>
      </c>
      <c r="AO280">
        <f t="shared" si="136"/>
        <v>87</v>
      </c>
      <c r="AP280">
        <f t="shared" si="137"/>
        <v>55</v>
      </c>
      <c r="AQ280">
        <f t="shared" si="138"/>
        <v>49</v>
      </c>
      <c r="AR280">
        <f t="shared" si="139"/>
        <v>36</v>
      </c>
      <c r="AS280">
        <f t="shared" si="140"/>
        <v>95</v>
      </c>
      <c r="AT280">
        <f t="shared" si="141"/>
        <v>87</v>
      </c>
      <c r="AU280">
        <f t="shared" si="142"/>
        <v>55</v>
      </c>
      <c r="AV280">
        <f t="shared" si="143"/>
        <v>49</v>
      </c>
      <c r="AW280">
        <f t="shared" si="144"/>
        <v>36</v>
      </c>
      <c r="AX280">
        <f t="shared" si="145"/>
        <v>73</v>
      </c>
      <c r="AY280">
        <f t="shared" si="146"/>
        <v>67</v>
      </c>
      <c r="AZ280">
        <f t="shared" si="147"/>
        <v>35</v>
      </c>
      <c r="BA280">
        <f t="shared" si="148"/>
        <v>31</v>
      </c>
      <c r="BB280">
        <f t="shared" si="149"/>
        <v>18</v>
      </c>
    </row>
    <row r="281" spans="1:54" x14ac:dyDescent="0.15">
      <c r="A281">
        <v>188</v>
      </c>
      <c r="B281" t="s">
        <v>1057</v>
      </c>
      <c r="C281">
        <v>205</v>
      </c>
      <c r="D281">
        <v>0</v>
      </c>
      <c r="E281" t="s">
        <v>1058</v>
      </c>
      <c r="G281" t="s">
        <v>1058</v>
      </c>
      <c r="H281" t="s">
        <v>1059</v>
      </c>
      <c r="J281" t="s">
        <v>1056</v>
      </c>
      <c r="K281">
        <v>125.8</v>
      </c>
      <c r="L281">
        <v>1.2</v>
      </c>
      <c r="M281" t="s">
        <v>90</v>
      </c>
      <c r="N281" t="s">
        <v>203</v>
      </c>
      <c r="O281" t="s">
        <v>435</v>
      </c>
      <c r="P281" t="s">
        <v>538</v>
      </c>
      <c r="R281">
        <v>9</v>
      </c>
      <c r="S281">
        <v>75</v>
      </c>
      <c r="T281">
        <v>90</v>
      </c>
      <c r="U281">
        <v>140</v>
      </c>
      <c r="V281">
        <v>60</v>
      </c>
      <c r="W281">
        <v>60</v>
      </c>
      <c r="X281">
        <v>40</v>
      </c>
      <c r="Y281">
        <f t="shared" si="120"/>
        <v>182</v>
      </c>
      <c r="Z281">
        <f t="shared" si="121"/>
        <v>182</v>
      </c>
      <c r="AA281">
        <f t="shared" si="122"/>
        <v>150</v>
      </c>
      <c r="AB281">
        <f t="shared" si="123"/>
        <v>150</v>
      </c>
      <c r="AC281">
        <f t="shared" si="124"/>
        <v>135</v>
      </c>
      <c r="AD281">
        <f t="shared" si="125"/>
        <v>156</v>
      </c>
      <c r="AE281">
        <f t="shared" si="126"/>
        <v>142</v>
      </c>
      <c r="AF281">
        <f t="shared" si="127"/>
        <v>110</v>
      </c>
      <c r="AG281">
        <f t="shared" si="128"/>
        <v>99</v>
      </c>
      <c r="AH281">
        <f t="shared" si="129"/>
        <v>85</v>
      </c>
      <c r="AI281">
        <f t="shared" si="130"/>
        <v>211</v>
      </c>
      <c r="AJ281">
        <f t="shared" si="131"/>
        <v>192</v>
      </c>
      <c r="AK281">
        <f t="shared" si="132"/>
        <v>160</v>
      </c>
      <c r="AL281">
        <f t="shared" si="133"/>
        <v>144</v>
      </c>
      <c r="AM281">
        <f t="shared" si="134"/>
        <v>130</v>
      </c>
      <c r="AN281">
        <f t="shared" si="135"/>
        <v>123</v>
      </c>
      <c r="AO281">
        <f t="shared" si="136"/>
        <v>112</v>
      </c>
      <c r="AP281">
        <f t="shared" si="137"/>
        <v>80</v>
      </c>
      <c r="AQ281">
        <f t="shared" si="138"/>
        <v>72</v>
      </c>
      <c r="AR281">
        <f t="shared" si="139"/>
        <v>58</v>
      </c>
      <c r="AS281">
        <f t="shared" si="140"/>
        <v>123</v>
      </c>
      <c r="AT281">
        <f t="shared" si="141"/>
        <v>112</v>
      </c>
      <c r="AU281">
        <f t="shared" si="142"/>
        <v>80</v>
      </c>
      <c r="AV281">
        <f t="shared" si="143"/>
        <v>72</v>
      </c>
      <c r="AW281">
        <f t="shared" si="144"/>
        <v>58</v>
      </c>
      <c r="AX281">
        <f t="shared" si="145"/>
        <v>101</v>
      </c>
      <c r="AY281">
        <f t="shared" si="146"/>
        <v>92</v>
      </c>
      <c r="AZ281">
        <f t="shared" si="147"/>
        <v>60</v>
      </c>
      <c r="BA281">
        <f t="shared" si="148"/>
        <v>54</v>
      </c>
      <c r="BB281">
        <f t="shared" si="149"/>
        <v>40</v>
      </c>
    </row>
    <row r="282" spans="1:54" x14ac:dyDescent="0.15">
      <c r="A282">
        <v>189</v>
      </c>
      <c r="B282" t="s">
        <v>1060</v>
      </c>
      <c r="C282">
        <v>206</v>
      </c>
      <c r="D282">
        <v>0</v>
      </c>
      <c r="E282" t="s">
        <v>1061</v>
      </c>
      <c r="G282" t="s">
        <v>1061</v>
      </c>
      <c r="H282" t="s">
        <v>1062</v>
      </c>
      <c r="J282" t="s">
        <v>1063</v>
      </c>
      <c r="K282">
        <v>14</v>
      </c>
      <c r="L282">
        <v>1.5</v>
      </c>
      <c r="M282" t="s">
        <v>120</v>
      </c>
      <c r="O282" t="s">
        <v>655</v>
      </c>
      <c r="P282" t="s">
        <v>92</v>
      </c>
      <c r="Q282" t="s">
        <v>736</v>
      </c>
      <c r="R282">
        <v>9</v>
      </c>
      <c r="S282">
        <v>100</v>
      </c>
      <c r="T282">
        <v>70</v>
      </c>
      <c r="U282">
        <v>70</v>
      </c>
      <c r="V282">
        <v>65</v>
      </c>
      <c r="W282">
        <v>65</v>
      </c>
      <c r="X282">
        <v>45</v>
      </c>
      <c r="Y282">
        <f t="shared" si="120"/>
        <v>207</v>
      </c>
      <c r="Z282">
        <f t="shared" si="121"/>
        <v>207</v>
      </c>
      <c r="AA282">
        <f t="shared" si="122"/>
        <v>175</v>
      </c>
      <c r="AB282">
        <f t="shared" si="123"/>
        <v>175</v>
      </c>
      <c r="AC282">
        <f t="shared" si="124"/>
        <v>160</v>
      </c>
      <c r="AD282">
        <f t="shared" si="125"/>
        <v>134</v>
      </c>
      <c r="AE282">
        <f t="shared" si="126"/>
        <v>122</v>
      </c>
      <c r="AF282">
        <f t="shared" si="127"/>
        <v>90</v>
      </c>
      <c r="AG282">
        <f t="shared" si="128"/>
        <v>81</v>
      </c>
      <c r="AH282">
        <f t="shared" si="129"/>
        <v>67</v>
      </c>
      <c r="AI282">
        <f t="shared" si="130"/>
        <v>134</v>
      </c>
      <c r="AJ282">
        <f t="shared" si="131"/>
        <v>122</v>
      </c>
      <c r="AK282">
        <f t="shared" si="132"/>
        <v>90</v>
      </c>
      <c r="AL282">
        <f t="shared" si="133"/>
        <v>81</v>
      </c>
      <c r="AM282">
        <f t="shared" si="134"/>
        <v>67</v>
      </c>
      <c r="AN282">
        <f t="shared" si="135"/>
        <v>128</v>
      </c>
      <c r="AO282">
        <f t="shared" si="136"/>
        <v>117</v>
      </c>
      <c r="AP282">
        <f t="shared" si="137"/>
        <v>85</v>
      </c>
      <c r="AQ282">
        <f t="shared" si="138"/>
        <v>76</v>
      </c>
      <c r="AR282">
        <f t="shared" si="139"/>
        <v>63</v>
      </c>
      <c r="AS282">
        <f t="shared" si="140"/>
        <v>128</v>
      </c>
      <c r="AT282">
        <f t="shared" si="141"/>
        <v>117</v>
      </c>
      <c r="AU282">
        <f t="shared" si="142"/>
        <v>85</v>
      </c>
      <c r="AV282">
        <f t="shared" si="143"/>
        <v>76</v>
      </c>
      <c r="AW282">
        <f t="shared" si="144"/>
        <v>63</v>
      </c>
      <c r="AX282">
        <f t="shared" si="145"/>
        <v>106</v>
      </c>
      <c r="AY282">
        <f t="shared" si="146"/>
        <v>97</v>
      </c>
      <c r="AZ282">
        <f t="shared" si="147"/>
        <v>65</v>
      </c>
      <c r="BA282">
        <f t="shared" si="148"/>
        <v>58</v>
      </c>
      <c r="BB282">
        <f t="shared" si="149"/>
        <v>45</v>
      </c>
    </row>
    <row r="283" spans="1:54" x14ac:dyDescent="0.15">
      <c r="A283">
        <v>190</v>
      </c>
      <c r="B283" t="s">
        <v>1064</v>
      </c>
      <c r="C283">
        <v>207</v>
      </c>
      <c r="D283">
        <v>0</v>
      </c>
      <c r="E283" t="s">
        <v>1065</v>
      </c>
      <c r="G283" t="s">
        <v>1065</v>
      </c>
      <c r="H283" t="s">
        <v>1066</v>
      </c>
      <c r="J283" t="s">
        <v>1067</v>
      </c>
      <c r="K283">
        <v>64.8</v>
      </c>
      <c r="L283">
        <v>1.1000000000000001</v>
      </c>
      <c r="M283" t="s">
        <v>196</v>
      </c>
      <c r="N283" t="s">
        <v>57</v>
      </c>
      <c r="O283" t="s">
        <v>576</v>
      </c>
      <c r="P283" t="s">
        <v>197</v>
      </c>
      <c r="Q283" t="s">
        <v>799</v>
      </c>
      <c r="R283">
        <v>9</v>
      </c>
      <c r="S283">
        <v>65</v>
      </c>
      <c r="T283">
        <v>75</v>
      </c>
      <c r="U283">
        <v>105</v>
      </c>
      <c r="V283">
        <v>35</v>
      </c>
      <c r="W283">
        <v>65</v>
      </c>
      <c r="X283">
        <v>85</v>
      </c>
      <c r="Y283">
        <f t="shared" si="120"/>
        <v>172</v>
      </c>
      <c r="Z283">
        <f t="shared" si="121"/>
        <v>172</v>
      </c>
      <c r="AA283">
        <f t="shared" si="122"/>
        <v>140</v>
      </c>
      <c r="AB283">
        <f t="shared" si="123"/>
        <v>140</v>
      </c>
      <c r="AC283">
        <f t="shared" si="124"/>
        <v>125</v>
      </c>
      <c r="AD283">
        <f t="shared" si="125"/>
        <v>139</v>
      </c>
      <c r="AE283">
        <f t="shared" si="126"/>
        <v>127</v>
      </c>
      <c r="AF283">
        <f t="shared" si="127"/>
        <v>95</v>
      </c>
      <c r="AG283">
        <f t="shared" si="128"/>
        <v>85</v>
      </c>
      <c r="AH283">
        <f t="shared" si="129"/>
        <v>72</v>
      </c>
      <c r="AI283">
        <f t="shared" si="130"/>
        <v>172</v>
      </c>
      <c r="AJ283">
        <f t="shared" si="131"/>
        <v>157</v>
      </c>
      <c r="AK283">
        <f t="shared" si="132"/>
        <v>125</v>
      </c>
      <c r="AL283">
        <f t="shared" si="133"/>
        <v>112</v>
      </c>
      <c r="AM283">
        <f t="shared" si="134"/>
        <v>99</v>
      </c>
      <c r="AN283">
        <f t="shared" si="135"/>
        <v>95</v>
      </c>
      <c r="AO283">
        <f t="shared" si="136"/>
        <v>87</v>
      </c>
      <c r="AP283">
        <f t="shared" si="137"/>
        <v>55</v>
      </c>
      <c r="AQ283">
        <f t="shared" si="138"/>
        <v>49</v>
      </c>
      <c r="AR283">
        <f t="shared" si="139"/>
        <v>36</v>
      </c>
      <c r="AS283">
        <f t="shared" si="140"/>
        <v>128</v>
      </c>
      <c r="AT283">
        <f t="shared" si="141"/>
        <v>117</v>
      </c>
      <c r="AU283">
        <f t="shared" si="142"/>
        <v>85</v>
      </c>
      <c r="AV283">
        <f t="shared" si="143"/>
        <v>76</v>
      </c>
      <c r="AW283">
        <f t="shared" si="144"/>
        <v>63</v>
      </c>
      <c r="AX283">
        <f t="shared" si="145"/>
        <v>150</v>
      </c>
      <c r="AY283">
        <f t="shared" si="146"/>
        <v>137</v>
      </c>
      <c r="AZ283">
        <f t="shared" si="147"/>
        <v>105</v>
      </c>
      <c r="BA283">
        <f t="shared" si="148"/>
        <v>94</v>
      </c>
      <c r="BB283">
        <f t="shared" si="149"/>
        <v>81</v>
      </c>
    </row>
    <row r="284" spans="1:54" x14ac:dyDescent="0.15">
      <c r="B284" t="s">
        <v>1068</v>
      </c>
      <c r="C284">
        <v>208</v>
      </c>
      <c r="D284">
        <v>0</v>
      </c>
      <c r="E284" t="s">
        <v>1069</v>
      </c>
      <c r="G284" t="s">
        <v>1069</v>
      </c>
      <c r="J284" t="s">
        <v>1070</v>
      </c>
      <c r="K284">
        <v>400</v>
      </c>
      <c r="L284">
        <v>9.1999999999999993</v>
      </c>
      <c r="M284" t="s">
        <v>203</v>
      </c>
      <c r="N284" t="s">
        <v>196</v>
      </c>
      <c r="O284" t="s">
        <v>434</v>
      </c>
      <c r="P284" t="s">
        <v>435</v>
      </c>
      <c r="Q284" t="s">
        <v>222</v>
      </c>
      <c r="R284">
        <v>8</v>
      </c>
      <c r="S284">
        <v>75</v>
      </c>
      <c r="T284">
        <v>85</v>
      </c>
      <c r="U284">
        <v>200</v>
      </c>
      <c r="V284">
        <v>55</v>
      </c>
      <c r="W284">
        <v>65</v>
      </c>
      <c r="X284">
        <v>30</v>
      </c>
      <c r="Y284">
        <f t="shared" si="120"/>
        <v>182</v>
      </c>
      <c r="Z284">
        <f t="shared" si="121"/>
        <v>182</v>
      </c>
      <c r="AA284">
        <f t="shared" si="122"/>
        <v>150</v>
      </c>
      <c r="AB284">
        <f t="shared" si="123"/>
        <v>150</v>
      </c>
      <c r="AC284">
        <f t="shared" si="124"/>
        <v>135</v>
      </c>
      <c r="AD284">
        <f t="shared" si="125"/>
        <v>150</v>
      </c>
      <c r="AE284">
        <f t="shared" si="126"/>
        <v>137</v>
      </c>
      <c r="AF284">
        <f t="shared" si="127"/>
        <v>105</v>
      </c>
      <c r="AG284">
        <f t="shared" si="128"/>
        <v>94</v>
      </c>
      <c r="AH284">
        <f t="shared" si="129"/>
        <v>81</v>
      </c>
      <c r="AI284">
        <f t="shared" si="130"/>
        <v>277</v>
      </c>
      <c r="AJ284">
        <f t="shared" si="131"/>
        <v>252</v>
      </c>
      <c r="AK284">
        <f t="shared" si="132"/>
        <v>220</v>
      </c>
      <c r="AL284">
        <f t="shared" si="133"/>
        <v>198</v>
      </c>
      <c r="AM284">
        <f t="shared" si="134"/>
        <v>184</v>
      </c>
      <c r="AN284">
        <f t="shared" si="135"/>
        <v>117</v>
      </c>
      <c r="AO284">
        <f t="shared" si="136"/>
        <v>107</v>
      </c>
      <c r="AP284">
        <f t="shared" si="137"/>
        <v>75</v>
      </c>
      <c r="AQ284">
        <f t="shared" si="138"/>
        <v>67</v>
      </c>
      <c r="AR284">
        <f t="shared" si="139"/>
        <v>54</v>
      </c>
      <c r="AS284">
        <f t="shared" si="140"/>
        <v>128</v>
      </c>
      <c r="AT284">
        <f t="shared" si="141"/>
        <v>117</v>
      </c>
      <c r="AU284">
        <f t="shared" si="142"/>
        <v>85</v>
      </c>
      <c r="AV284">
        <f t="shared" si="143"/>
        <v>76</v>
      </c>
      <c r="AW284">
        <f t="shared" si="144"/>
        <v>63</v>
      </c>
      <c r="AX284">
        <f t="shared" si="145"/>
        <v>90</v>
      </c>
      <c r="AY284">
        <f t="shared" si="146"/>
        <v>82</v>
      </c>
      <c r="AZ284">
        <f t="shared" si="147"/>
        <v>50</v>
      </c>
      <c r="BA284">
        <f t="shared" si="148"/>
        <v>45</v>
      </c>
      <c r="BB284">
        <f t="shared" si="149"/>
        <v>31</v>
      </c>
    </row>
    <row r="285" spans="1:54" x14ac:dyDescent="0.15">
      <c r="B285" t="s">
        <v>1071</v>
      </c>
      <c r="C285">
        <v>208</v>
      </c>
      <c r="D285">
        <v>1</v>
      </c>
      <c r="E285" t="s">
        <v>1069</v>
      </c>
      <c r="F285" t="s">
        <v>1072</v>
      </c>
      <c r="G285" t="s">
        <v>1072</v>
      </c>
      <c r="J285" t="s">
        <v>1070</v>
      </c>
      <c r="K285">
        <v>740</v>
      </c>
      <c r="L285">
        <v>10.5</v>
      </c>
      <c r="M285" t="s">
        <v>203</v>
      </c>
      <c r="N285" t="s">
        <v>196</v>
      </c>
      <c r="O285" t="s">
        <v>306</v>
      </c>
      <c r="P285" t="s">
        <v>222</v>
      </c>
      <c r="R285">
        <v>7</v>
      </c>
      <c r="S285">
        <v>75</v>
      </c>
      <c r="T285">
        <v>85</v>
      </c>
      <c r="U285">
        <v>200</v>
      </c>
      <c r="V285">
        <v>55</v>
      </c>
      <c r="W285">
        <v>65</v>
      </c>
      <c r="X285">
        <v>30</v>
      </c>
      <c r="Y285">
        <f t="shared" si="120"/>
        <v>182</v>
      </c>
      <c r="Z285">
        <f t="shared" si="121"/>
        <v>182</v>
      </c>
      <c r="AA285">
        <f t="shared" si="122"/>
        <v>150</v>
      </c>
      <c r="AB285">
        <f t="shared" si="123"/>
        <v>150</v>
      </c>
      <c r="AC285">
        <f t="shared" si="124"/>
        <v>135</v>
      </c>
      <c r="AD285">
        <f t="shared" si="125"/>
        <v>150</v>
      </c>
      <c r="AE285">
        <f t="shared" si="126"/>
        <v>137</v>
      </c>
      <c r="AF285">
        <f t="shared" si="127"/>
        <v>105</v>
      </c>
      <c r="AG285">
        <f t="shared" si="128"/>
        <v>94</v>
      </c>
      <c r="AH285">
        <f t="shared" si="129"/>
        <v>81</v>
      </c>
      <c r="AI285">
        <f t="shared" si="130"/>
        <v>277</v>
      </c>
      <c r="AJ285">
        <f t="shared" si="131"/>
        <v>252</v>
      </c>
      <c r="AK285">
        <f t="shared" si="132"/>
        <v>220</v>
      </c>
      <c r="AL285">
        <f t="shared" si="133"/>
        <v>198</v>
      </c>
      <c r="AM285">
        <f t="shared" si="134"/>
        <v>184</v>
      </c>
      <c r="AN285">
        <f t="shared" si="135"/>
        <v>117</v>
      </c>
      <c r="AO285">
        <f t="shared" si="136"/>
        <v>107</v>
      </c>
      <c r="AP285">
        <f t="shared" si="137"/>
        <v>75</v>
      </c>
      <c r="AQ285">
        <f t="shared" si="138"/>
        <v>67</v>
      </c>
      <c r="AR285">
        <f t="shared" si="139"/>
        <v>54</v>
      </c>
      <c r="AS285">
        <f t="shared" si="140"/>
        <v>128</v>
      </c>
      <c r="AT285">
        <f t="shared" si="141"/>
        <v>117</v>
      </c>
      <c r="AU285">
        <f t="shared" si="142"/>
        <v>85</v>
      </c>
      <c r="AV285">
        <f t="shared" si="143"/>
        <v>76</v>
      </c>
      <c r="AW285">
        <f t="shared" si="144"/>
        <v>63</v>
      </c>
      <c r="AX285">
        <f t="shared" si="145"/>
        <v>90</v>
      </c>
      <c r="AY285">
        <f t="shared" si="146"/>
        <v>82</v>
      </c>
      <c r="AZ285">
        <f t="shared" si="147"/>
        <v>50</v>
      </c>
      <c r="BA285">
        <f t="shared" si="148"/>
        <v>45</v>
      </c>
      <c r="BB285">
        <f t="shared" si="149"/>
        <v>31</v>
      </c>
    </row>
    <row r="286" spans="1:54" x14ac:dyDescent="0.15">
      <c r="A286">
        <v>191</v>
      </c>
      <c r="B286" t="s">
        <v>1073</v>
      </c>
      <c r="C286">
        <v>209</v>
      </c>
      <c r="D286">
        <v>0</v>
      </c>
      <c r="E286" t="s">
        <v>1074</v>
      </c>
      <c r="G286" t="s">
        <v>1074</v>
      </c>
      <c r="H286" t="s">
        <v>1075</v>
      </c>
      <c r="J286" t="s">
        <v>232</v>
      </c>
      <c r="K286">
        <v>7.8</v>
      </c>
      <c r="L286">
        <v>0.6</v>
      </c>
      <c r="M286" t="s">
        <v>233</v>
      </c>
      <c r="O286" t="s">
        <v>155</v>
      </c>
      <c r="P286" t="s">
        <v>92</v>
      </c>
      <c r="Q286" t="s">
        <v>736</v>
      </c>
      <c r="R286">
        <v>9</v>
      </c>
      <c r="S286">
        <v>60</v>
      </c>
      <c r="T286">
        <v>80</v>
      </c>
      <c r="U286">
        <v>50</v>
      </c>
      <c r="V286">
        <v>40</v>
      </c>
      <c r="W286">
        <v>40</v>
      </c>
      <c r="X286">
        <v>30</v>
      </c>
      <c r="Y286">
        <f t="shared" si="120"/>
        <v>167</v>
      </c>
      <c r="Z286">
        <f t="shared" si="121"/>
        <v>167</v>
      </c>
      <c r="AA286">
        <f t="shared" si="122"/>
        <v>135</v>
      </c>
      <c r="AB286">
        <f t="shared" si="123"/>
        <v>135</v>
      </c>
      <c r="AC286">
        <f t="shared" si="124"/>
        <v>120</v>
      </c>
      <c r="AD286">
        <f t="shared" si="125"/>
        <v>145</v>
      </c>
      <c r="AE286">
        <f t="shared" si="126"/>
        <v>132</v>
      </c>
      <c r="AF286">
        <f t="shared" si="127"/>
        <v>100</v>
      </c>
      <c r="AG286">
        <f t="shared" si="128"/>
        <v>90</v>
      </c>
      <c r="AH286">
        <f t="shared" si="129"/>
        <v>76</v>
      </c>
      <c r="AI286">
        <f t="shared" si="130"/>
        <v>112</v>
      </c>
      <c r="AJ286">
        <f t="shared" si="131"/>
        <v>102</v>
      </c>
      <c r="AK286">
        <f t="shared" si="132"/>
        <v>70</v>
      </c>
      <c r="AL286">
        <f t="shared" si="133"/>
        <v>63</v>
      </c>
      <c r="AM286">
        <f t="shared" si="134"/>
        <v>49</v>
      </c>
      <c r="AN286">
        <f t="shared" si="135"/>
        <v>101</v>
      </c>
      <c r="AO286">
        <f t="shared" si="136"/>
        <v>92</v>
      </c>
      <c r="AP286">
        <f t="shared" si="137"/>
        <v>60</v>
      </c>
      <c r="AQ286">
        <f t="shared" si="138"/>
        <v>54</v>
      </c>
      <c r="AR286">
        <f t="shared" si="139"/>
        <v>40</v>
      </c>
      <c r="AS286">
        <f t="shared" si="140"/>
        <v>101</v>
      </c>
      <c r="AT286">
        <f t="shared" si="141"/>
        <v>92</v>
      </c>
      <c r="AU286">
        <f t="shared" si="142"/>
        <v>60</v>
      </c>
      <c r="AV286">
        <f t="shared" si="143"/>
        <v>54</v>
      </c>
      <c r="AW286">
        <f t="shared" si="144"/>
        <v>40</v>
      </c>
      <c r="AX286">
        <f t="shared" si="145"/>
        <v>90</v>
      </c>
      <c r="AY286">
        <f t="shared" si="146"/>
        <v>82</v>
      </c>
      <c r="AZ286">
        <f t="shared" si="147"/>
        <v>50</v>
      </c>
      <c r="BA286">
        <f t="shared" si="148"/>
        <v>45</v>
      </c>
      <c r="BB286">
        <f t="shared" si="149"/>
        <v>31</v>
      </c>
    </row>
    <row r="287" spans="1:54" x14ac:dyDescent="0.15">
      <c r="A287">
        <v>192</v>
      </c>
      <c r="B287" t="s">
        <v>1076</v>
      </c>
      <c r="C287">
        <v>210</v>
      </c>
      <c r="D287">
        <v>0</v>
      </c>
      <c r="E287" t="s">
        <v>1077</v>
      </c>
      <c r="G287" t="s">
        <v>1077</v>
      </c>
      <c r="H287" t="s">
        <v>1078</v>
      </c>
      <c r="J287" t="s">
        <v>232</v>
      </c>
      <c r="K287">
        <v>48.7</v>
      </c>
      <c r="L287">
        <v>1.4</v>
      </c>
      <c r="M287" t="s">
        <v>233</v>
      </c>
      <c r="O287" t="s">
        <v>155</v>
      </c>
      <c r="P287" t="s">
        <v>770</v>
      </c>
      <c r="Q287" t="s">
        <v>736</v>
      </c>
      <c r="R287">
        <v>9</v>
      </c>
      <c r="S287">
        <v>90</v>
      </c>
      <c r="T287">
        <v>120</v>
      </c>
      <c r="U287">
        <v>75</v>
      </c>
      <c r="V287">
        <v>60</v>
      </c>
      <c r="W287">
        <v>60</v>
      </c>
      <c r="X287">
        <v>45</v>
      </c>
      <c r="Y287">
        <f t="shared" si="120"/>
        <v>197</v>
      </c>
      <c r="Z287">
        <f t="shared" si="121"/>
        <v>197</v>
      </c>
      <c r="AA287">
        <f t="shared" si="122"/>
        <v>165</v>
      </c>
      <c r="AB287">
        <f t="shared" si="123"/>
        <v>165</v>
      </c>
      <c r="AC287">
        <f t="shared" si="124"/>
        <v>150</v>
      </c>
      <c r="AD287">
        <f t="shared" si="125"/>
        <v>189</v>
      </c>
      <c r="AE287">
        <f t="shared" si="126"/>
        <v>172</v>
      </c>
      <c r="AF287">
        <f t="shared" si="127"/>
        <v>140</v>
      </c>
      <c r="AG287">
        <f t="shared" si="128"/>
        <v>126</v>
      </c>
      <c r="AH287">
        <f t="shared" si="129"/>
        <v>112</v>
      </c>
      <c r="AI287">
        <f t="shared" si="130"/>
        <v>139</v>
      </c>
      <c r="AJ287">
        <f t="shared" si="131"/>
        <v>127</v>
      </c>
      <c r="AK287">
        <f t="shared" si="132"/>
        <v>95</v>
      </c>
      <c r="AL287">
        <f t="shared" si="133"/>
        <v>85</v>
      </c>
      <c r="AM287">
        <f t="shared" si="134"/>
        <v>72</v>
      </c>
      <c r="AN287">
        <f t="shared" si="135"/>
        <v>123</v>
      </c>
      <c r="AO287">
        <f t="shared" si="136"/>
        <v>112</v>
      </c>
      <c r="AP287">
        <f t="shared" si="137"/>
        <v>80</v>
      </c>
      <c r="AQ287">
        <f t="shared" si="138"/>
        <v>72</v>
      </c>
      <c r="AR287">
        <f t="shared" si="139"/>
        <v>58</v>
      </c>
      <c r="AS287">
        <f t="shared" si="140"/>
        <v>123</v>
      </c>
      <c r="AT287">
        <f t="shared" si="141"/>
        <v>112</v>
      </c>
      <c r="AU287">
        <f t="shared" si="142"/>
        <v>80</v>
      </c>
      <c r="AV287">
        <f t="shared" si="143"/>
        <v>72</v>
      </c>
      <c r="AW287">
        <f t="shared" si="144"/>
        <v>58</v>
      </c>
      <c r="AX287">
        <f t="shared" si="145"/>
        <v>106</v>
      </c>
      <c r="AY287">
        <f t="shared" si="146"/>
        <v>97</v>
      </c>
      <c r="AZ287">
        <f t="shared" si="147"/>
        <v>65</v>
      </c>
      <c r="BA287">
        <f t="shared" si="148"/>
        <v>58</v>
      </c>
      <c r="BB287">
        <f t="shared" si="149"/>
        <v>45</v>
      </c>
    </row>
    <row r="288" spans="1:54" x14ac:dyDescent="0.15">
      <c r="A288">
        <v>193</v>
      </c>
      <c r="B288" t="s">
        <v>1079</v>
      </c>
      <c r="C288">
        <v>211</v>
      </c>
      <c r="D288">
        <v>0</v>
      </c>
      <c r="E288" t="s">
        <v>1080</v>
      </c>
      <c r="G288" t="s">
        <v>1080</v>
      </c>
      <c r="H288" t="s">
        <v>1081</v>
      </c>
      <c r="J288" t="s">
        <v>259</v>
      </c>
      <c r="K288">
        <v>3.9</v>
      </c>
      <c r="L288">
        <v>0.5</v>
      </c>
      <c r="M288" t="s">
        <v>71</v>
      </c>
      <c r="N288" t="s">
        <v>27</v>
      </c>
      <c r="O288" t="s">
        <v>215</v>
      </c>
      <c r="P288" t="s">
        <v>346</v>
      </c>
      <c r="Q288" t="s">
        <v>155</v>
      </c>
      <c r="R288">
        <v>9</v>
      </c>
      <c r="S288">
        <v>65</v>
      </c>
      <c r="T288">
        <v>95</v>
      </c>
      <c r="U288">
        <v>85</v>
      </c>
      <c r="V288">
        <v>55</v>
      </c>
      <c r="W288">
        <v>55</v>
      </c>
      <c r="X288">
        <v>85</v>
      </c>
      <c r="Y288">
        <f t="shared" si="120"/>
        <v>172</v>
      </c>
      <c r="Z288">
        <f t="shared" si="121"/>
        <v>172</v>
      </c>
      <c r="AA288">
        <f t="shared" si="122"/>
        <v>140</v>
      </c>
      <c r="AB288">
        <f t="shared" si="123"/>
        <v>140</v>
      </c>
      <c r="AC288">
        <f t="shared" si="124"/>
        <v>125</v>
      </c>
      <c r="AD288">
        <f t="shared" si="125"/>
        <v>161</v>
      </c>
      <c r="AE288">
        <f t="shared" si="126"/>
        <v>147</v>
      </c>
      <c r="AF288">
        <f t="shared" si="127"/>
        <v>115</v>
      </c>
      <c r="AG288">
        <f t="shared" si="128"/>
        <v>103</v>
      </c>
      <c r="AH288">
        <f t="shared" si="129"/>
        <v>90</v>
      </c>
      <c r="AI288">
        <f t="shared" si="130"/>
        <v>150</v>
      </c>
      <c r="AJ288">
        <f t="shared" si="131"/>
        <v>137</v>
      </c>
      <c r="AK288">
        <f t="shared" si="132"/>
        <v>105</v>
      </c>
      <c r="AL288">
        <f t="shared" si="133"/>
        <v>94</v>
      </c>
      <c r="AM288">
        <f t="shared" si="134"/>
        <v>81</v>
      </c>
      <c r="AN288">
        <f t="shared" si="135"/>
        <v>117</v>
      </c>
      <c r="AO288">
        <f t="shared" si="136"/>
        <v>107</v>
      </c>
      <c r="AP288">
        <f t="shared" si="137"/>
        <v>75</v>
      </c>
      <c r="AQ288">
        <f t="shared" si="138"/>
        <v>67</v>
      </c>
      <c r="AR288">
        <f t="shared" si="139"/>
        <v>54</v>
      </c>
      <c r="AS288">
        <f t="shared" si="140"/>
        <v>117</v>
      </c>
      <c r="AT288">
        <f t="shared" si="141"/>
        <v>107</v>
      </c>
      <c r="AU288">
        <f t="shared" si="142"/>
        <v>75</v>
      </c>
      <c r="AV288">
        <f t="shared" si="143"/>
        <v>67</v>
      </c>
      <c r="AW288">
        <f t="shared" si="144"/>
        <v>54</v>
      </c>
      <c r="AX288">
        <f t="shared" si="145"/>
        <v>150</v>
      </c>
      <c r="AY288">
        <f t="shared" si="146"/>
        <v>137</v>
      </c>
      <c r="AZ288">
        <f t="shared" si="147"/>
        <v>105</v>
      </c>
      <c r="BA288">
        <f t="shared" si="148"/>
        <v>94</v>
      </c>
      <c r="BB288">
        <f t="shared" si="149"/>
        <v>81</v>
      </c>
    </row>
    <row r="289" spans="1:54" x14ac:dyDescent="0.15">
      <c r="A289">
        <v>194</v>
      </c>
      <c r="B289" t="s">
        <v>1082</v>
      </c>
      <c r="C289">
        <v>211</v>
      </c>
      <c r="D289">
        <v>1</v>
      </c>
      <c r="E289" t="s">
        <v>1080</v>
      </c>
      <c r="F289" t="s">
        <v>367</v>
      </c>
      <c r="G289" t="s">
        <v>1083</v>
      </c>
      <c r="H289" t="s">
        <v>1084</v>
      </c>
      <c r="J289" t="s">
        <v>259</v>
      </c>
      <c r="K289">
        <v>3.9</v>
      </c>
      <c r="L289">
        <v>0.5</v>
      </c>
      <c r="M289" t="s">
        <v>140</v>
      </c>
      <c r="N289" t="s">
        <v>27</v>
      </c>
      <c r="O289" t="s">
        <v>215</v>
      </c>
      <c r="P289" t="s">
        <v>346</v>
      </c>
      <c r="Q289" t="s">
        <v>155</v>
      </c>
      <c r="R289">
        <v>9</v>
      </c>
      <c r="S289">
        <v>65</v>
      </c>
      <c r="T289">
        <v>95</v>
      </c>
      <c r="U289">
        <v>85</v>
      </c>
      <c r="V289">
        <v>55</v>
      </c>
      <c r="W289">
        <v>55</v>
      </c>
      <c r="X289">
        <v>85</v>
      </c>
      <c r="Y289">
        <f t="shared" si="120"/>
        <v>172</v>
      </c>
      <c r="Z289">
        <f t="shared" si="121"/>
        <v>172</v>
      </c>
      <c r="AA289">
        <f t="shared" si="122"/>
        <v>140</v>
      </c>
      <c r="AB289">
        <f t="shared" si="123"/>
        <v>140</v>
      </c>
      <c r="AC289">
        <f t="shared" si="124"/>
        <v>125</v>
      </c>
      <c r="AD289">
        <f t="shared" si="125"/>
        <v>161</v>
      </c>
      <c r="AE289">
        <f t="shared" si="126"/>
        <v>147</v>
      </c>
      <c r="AF289">
        <f t="shared" si="127"/>
        <v>115</v>
      </c>
      <c r="AG289">
        <f t="shared" si="128"/>
        <v>103</v>
      </c>
      <c r="AH289">
        <f t="shared" si="129"/>
        <v>90</v>
      </c>
      <c r="AI289">
        <f t="shared" si="130"/>
        <v>150</v>
      </c>
      <c r="AJ289">
        <f t="shared" si="131"/>
        <v>137</v>
      </c>
      <c r="AK289">
        <f t="shared" si="132"/>
        <v>105</v>
      </c>
      <c r="AL289">
        <f t="shared" si="133"/>
        <v>94</v>
      </c>
      <c r="AM289">
        <f t="shared" si="134"/>
        <v>81</v>
      </c>
      <c r="AN289">
        <f t="shared" si="135"/>
        <v>117</v>
      </c>
      <c r="AO289">
        <f t="shared" si="136"/>
        <v>107</v>
      </c>
      <c r="AP289">
        <f t="shared" si="137"/>
        <v>75</v>
      </c>
      <c r="AQ289">
        <f t="shared" si="138"/>
        <v>67</v>
      </c>
      <c r="AR289">
        <f t="shared" si="139"/>
        <v>54</v>
      </c>
      <c r="AS289">
        <f t="shared" si="140"/>
        <v>117</v>
      </c>
      <c r="AT289">
        <f t="shared" si="141"/>
        <v>107</v>
      </c>
      <c r="AU289">
        <f t="shared" si="142"/>
        <v>75</v>
      </c>
      <c r="AV289">
        <f t="shared" si="143"/>
        <v>67</v>
      </c>
      <c r="AW289">
        <f t="shared" si="144"/>
        <v>54</v>
      </c>
      <c r="AX289">
        <f t="shared" si="145"/>
        <v>150</v>
      </c>
      <c r="AY289">
        <f t="shared" si="146"/>
        <v>137</v>
      </c>
      <c r="AZ289">
        <f t="shared" si="147"/>
        <v>105</v>
      </c>
      <c r="BA289">
        <f t="shared" si="148"/>
        <v>94</v>
      </c>
      <c r="BB289">
        <f t="shared" si="149"/>
        <v>81</v>
      </c>
    </row>
    <row r="290" spans="1:54" x14ac:dyDescent="0.15">
      <c r="A290">
        <v>195</v>
      </c>
      <c r="B290" t="s">
        <v>1085</v>
      </c>
      <c r="C290">
        <v>212</v>
      </c>
      <c r="D290">
        <v>0</v>
      </c>
      <c r="E290" t="s">
        <v>1086</v>
      </c>
      <c r="G290" t="s">
        <v>1086</v>
      </c>
      <c r="H290" t="s">
        <v>1087</v>
      </c>
      <c r="J290" t="s">
        <v>579</v>
      </c>
      <c r="K290">
        <v>118</v>
      </c>
      <c r="L290">
        <v>1.8</v>
      </c>
      <c r="M290" t="s">
        <v>90</v>
      </c>
      <c r="N290" t="s">
        <v>203</v>
      </c>
      <c r="O290" t="s">
        <v>112</v>
      </c>
      <c r="P290" t="s">
        <v>322</v>
      </c>
      <c r="Q290" t="s">
        <v>1088</v>
      </c>
      <c r="R290">
        <v>9</v>
      </c>
      <c r="S290">
        <v>70</v>
      </c>
      <c r="T290">
        <v>130</v>
      </c>
      <c r="U290">
        <v>100</v>
      </c>
      <c r="V290">
        <v>55</v>
      </c>
      <c r="W290">
        <v>80</v>
      </c>
      <c r="X290">
        <v>65</v>
      </c>
      <c r="Y290">
        <f t="shared" si="120"/>
        <v>177</v>
      </c>
      <c r="Z290">
        <f t="shared" si="121"/>
        <v>177</v>
      </c>
      <c r="AA290">
        <f t="shared" si="122"/>
        <v>145</v>
      </c>
      <c r="AB290">
        <f t="shared" si="123"/>
        <v>145</v>
      </c>
      <c r="AC290">
        <f t="shared" si="124"/>
        <v>130</v>
      </c>
      <c r="AD290">
        <f t="shared" si="125"/>
        <v>200</v>
      </c>
      <c r="AE290">
        <f t="shared" si="126"/>
        <v>182</v>
      </c>
      <c r="AF290">
        <f t="shared" si="127"/>
        <v>150</v>
      </c>
      <c r="AG290">
        <f t="shared" si="128"/>
        <v>135</v>
      </c>
      <c r="AH290">
        <f t="shared" si="129"/>
        <v>121</v>
      </c>
      <c r="AI290">
        <f t="shared" si="130"/>
        <v>167</v>
      </c>
      <c r="AJ290">
        <f t="shared" si="131"/>
        <v>152</v>
      </c>
      <c r="AK290">
        <f t="shared" si="132"/>
        <v>120</v>
      </c>
      <c r="AL290">
        <f t="shared" si="133"/>
        <v>108</v>
      </c>
      <c r="AM290">
        <f t="shared" si="134"/>
        <v>94</v>
      </c>
      <c r="AN290">
        <f t="shared" si="135"/>
        <v>117</v>
      </c>
      <c r="AO290">
        <f t="shared" si="136"/>
        <v>107</v>
      </c>
      <c r="AP290">
        <f t="shared" si="137"/>
        <v>75</v>
      </c>
      <c r="AQ290">
        <f t="shared" si="138"/>
        <v>67</v>
      </c>
      <c r="AR290">
        <f t="shared" si="139"/>
        <v>54</v>
      </c>
      <c r="AS290">
        <f t="shared" si="140"/>
        <v>145</v>
      </c>
      <c r="AT290">
        <f t="shared" si="141"/>
        <v>132</v>
      </c>
      <c r="AU290">
        <f t="shared" si="142"/>
        <v>100</v>
      </c>
      <c r="AV290">
        <f t="shared" si="143"/>
        <v>90</v>
      </c>
      <c r="AW290">
        <f t="shared" si="144"/>
        <v>76</v>
      </c>
      <c r="AX290">
        <f t="shared" si="145"/>
        <v>128</v>
      </c>
      <c r="AY290">
        <f t="shared" si="146"/>
        <v>117</v>
      </c>
      <c r="AZ290">
        <f t="shared" si="147"/>
        <v>85</v>
      </c>
      <c r="BA290">
        <f t="shared" si="148"/>
        <v>76</v>
      </c>
      <c r="BB290">
        <f t="shared" si="149"/>
        <v>63</v>
      </c>
    </row>
    <row r="291" spans="1:54" x14ac:dyDescent="0.15">
      <c r="B291" t="s">
        <v>1089</v>
      </c>
      <c r="C291">
        <v>212</v>
      </c>
      <c r="D291">
        <v>1</v>
      </c>
      <c r="E291" t="s">
        <v>1086</v>
      </c>
      <c r="F291" t="s">
        <v>1090</v>
      </c>
      <c r="G291" t="s">
        <v>1090</v>
      </c>
      <c r="J291" t="s">
        <v>579</v>
      </c>
      <c r="K291">
        <v>125</v>
      </c>
      <c r="L291">
        <v>2</v>
      </c>
      <c r="M291" t="s">
        <v>90</v>
      </c>
      <c r="N291" t="s">
        <v>203</v>
      </c>
      <c r="O291" t="s">
        <v>322</v>
      </c>
      <c r="P291" t="s">
        <v>1088</v>
      </c>
      <c r="R291">
        <v>7</v>
      </c>
      <c r="S291">
        <v>70</v>
      </c>
      <c r="T291">
        <v>130</v>
      </c>
      <c r="U291">
        <v>100</v>
      </c>
      <c r="V291">
        <v>55</v>
      </c>
      <c r="W291">
        <v>80</v>
      </c>
      <c r="X291">
        <v>65</v>
      </c>
      <c r="Y291">
        <f t="shared" si="120"/>
        <v>177</v>
      </c>
      <c r="Z291">
        <f t="shared" si="121"/>
        <v>177</v>
      </c>
      <c r="AA291">
        <f t="shared" si="122"/>
        <v>145</v>
      </c>
      <c r="AB291">
        <f t="shared" si="123"/>
        <v>145</v>
      </c>
      <c r="AC291">
        <f t="shared" si="124"/>
        <v>130</v>
      </c>
      <c r="AD291">
        <f t="shared" si="125"/>
        <v>200</v>
      </c>
      <c r="AE291">
        <f t="shared" si="126"/>
        <v>182</v>
      </c>
      <c r="AF291">
        <f t="shared" si="127"/>
        <v>150</v>
      </c>
      <c r="AG291">
        <f t="shared" si="128"/>
        <v>135</v>
      </c>
      <c r="AH291">
        <f t="shared" si="129"/>
        <v>121</v>
      </c>
      <c r="AI291">
        <f t="shared" si="130"/>
        <v>167</v>
      </c>
      <c r="AJ291">
        <f t="shared" si="131"/>
        <v>152</v>
      </c>
      <c r="AK291">
        <f t="shared" si="132"/>
        <v>120</v>
      </c>
      <c r="AL291">
        <f t="shared" si="133"/>
        <v>108</v>
      </c>
      <c r="AM291">
        <f t="shared" si="134"/>
        <v>94</v>
      </c>
      <c r="AN291">
        <f t="shared" si="135"/>
        <v>117</v>
      </c>
      <c r="AO291">
        <f t="shared" si="136"/>
        <v>107</v>
      </c>
      <c r="AP291">
        <f t="shared" si="137"/>
        <v>75</v>
      </c>
      <c r="AQ291">
        <f t="shared" si="138"/>
        <v>67</v>
      </c>
      <c r="AR291">
        <f t="shared" si="139"/>
        <v>54</v>
      </c>
      <c r="AS291">
        <f t="shared" si="140"/>
        <v>145</v>
      </c>
      <c r="AT291">
        <f t="shared" si="141"/>
        <v>132</v>
      </c>
      <c r="AU291">
        <f t="shared" si="142"/>
        <v>100</v>
      </c>
      <c r="AV291">
        <f t="shared" si="143"/>
        <v>90</v>
      </c>
      <c r="AW291">
        <f t="shared" si="144"/>
        <v>76</v>
      </c>
      <c r="AX291">
        <f t="shared" si="145"/>
        <v>128</v>
      </c>
      <c r="AY291">
        <f t="shared" si="146"/>
        <v>117</v>
      </c>
      <c r="AZ291">
        <f t="shared" si="147"/>
        <v>85</v>
      </c>
      <c r="BA291">
        <f t="shared" si="148"/>
        <v>76</v>
      </c>
      <c r="BB291">
        <f t="shared" si="149"/>
        <v>63</v>
      </c>
    </row>
    <row r="292" spans="1:54" x14ac:dyDescent="0.15">
      <c r="B292" t="s">
        <v>1091</v>
      </c>
      <c r="C292">
        <v>213</v>
      </c>
      <c r="D292">
        <v>0</v>
      </c>
      <c r="E292" t="s">
        <v>1092</v>
      </c>
      <c r="G292" t="s">
        <v>1092</v>
      </c>
      <c r="J292" t="s">
        <v>1093</v>
      </c>
      <c r="K292">
        <v>20.5</v>
      </c>
      <c r="L292">
        <v>0.6</v>
      </c>
      <c r="M292" t="s">
        <v>90</v>
      </c>
      <c r="N292" t="s">
        <v>371</v>
      </c>
      <c r="O292" t="s">
        <v>435</v>
      </c>
      <c r="P292" t="s">
        <v>141</v>
      </c>
      <c r="Q292" t="s">
        <v>1094</v>
      </c>
      <c r="R292">
        <v>8</v>
      </c>
      <c r="S292">
        <v>20</v>
      </c>
      <c r="T292">
        <v>10</v>
      </c>
      <c r="U292">
        <v>230</v>
      </c>
      <c r="V292">
        <v>10</v>
      </c>
      <c r="W292">
        <v>230</v>
      </c>
      <c r="X292">
        <v>5</v>
      </c>
      <c r="Y292">
        <f t="shared" si="120"/>
        <v>127</v>
      </c>
      <c r="Z292">
        <f t="shared" si="121"/>
        <v>127</v>
      </c>
      <c r="AA292">
        <f t="shared" si="122"/>
        <v>95</v>
      </c>
      <c r="AB292">
        <f t="shared" si="123"/>
        <v>95</v>
      </c>
      <c r="AC292">
        <f t="shared" si="124"/>
        <v>80</v>
      </c>
      <c r="AD292">
        <f t="shared" si="125"/>
        <v>68</v>
      </c>
      <c r="AE292">
        <f t="shared" si="126"/>
        <v>62</v>
      </c>
      <c r="AF292">
        <f t="shared" si="127"/>
        <v>30</v>
      </c>
      <c r="AG292">
        <f t="shared" si="128"/>
        <v>27</v>
      </c>
      <c r="AH292">
        <f t="shared" si="129"/>
        <v>13</v>
      </c>
      <c r="AI292">
        <f t="shared" si="130"/>
        <v>310</v>
      </c>
      <c r="AJ292">
        <f t="shared" si="131"/>
        <v>282</v>
      </c>
      <c r="AK292">
        <f t="shared" si="132"/>
        <v>250</v>
      </c>
      <c r="AL292">
        <f t="shared" si="133"/>
        <v>225</v>
      </c>
      <c r="AM292">
        <f t="shared" si="134"/>
        <v>211</v>
      </c>
      <c r="AN292">
        <f t="shared" si="135"/>
        <v>68</v>
      </c>
      <c r="AO292">
        <f t="shared" si="136"/>
        <v>62</v>
      </c>
      <c r="AP292">
        <f t="shared" si="137"/>
        <v>30</v>
      </c>
      <c r="AQ292">
        <f t="shared" si="138"/>
        <v>27</v>
      </c>
      <c r="AR292">
        <f t="shared" si="139"/>
        <v>13</v>
      </c>
      <c r="AS292">
        <f t="shared" si="140"/>
        <v>310</v>
      </c>
      <c r="AT292">
        <f t="shared" si="141"/>
        <v>282</v>
      </c>
      <c r="AU292">
        <f t="shared" si="142"/>
        <v>250</v>
      </c>
      <c r="AV292">
        <f t="shared" si="143"/>
        <v>225</v>
      </c>
      <c r="AW292">
        <f t="shared" si="144"/>
        <v>211</v>
      </c>
      <c r="AX292">
        <f t="shared" si="145"/>
        <v>62</v>
      </c>
      <c r="AY292">
        <f t="shared" si="146"/>
        <v>57</v>
      </c>
      <c r="AZ292">
        <f t="shared" si="147"/>
        <v>25</v>
      </c>
      <c r="BA292">
        <f t="shared" si="148"/>
        <v>22</v>
      </c>
      <c r="BB292">
        <f t="shared" si="149"/>
        <v>9</v>
      </c>
    </row>
    <row r="293" spans="1:54" x14ac:dyDescent="0.15">
      <c r="A293">
        <v>196</v>
      </c>
      <c r="B293" t="s">
        <v>1095</v>
      </c>
      <c r="C293">
        <v>214</v>
      </c>
      <c r="D293">
        <v>0</v>
      </c>
      <c r="E293" t="s">
        <v>1096</v>
      </c>
      <c r="G293" t="s">
        <v>1096</v>
      </c>
      <c r="H293" t="s">
        <v>1097</v>
      </c>
      <c r="J293" t="s">
        <v>1098</v>
      </c>
      <c r="K293">
        <v>54</v>
      </c>
      <c r="L293">
        <v>1.5</v>
      </c>
      <c r="M293" t="s">
        <v>90</v>
      </c>
      <c r="N293" t="s">
        <v>354</v>
      </c>
      <c r="O293" t="s">
        <v>112</v>
      </c>
      <c r="P293" t="s">
        <v>135</v>
      </c>
      <c r="Q293" t="s">
        <v>714</v>
      </c>
      <c r="R293">
        <v>9</v>
      </c>
      <c r="S293">
        <v>80</v>
      </c>
      <c r="T293">
        <v>125</v>
      </c>
      <c r="U293">
        <v>75</v>
      </c>
      <c r="V293">
        <v>40</v>
      </c>
      <c r="W293">
        <v>95</v>
      </c>
      <c r="X293">
        <v>85</v>
      </c>
      <c r="Y293">
        <f t="shared" si="120"/>
        <v>187</v>
      </c>
      <c r="Z293">
        <f t="shared" si="121"/>
        <v>187</v>
      </c>
      <c r="AA293">
        <f t="shared" si="122"/>
        <v>155</v>
      </c>
      <c r="AB293">
        <f t="shared" si="123"/>
        <v>155</v>
      </c>
      <c r="AC293">
        <f t="shared" si="124"/>
        <v>140</v>
      </c>
      <c r="AD293">
        <f t="shared" si="125"/>
        <v>194</v>
      </c>
      <c r="AE293">
        <f t="shared" si="126"/>
        <v>177</v>
      </c>
      <c r="AF293">
        <f t="shared" si="127"/>
        <v>145</v>
      </c>
      <c r="AG293">
        <f t="shared" si="128"/>
        <v>130</v>
      </c>
      <c r="AH293">
        <f t="shared" si="129"/>
        <v>117</v>
      </c>
      <c r="AI293">
        <f t="shared" si="130"/>
        <v>139</v>
      </c>
      <c r="AJ293">
        <f t="shared" si="131"/>
        <v>127</v>
      </c>
      <c r="AK293">
        <f t="shared" si="132"/>
        <v>95</v>
      </c>
      <c r="AL293">
        <f t="shared" si="133"/>
        <v>85</v>
      </c>
      <c r="AM293">
        <f t="shared" si="134"/>
        <v>72</v>
      </c>
      <c r="AN293">
        <f t="shared" si="135"/>
        <v>101</v>
      </c>
      <c r="AO293">
        <f t="shared" si="136"/>
        <v>92</v>
      </c>
      <c r="AP293">
        <f t="shared" si="137"/>
        <v>60</v>
      </c>
      <c r="AQ293">
        <f t="shared" si="138"/>
        <v>54</v>
      </c>
      <c r="AR293">
        <f t="shared" si="139"/>
        <v>40</v>
      </c>
      <c r="AS293">
        <f t="shared" si="140"/>
        <v>161</v>
      </c>
      <c r="AT293">
        <f t="shared" si="141"/>
        <v>147</v>
      </c>
      <c r="AU293">
        <f t="shared" si="142"/>
        <v>115</v>
      </c>
      <c r="AV293">
        <f t="shared" si="143"/>
        <v>103</v>
      </c>
      <c r="AW293">
        <f t="shared" si="144"/>
        <v>90</v>
      </c>
      <c r="AX293">
        <f t="shared" si="145"/>
        <v>150</v>
      </c>
      <c r="AY293">
        <f t="shared" si="146"/>
        <v>137</v>
      </c>
      <c r="AZ293">
        <f t="shared" si="147"/>
        <v>105</v>
      </c>
      <c r="BA293">
        <f t="shared" si="148"/>
        <v>94</v>
      </c>
      <c r="BB293">
        <f t="shared" si="149"/>
        <v>81</v>
      </c>
    </row>
    <row r="294" spans="1:54" x14ac:dyDescent="0.15">
      <c r="B294" t="s">
        <v>1099</v>
      </c>
      <c r="C294">
        <v>214</v>
      </c>
      <c r="D294">
        <v>1</v>
      </c>
      <c r="E294" t="s">
        <v>1096</v>
      </c>
      <c r="F294" t="s">
        <v>1100</v>
      </c>
      <c r="G294" t="s">
        <v>1100</v>
      </c>
      <c r="J294" t="s">
        <v>1098</v>
      </c>
      <c r="K294">
        <v>62.5</v>
      </c>
      <c r="L294">
        <v>1.7</v>
      </c>
      <c r="M294" t="s">
        <v>90</v>
      </c>
      <c r="N294" t="s">
        <v>354</v>
      </c>
      <c r="O294" t="s">
        <v>537</v>
      </c>
      <c r="P294" t="s">
        <v>714</v>
      </c>
      <c r="R294">
        <v>7</v>
      </c>
      <c r="S294">
        <v>80</v>
      </c>
      <c r="T294">
        <v>125</v>
      </c>
      <c r="U294">
        <v>75</v>
      </c>
      <c r="V294">
        <v>40</v>
      </c>
      <c r="W294">
        <v>95</v>
      </c>
      <c r="X294">
        <v>85</v>
      </c>
      <c r="Y294">
        <f t="shared" si="120"/>
        <v>187</v>
      </c>
      <c r="Z294">
        <f t="shared" si="121"/>
        <v>187</v>
      </c>
      <c r="AA294">
        <f t="shared" si="122"/>
        <v>155</v>
      </c>
      <c r="AB294">
        <f t="shared" si="123"/>
        <v>155</v>
      </c>
      <c r="AC294">
        <f t="shared" si="124"/>
        <v>140</v>
      </c>
      <c r="AD294">
        <f t="shared" si="125"/>
        <v>194</v>
      </c>
      <c r="AE294">
        <f t="shared" si="126"/>
        <v>177</v>
      </c>
      <c r="AF294">
        <f t="shared" si="127"/>
        <v>145</v>
      </c>
      <c r="AG294">
        <f t="shared" si="128"/>
        <v>130</v>
      </c>
      <c r="AH294">
        <f t="shared" si="129"/>
        <v>117</v>
      </c>
      <c r="AI294">
        <f t="shared" si="130"/>
        <v>139</v>
      </c>
      <c r="AJ294">
        <f t="shared" si="131"/>
        <v>127</v>
      </c>
      <c r="AK294">
        <f t="shared" si="132"/>
        <v>95</v>
      </c>
      <c r="AL294">
        <f t="shared" si="133"/>
        <v>85</v>
      </c>
      <c r="AM294">
        <f t="shared" si="134"/>
        <v>72</v>
      </c>
      <c r="AN294">
        <f t="shared" si="135"/>
        <v>101</v>
      </c>
      <c r="AO294">
        <f t="shared" si="136"/>
        <v>92</v>
      </c>
      <c r="AP294">
        <f t="shared" si="137"/>
        <v>60</v>
      </c>
      <c r="AQ294">
        <f t="shared" si="138"/>
        <v>54</v>
      </c>
      <c r="AR294">
        <f t="shared" si="139"/>
        <v>40</v>
      </c>
      <c r="AS294">
        <f t="shared" si="140"/>
        <v>161</v>
      </c>
      <c r="AT294">
        <f t="shared" si="141"/>
        <v>147</v>
      </c>
      <c r="AU294">
        <f t="shared" si="142"/>
        <v>115</v>
      </c>
      <c r="AV294">
        <f t="shared" si="143"/>
        <v>103</v>
      </c>
      <c r="AW294">
        <f t="shared" si="144"/>
        <v>90</v>
      </c>
      <c r="AX294">
        <f t="shared" si="145"/>
        <v>150</v>
      </c>
      <c r="AY294">
        <f t="shared" si="146"/>
        <v>137</v>
      </c>
      <c r="AZ294">
        <f t="shared" si="147"/>
        <v>105</v>
      </c>
      <c r="BA294">
        <f t="shared" si="148"/>
        <v>94</v>
      </c>
      <c r="BB294">
        <f t="shared" si="149"/>
        <v>81</v>
      </c>
    </row>
    <row r="295" spans="1:54" x14ac:dyDescent="0.15">
      <c r="A295">
        <v>197</v>
      </c>
      <c r="B295" t="s">
        <v>1101</v>
      </c>
      <c r="C295">
        <v>215</v>
      </c>
      <c r="D295">
        <v>0</v>
      </c>
      <c r="E295" t="s">
        <v>1102</v>
      </c>
      <c r="G295" t="s">
        <v>1102</v>
      </c>
      <c r="H295" t="s">
        <v>1103</v>
      </c>
      <c r="J295" t="s">
        <v>1104</v>
      </c>
      <c r="K295">
        <v>28</v>
      </c>
      <c r="L295">
        <v>0.9</v>
      </c>
      <c r="M295" t="s">
        <v>140</v>
      </c>
      <c r="N295" t="s">
        <v>202</v>
      </c>
      <c r="O295" t="s">
        <v>268</v>
      </c>
      <c r="P295" t="s">
        <v>121</v>
      </c>
      <c r="Q295" t="s">
        <v>1105</v>
      </c>
      <c r="R295">
        <v>9</v>
      </c>
      <c r="S295">
        <v>55</v>
      </c>
      <c r="T295">
        <v>95</v>
      </c>
      <c r="U295">
        <v>55</v>
      </c>
      <c r="V295">
        <v>35</v>
      </c>
      <c r="W295">
        <v>75</v>
      </c>
      <c r="X295">
        <v>115</v>
      </c>
      <c r="Y295">
        <f t="shared" si="120"/>
        <v>162</v>
      </c>
      <c r="Z295">
        <f t="shared" si="121"/>
        <v>162</v>
      </c>
      <c r="AA295">
        <f t="shared" si="122"/>
        <v>130</v>
      </c>
      <c r="AB295">
        <f t="shared" si="123"/>
        <v>130</v>
      </c>
      <c r="AC295">
        <f t="shared" si="124"/>
        <v>115</v>
      </c>
      <c r="AD295">
        <f t="shared" si="125"/>
        <v>161</v>
      </c>
      <c r="AE295">
        <f t="shared" si="126"/>
        <v>147</v>
      </c>
      <c r="AF295">
        <f t="shared" si="127"/>
        <v>115</v>
      </c>
      <c r="AG295">
        <f t="shared" si="128"/>
        <v>103</v>
      </c>
      <c r="AH295">
        <f t="shared" si="129"/>
        <v>90</v>
      </c>
      <c r="AI295">
        <f t="shared" si="130"/>
        <v>117</v>
      </c>
      <c r="AJ295">
        <f t="shared" si="131"/>
        <v>107</v>
      </c>
      <c r="AK295">
        <f t="shared" si="132"/>
        <v>75</v>
      </c>
      <c r="AL295">
        <f t="shared" si="133"/>
        <v>67</v>
      </c>
      <c r="AM295">
        <f t="shared" si="134"/>
        <v>54</v>
      </c>
      <c r="AN295">
        <f t="shared" si="135"/>
        <v>95</v>
      </c>
      <c r="AO295">
        <f t="shared" si="136"/>
        <v>87</v>
      </c>
      <c r="AP295">
        <f t="shared" si="137"/>
        <v>55</v>
      </c>
      <c r="AQ295">
        <f t="shared" si="138"/>
        <v>49</v>
      </c>
      <c r="AR295">
        <f t="shared" si="139"/>
        <v>36</v>
      </c>
      <c r="AS295">
        <f t="shared" si="140"/>
        <v>139</v>
      </c>
      <c r="AT295">
        <f t="shared" si="141"/>
        <v>127</v>
      </c>
      <c r="AU295">
        <f t="shared" si="142"/>
        <v>95</v>
      </c>
      <c r="AV295">
        <f t="shared" si="143"/>
        <v>85</v>
      </c>
      <c r="AW295">
        <f t="shared" si="144"/>
        <v>72</v>
      </c>
      <c r="AX295">
        <f t="shared" si="145"/>
        <v>183</v>
      </c>
      <c r="AY295">
        <f t="shared" si="146"/>
        <v>167</v>
      </c>
      <c r="AZ295">
        <f t="shared" si="147"/>
        <v>135</v>
      </c>
      <c r="BA295">
        <f t="shared" si="148"/>
        <v>121</v>
      </c>
      <c r="BB295">
        <f t="shared" si="149"/>
        <v>108</v>
      </c>
    </row>
    <row r="296" spans="1:54" x14ac:dyDescent="0.15">
      <c r="A296">
        <v>198</v>
      </c>
      <c r="B296" t="s">
        <v>1106</v>
      </c>
      <c r="C296">
        <v>215</v>
      </c>
      <c r="D296">
        <v>1</v>
      </c>
      <c r="E296" t="s">
        <v>1102</v>
      </c>
      <c r="F296" t="s">
        <v>367</v>
      </c>
      <c r="G296" t="s">
        <v>1107</v>
      </c>
      <c r="H296" t="s">
        <v>1108</v>
      </c>
      <c r="J296" t="s">
        <v>1104</v>
      </c>
      <c r="K296">
        <v>27</v>
      </c>
      <c r="L296">
        <v>0.9</v>
      </c>
      <c r="M296" t="s">
        <v>354</v>
      </c>
      <c r="N296" t="s">
        <v>27</v>
      </c>
      <c r="O296" t="s">
        <v>268</v>
      </c>
      <c r="P296" t="s">
        <v>121</v>
      </c>
      <c r="Q296" t="s">
        <v>1105</v>
      </c>
      <c r="R296">
        <v>9</v>
      </c>
      <c r="S296">
        <v>55</v>
      </c>
      <c r="T296">
        <v>95</v>
      </c>
      <c r="U296">
        <v>55</v>
      </c>
      <c r="V296">
        <v>35</v>
      </c>
      <c r="W296">
        <v>75</v>
      </c>
      <c r="X296">
        <v>115</v>
      </c>
      <c r="Y296">
        <f t="shared" si="120"/>
        <v>162</v>
      </c>
      <c r="Z296">
        <f t="shared" si="121"/>
        <v>162</v>
      </c>
      <c r="AA296">
        <f t="shared" si="122"/>
        <v>130</v>
      </c>
      <c r="AB296">
        <f t="shared" si="123"/>
        <v>130</v>
      </c>
      <c r="AC296">
        <f t="shared" si="124"/>
        <v>115</v>
      </c>
      <c r="AD296">
        <f t="shared" si="125"/>
        <v>161</v>
      </c>
      <c r="AE296">
        <f t="shared" si="126"/>
        <v>147</v>
      </c>
      <c r="AF296">
        <f t="shared" si="127"/>
        <v>115</v>
      </c>
      <c r="AG296">
        <f t="shared" si="128"/>
        <v>103</v>
      </c>
      <c r="AH296">
        <f t="shared" si="129"/>
        <v>90</v>
      </c>
      <c r="AI296">
        <f t="shared" si="130"/>
        <v>117</v>
      </c>
      <c r="AJ296">
        <f t="shared" si="131"/>
        <v>107</v>
      </c>
      <c r="AK296">
        <f t="shared" si="132"/>
        <v>75</v>
      </c>
      <c r="AL296">
        <f t="shared" si="133"/>
        <v>67</v>
      </c>
      <c r="AM296">
        <f t="shared" si="134"/>
        <v>54</v>
      </c>
      <c r="AN296">
        <f t="shared" si="135"/>
        <v>95</v>
      </c>
      <c r="AO296">
        <f t="shared" si="136"/>
        <v>87</v>
      </c>
      <c r="AP296">
        <f t="shared" si="137"/>
        <v>55</v>
      </c>
      <c r="AQ296">
        <f t="shared" si="138"/>
        <v>49</v>
      </c>
      <c r="AR296">
        <f t="shared" si="139"/>
        <v>36</v>
      </c>
      <c r="AS296">
        <f t="shared" si="140"/>
        <v>139</v>
      </c>
      <c r="AT296">
        <f t="shared" si="141"/>
        <v>127</v>
      </c>
      <c r="AU296">
        <f t="shared" si="142"/>
        <v>95</v>
      </c>
      <c r="AV296">
        <f t="shared" si="143"/>
        <v>85</v>
      </c>
      <c r="AW296">
        <f t="shared" si="144"/>
        <v>72</v>
      </c>
      <c r="AX296">
        <f t="shared" si="145"/>
        <v>183</v>
      </c>
      <c r="AY296">
        <f t="shared" si="146"/>
        <v>167</v>
      </c>
      <c r="AZ296">
        <f t="shared" si="147"/>
        <v>135</v>
      </c>
      <c r="BA296">
        <f t="shared" si="148"/>
        <v>121</v>
      </c>
      <c r="BB296">
        <f t="shared" si="149"/>
        <v>108</v>
      </c>
    </row>
    <row r="297" spans="1:54" x14ac:dyDescent="0.15">
      <c r="A297">
        <v>199</v>
      </c>
      <c r="B297" t="s">
        <v>1109</v>
      </c>
      <c r="C297">
        <v>216</v>
      </c>
      <c r="D297">
        <v>0</v>
      </c>
      <c r="E297" t="s">
        <v>1110</v>
      </c>
      <c r="G297" t="s">
        <v>1110</v>
      </c>
      <c r="H297" t="s">
        <v>1111</v>
      </c>
      <c r="J297" t="s">
        <v>1112</v>
      </c>
      <c r="K297">
        <v>8.8000000000000007</v>
      </c>
      <c r="L297">
        <v>0.6</v>
      </c>
      <c r="M297" t="s">
        <v>120</v>
      </c>
      <c r="O297" t="s">
        <v>321</v>
      </c>
      <c r="P297" t="s">
        <v>770</v>
      </c>
      <c r="Q297" t="s">
        <v>1113</v>
      </c>
      <c r="R297">
        <v>9</v>
      </c>
      <c r="S297">
        <v>60</v>
      </c>
      <c r="T297">
        <v>80</v>
      </c>
      <c r="U297">
        <v>50</v>
      </c>
      <c r="V297">
        <v>50</v>
      </c>
      <c r="W297">
        <v>50</v>
      </c>
      <c r="X297">
        <v>40</v>
      </c>
      <c r="Y297">
        <f t="shared" si="120"/>
        <v>167</v>
      </c>
      <c r="Z297">
        <f t="shared" si="121"/>
        <v>167</v>
      </c>
      <c r="AA297">
        <f t="shared" si="122"/>
        <v>135</v>
      </c>
      <c r="AB297">
        <f t="shared" si="123"/>
        <v>135</v>
      </c>
      <c r="AC297">
        <f t="shared" si="124"/>
        <v>120</v>
      </c>
      <c r="AD297">
        <f t="shared" si="125"/>
        <v>145</v>
      </c>
      <c r="AE297">
        <f t="shared" si="126"/>
        <v>132</v>
      </c>
      <c r="AF297">
        <f t="shared" si="127"/>
        <v>100</v>
      </c>
      <c r="AG297">
        <f t="shared" si="128"/>
        <v>90</v>
      </c>
      <c r="AH297">
        <f t="shared" si="129"/>
        <v>76</v>
      </c>
      <c r="AI297">
        <f t="shared" si="130"/>
        <v>112</v>
      </c>
      <c r="AJ297">
        <f t="shared" si="131"/>
        <v>102</v>
      </c>
      <c r="AK297">
        <f t="shared" si="132"/>
        <v>70</v>
      </c>
      <c r="AL297">
        <f t="shared" si="133"/>
        <v>63</v>
      </c>
      <c r="AM297">
        <f t="shared" si="134"/>
        <v>49</v>
      </c>
      <c r="AN297">
        <f t="shared" si="135"/>
        <v>112</v>
      </c>
      <c r="AO297">
        <f t="shared" si="136"/>
        <v>102</v>
      </c>
      <c r="AP297">
        <f t="shared" si="137"/>
        <v>70</v>
      </c>
      <c r="AQ297">
        <f t="shared" si="138"/>
        <v>63</v>
      </c>
      <c r="AR297">
        <f t="shared" si="139"/>
        <v>49</v>
      </c>
      <c r="AS297">
        <f t="shared" si="140"/>
        <v>112</v>
      </c>
      <c r="AT297">
        <f t="shared" si="141"/>
        <v>102</v>
      </c>
      <c r="AU297">
        <f t="shared" si="142"/>
        <v>70</v>
      </c>
      <c r="AV297">
        <f t="shared" si="143"/>
        <v>63</v>
      </c>
      <c r="AW297">
        <f t="shared" si="144"/>
        <v>49</v>
      </c>
      <c r="AX297">
        <f t="shared" si="145"/>
        <v>101</v>
      </c>
      <c r="AY297">
        <f t="shared" si="146"/>
        <v>92</v>
      </c>
      <c r="AZ297">
        <f t="shared" si="147"/>
        <v>60</v>
      </c>
      <c r="BA297">
        <f t="shared" si="148"/>
        <v>54</v>
      </c>
      <c r="BB297">
        <f t="shared" si="149"/>
        <v>40</v>
      </c>
    </row>
    <row r="298" spans="1:54" x14ac:dyDescent="0.15">
      <c r="A298">
        <v>200</v>
      </c>
      <c r="B298" t="s">
        <v>1114</v>
      </c>
      <c r="C298">
        <v>217</v>
      </c>
      <c r="D298">
        <v>0</v>
      </c>
      <c r="E298" t="s">
        <v>1115</v>
      </c>
      <c r="G298" t="s">
        <v>1115</v>
      </c>
      <c r="H298" t="s">
        <v>1116</v>
      </c>
      <c r="J298" t="s">
        <v>1117</v>
      </c>
      <c r="K298">
        <v>125.8</v>
      </c>
      <c r="L298">
        <v>1.8</v>
      </c>
      <c r="M298" t="s">
        <v>120</v>
      </c>
      <c r="O298" t="s">
        <v>135</v>
      </c>
      <c r="P298" t="s">
        <v>770</v>
      </c>
      <c r="Q298" t="s">
        <v>156</v>
      </c>
      <c r="R298">
        <v>9</v>
      </c>
      <c r="S298">
        <v>90</v>
      </c>
      <c r="T298">
        <v>130</v>
      </c>
      <c r="U298">
        <v>75</v>
      </c>
      <c r="V298">
        <v>75</v>
      </c>
      <c r="W298">
        <v>75</v>
      </c>
      <c r="X298">
        <v>55</v>
      </c>
      <c r="Y298">
        <f t="shared" si="120"/>
        <v>197</v>
      </c>
      <c r="Z298">
        <f t="shared" si="121"/>
        <v>197</v>
      </c>
      <c r="AA298">
        <f t="shared" si="122"/>
        <v>165</v>
      </c>
      <c r="AB298">
        <f t="shared" si="123"/>
        <v>165</v>
      </c>
      <c r="AC298">
        <f t="shared" si="124"/>
        <v>150</v>
      </c>
      <c r="AD298">
        <f t="shared" si="125"/>
        <v>200</v>
      </c>
      <c r="AE298">
        <f t="shared" si="126"/>
        <v>182</v>
      </c>
      <c r="AF298">
        <f t="shared" si="127"/>
        <v>150</v>
      </c>
      <c r="AG298">
        <f t="shared" si="128"/>
        <v>135</v>
      </c>
      <c r="AH298">
        <f t="shared" si="129"/>
        <v>121</v>
      </c>
      <c r="AI298">
        <f t="shared" si="130"/>
        <v>139</v>
      </c>
      <c r="AJ298">
        <f t="shared" si="131"/>
        <v>127</v>
      </c>
      <c r="AK298">
        <f t="shared" si="132"/>
        <v>95</v>
      </c>
      <c r="AL298">
        <f t="shared" si="133"/>
        <v>85</v>
      </c>
      <c r="AM298">
        <f t="shared" si="134"/>
        <v>72</v>
      </c>
      <c r="AN298">
        <f t="shared" si="135"/>
        <v>139</v>
      </c>
      <c r="AO298">
        <f t="shared" si="136"/>
        <v>127</v>
      </c>
      <c r="AP298">
        <f t="shared" si="137"/>
        <v>95</v>
      </c>
      <c r="AQ298">
        <f t="shared" si="138"/>
        <v>85</v>
      </c>
      <c r="AR298">
        <f t="shared" si="139"/>
        <v>72</v>
      </c>
      <c r="AS298">
        <f t="shared" si="140"/>
        <v>139</v>
      </c>
      <c r="AT298">
        <f t="shared" si="141"/>
        <v>127</v>
      </c>
      <c r="AU298">
        <f t="shared" si="142"/>
        <v>95</v>
      </c>
      <c r="AV298">
        <f t="shared" si="143"/>
        <v>85</v>
      </c>
      <c r="AW298">
        <f t="shared" si="144"/>
        <v>72</v>
      </c>
      <c r="AX298">
        <f t="shared" si="145"/>
        <v>117</v>
      </c>
      <c r="AY298">
        <f t="shared" si="146"/>
        <v>107</v>
      </c>
      <c r="AZ298">
        <f t="shared" si="147"/>
        <v>75</v>
      </c>
      <c r="BA298">
        <f t="shared" si="148"/>
        <v>67</v>
      </c>
      <c r="BB298">
        <f t="shared" si="149"/>
        <v>54</v>
      </c>
    </row>
    <row r="299" spans="1:54" x14ac:dyDescent="0.15">
      <c r="A299">
        <v>201</v>
      </c>
      <c r="B299" t="s">
        <v>1118</v>
      </c>
      <c r="C299">
        <v>218</v>
      </c>
      <c r="D299">
        <v>0</v>
      </c>
      <c r="E299" t="s">
        <v>1119</v>
      </c>
      <c r="G299" t="s">
        <v>1119</v>
      </c>
      <c r="H299" t="s">
        <v>1120</v>
      </c>
      <c r="J299" t="s">
        <v>1121</v>
      </c>
      <c r="K299">
        <v>35</v>
      </c>
      <c r="L299">
        <v>0.7</v>
      </c>
      <c r="M299" t="s">
        <v>47</v>
      </c>
      <c r="O299" t="s">
        <v>1122</v>
      </c>
      <c r="P299" t="s">
        <v>456</v>
      </c>
      <c r="Q299" t="s">
        <v>563</v>
      </c>
      <c r="R299">
        <v>9</v>
      </c>
      <c r="S299">
        <v>40</v>
      </c>
      <c r="T299">
        <v>40</v>
      </c>
      <c r="U299">
        <v>40</v>
      </c>
      <c r="V299">
        <v>70</v>
      </c>
      <c r="W299">
        <v>40</v>
      </c>
      <c r="X299">
        <v>20</v>
      </c>
      <c r="Y299">
        <f t="shared" si="120"/>
        <v>147</v>
      </c>
      <c r="Z299">
        <f t="shared" si="121"/>
        <v>147</v>
      </c>
      <c r="AA299">
        <f t="shared" si="122"/>
        <v>115</v>
      </c>
      <c r="AB299">
        <f t="shared" si="123"/>
        <v>115</v>
      </c>
      <c r="AC299">
        <f t="shared" si="124"/>
        <v>100</v>
      </c>
      <c r="AD299">
        <f t="shared" si="125"/>
        <v>101</v>
      </c>
      <c r="AE299">
        <f t="shared" si="126"/>
        <v>92</v>
      </c>
      <c r="AF299">
        <f t="shared" si="127"/>
        <v>60</v>
      </c>
      <c r="AG299">
        <f t="shared" si="128"/>
        <v>54</v>
      </c>
      <c r="AH299">
        <f t="shared" si="129"/>
        <v>40</v>
      </c>
      <c r="AI299">
        <f t="shared" si="130"/>
        <v>101</v>
      </c>
      <c r="AJ299">
        <f t="shared" si="131"/>
        <v>92</v>
      </c>
      <c r="AK299">
        <f t="shared" si="132"/>
        <v>60</v>
      </c>
      <c r="AL299">
        <f t="shared" si="133"/>
        <v>54</v>
      </c>
      <c r="AM299">
        <f t="shared" si="134"/>
        <v>40</v>
      </c>
      <c r="AN299">
        <f t="shared" si="135"/>
        <v>134</v>
      </c>
      <c r="AO299">
        <f t="shared" si="136"/>
        <v>122</v>
      </c>
      <c r="AP299">
        <f t="shared" si="137"/>
        <v>90</v>
      </c>
      <c r="AQ299">
        <f t="shared" si="138"/>
        <v>81</v>
      </c>
      <c r="AR299">
        <f t="shared" si="139"/>
        <v>67</v>
      </c>
      <c r="AS299">
        <f t="shared" si="140"/>
        <v>101</v>
      </c>
      <c r="AT299">
        <f t="shared" si="141"/>
        <v>92</v>
      </c>
      <c r="AU299">
        <f t="shared" si="142"/>
        <v>60</v>
      </c>
      <c r="AV299">
        <f t="shared" si="143"/>
        <v>54</v>
      </c>
      <c r="AW299">
        <f t="shared" si="144"/>
        <v>40</v>
      </c>
      <c r="AX299">
        <f t="shared" si="145"/>
        <v>79</v>
      </c>
      <c r="AY299">
        <f t="shared" si="146"/>
        <v>72</v>
      </c>
      <c r="AZ299">
        <f t="shared" si="147"/>
        <v>40</v>
      </c>
      <c r="BA299">
        <f t="shared" si="148"/>
        <v>36</v>
      </c>
      <c r="BB299">
        <f t="shared" si="149"/>
        <v>22</v>
      </c>
    </row>
    <row r="300" spans="1:54" x14ac:dyDescent="0.15">
      <c r="A300">
        <v>202</v>
      </c>
      <c r="B300" t="s">
        <v>1123</v>
      </c>
      <c r="C300">
        <v>219</v>
      </c>
      <c r="D300">
        <v>0</v>
      </c>
      <c r="E300" t="s">
        <v>1124</v>
      </c>
      <c r="G300" t="s">
        <v>1124</v>
      </c>
      <c r="H300" t="s">
        <v>1125</v>
      </c>
      <c r="J300" t="s">
        <v>1121</v>
      </c>
      <c r="K300">
        <v>55</v>
      </c>
      <c r="L300">
        <v>0.8</v>
      </c>
      <c r="M300" t="s">
        <v>47</v>
      </c>
      <c r="N300" t="s">
        <v>371</v>
      </c>
      <c r="O300" t="s">
        <v>1122</v>
      </c>
      <c r="P300" t="s">
        <v>456</v>
      </c>
      <c r="Q300" t="s">
        <v>563</v>
      </c>
      <c r="R300">
        <v>9</v>
      </c>
      <c r="S300">
        <v>60</v>
      </c>
      <c r="T300">
        <v>50</v>
      </c>
      <c r="U300">
        <v>120</v>
      </c>
      <c r="V300">
        <v>90</v>
      </c>
      <c r="W300">
        <v>80</v>
      </c>
      <c r="X300">
        <v>30</v>
      </c>
      <c r="Y300">
        <f t="shared" si="120"/>
        <v>167</v>
      </c>
      <c r="Z300">
        <f t="shared" si="121"/>
        <v>167</v>
      </c>
      <c r="AA300">
        <f t="shared" si="122"/>
        <v>135</v>
      </c>
      <c r="AB300">
        <f t="shared" si="123"/>
        <v>135</v>
      </c>
      <c r="AC300">
        <f t="shared" si="124"/>
        <v>120</v>
      </c>
      <c r="AD300">
        <f t="shared" si="125"/>
        <v>112</v>
      </c>
      <c r="AE300">
        <f t="shared" si="126"/>
        <v>102</v>
      </c>
      <c r="AF300">
        <f t="shared" si="127"/>
        <v>70</v>
      </c>
      <c r="AG300">
        <f t="shared" si="128"/>
        <v>63</v>
      </c>
      <c r="AH300">
        <f t="shared" si="129"/>
        <v>49</v>
      </c>
      <c r="AI300">
        <f t="shared" si="130"/>
        <v>189</v>
      </c>
      <c r="AJ300">
        <f t="shared" si="131"/>
        <v>172</v>
      </c>
      <c r="AK300">
        <f t="shared" si="132"/>
        <v>140</v>
      </c>
      <c r="AL300">
        <f t="shared" si="133"/>
        <v>126</v>
      </c>
      <c r="AM300">
        <f t="shared" si="134"/>
        <v>112</v>
      </c>
      <c r="AN300">
        <f t="shared" si="135"/>
        <v>156</v>
      </c>
      <c r="AO300">
        <f t="shared" si="136"/>
        <v>142</v>
      </c>
      <c r="AP300">
        <f t="shared" si="137"/>
        <v>110</v>
      </c>
      <c r="AQ300">
        <f t="shared" si="138"/>
        <v>99</v>
      </c>
      <c r="AR300">
        <f t="shared" si="139"/>
        <v>85</v>
      </c>
      <c r="AS300">
        <f t="shared" si="140"/>
        <v>145</v>
      </c>
      <c r="AT300">
        <f t="shared" si="141"/>
        <v>132</v>
      </c>
      <c r="AU300">
        <f t="shared" si="142"/>
        <v>100</v>
      </c>
      <c r="AV300">
        <f t="shared" si="143"/>
        <v>90</v>
      </c>
      <c r="AW300">
        <f t="shared" si="144"/>
        <v>76</v>
      </c>
      <c r="AX300">
        <f t="shared" si="145"/>
        <v>90</v>
      </c>
      <c r="AY300">
        <f t="shared" si="146"/>
        <v>82</v>
      </c>
      <c r="AZ300">
        <f t="shared" si="147"/>
        <v>50</v>
      </c>
      <c r="BA300">
        <f t="shared" si="148"/>
        <v>45</v>
      </c>
      <c r="BB300">
        <f t="shared" si="149"/>
        <v>31</v>
      </c>
    </row>
    <row r="301" spans="1:54" x14ac:dyDescent="0.15">
      <c r="A301">
        <v>203</v>
      </c>
      <c r="B301" t="s">
        <v>1126</v>
      </c>
      <c r="C301">
        <v>220</v>
      </c>
      <c r="D301">
        <v>0</v>
      </c>
      <c r="E301" t="s">
        <v>1127</v>
      </c>
      <c r="G301" t="s">
        <v>1127</v>
      </c>
      <c r="H301" t="s">
        <v>1128</v>
      </c>
      <c r="J301" t="s">
        <v>1129</v>
      </c>
      <c r="K301">
        <v>6.5</v>
      </c>
      <c r="L301">
        <v>0.4</v>
      </c>
      <c r="M301" t="s">
        <v>202</v>
      </c>
      <c r="N301" t="s">
        <v>196</v>
      </c>
      <c r="O301" t="s">
        <v>469</v>
      </c>
      <c r="P301" t="s">
        <v>204</v>
      </c>
      <c r="Q301" t="s">
        <v>38</v>
      </c>
      <c r="R301">
        <v>9</v>
      </c>
      <c r="S301">
        <v>50</v>
      </c>
      <c r="T301">
        <v>50</v>
      </c>
      <c r="U301">
        <v>40</v>
      </c>
      <c r="V301">
        <v>30</v>
      </c>
      <c r="W301">
        <v>30</v>
      </c>
      <c r="X301">
        <v>50</v>
      </c>
      <c r="Y301">
        <f t="shared" si="120"/>
        <v>157</v>
      </c>
      <c r="Z301">
        <f t="shared" si="121"/>
        <v>157</v>
      </c>
      <c r="AA301">
        <f t="shared" si="122"/>
        <v>125</v>
      </c>
      <c r="AB301">
        <f t="shared" si="123"/>
        <v>125</v>
      </c>
      <c r="AC301">
        <f t="shared" si="124"/>
        <v>110</v>
      </c>
      <c r="AD301">
        <f t="shared" si="125"/>
        <v>112</v>
      </c>
      <c r="AE301">
        <f t="shared" si="126"/>
        <v>102</v>
      </c>
      <c r="AF301">
        <f t="shared" si="127"/>
        <v>70</v>
      </c>
      <c r="AG301">
        <f t="shared" si="128"/>
        <v>63</v>
      </c>
      <c r="AH301">
        <f t="shared" si="129"/>
        <v>49</v>
      </c>
      <c r="AI301">
        <f t="shared" si="130"/>
        <v>101</v>
      </c>
      <c r="AJ301">
        <f t="shared" si="131"/>
        <v>92</v>
      </c>
      <c r="AK301">
        <f t="shared" si="132"/>
        <v>60</v>
      </c>
      <c r="AL301">
        <f t="shared" si="133"/>
        <v>54</v>
      </c>
      <c r="AM301">
        <f t="shared" si="134"/>
        <v>40</v>
      </c>
      <c r="AN301">
        <f t="shared" si="135"/>
        <v>90</v>
      </c>
      <c r="AO301">
        <f t="shared" si="136"/>
        <v>82</v>
      </c>
      <c r="AP301">
        <f t="shared" si="137"/>
        <v>50</v>
      </c>
      <c r="AQ301">
        <f t="shared" si="138"/>
        <v>45</v>
      </c>
      <c r="AR301">
        <f t="shared" si="139"/>
        <v>31</v>
      </c>
      <c r="AS301">
        <f t="shared" si="140"/>
        <v>90</v>
      </c>
      <c r="AT301">
        <f t="shared" si="141"/>
        <v>82</v>
      </c>
      <c r="AU301">
        <f t="shared" si="142"/>
        <v>50</v>
      </c>
      <c r="AV301">
        <f t="shared" si="143"/>
        <v>45</v>
      </c>
      <c r="AW301">
        <f t="shared" si="144"/>
        <v>31</v>
      </c>
      <c r="AX301">
        <f t="shared" si="145"/>
        <v>112</v>
      </c>
      <c r="AY301">
        <f t="shared" si="146"/>
        <v>102</v>
      </c>
      <c r="AZ301">
        <f t="shared" si="147"/>
        <v>70</v>
      </c>
      <c r="BA301">
        <f t="shared" si="148"/>
        <v>63</v>
      </c>
      <c r="BB301">
        <f t="shared" si="149"/>
        <v>49</v>
      </c>
    </row>
    <row r="302" spans="1:54" x14ac:dyDescent="0.15">
      <c r="A302">
        <v>204</v>
      </c>
      <c r="B302" t="s">
        <v>1130</v>
      </c>
      <c r="C302">
        <v>221</v>
      </c>
      <c r="D302">
        <v>0</v>
      </c>
      <c r="E302" t="s">
        <v>1131</v>
      </c>
      <c r="G302" t="s">
        <v>1131</v>
      </c>
      <c r="H302" t="s">
        <v>1132</v>
      </c>
      <c r="J302" t="s">
        <v>1133</v>
      </c>
      <c r="K302">
        <v>55.8</v>
      </c>
      <c r="L302">
        <v>1.1000000000000001</v>
      </c>
      <c r="M302" t="s">
        <v>202</v>
      </c>
      <c r="N302" t="s">
        <v>196</v>
      </c>
      <c r="O302" t="s">
        <v>469</v>
      </c>
      <c r="P302" t="s">
        <v>204</v>
      </c>
      <c r="Q302" t="s">
        <v>38</v>
      </c>
      <c r="R302">
        <v>9</v>
      </c>
      <c r="S302">
        <v>100</v>
      </c>
      <c r="T302">
        <v>100</v>
      </c>
      <c r="U302">
        <v>80</v>
      </c>
      <c r="V302">
        <v>60</v>
      </c>
      <c r="W302">
        <v>60</v>
      </c>
      <c r="X302">
        <v>50</v>
      </c>
      <c r="Y302">
        <f t="shared" si="120"/>
        <v>207</v>
      </c>
      <c r="Z302">
        <f t="shared" si="121"/>
        <v>207</v>
      </c>
      <c r="AA302">
        <f t="shared" si="122"/>
        <v>175</v>
      </c>
      <c r="AB302">
        <f t="shared" si="123"/>
        <v>175</v>
      </c>
      <c r="AC302">
        <f t="shared" si="124"/>
        <v>160</v>
      </c>
      <c r="AD302">
        <f t="shared" si="125"/>
        <v>167</v>
      </c>
      <c r="AE302">
        <f t="shared" si="126"/>
        <v>152</v>
      </c>
      <c r="AF302">
        <f t="shared" si="127"/>
        <v>120</v>
      </c>
      <c r="AG302">
        <f t="shared" si="128"/>
        <v>108</v>
      </c>
      <c r="AH302">
        <f t="shared" si="129"/>
        <v>94</v>
      </c>
      <c r="AI302">
        <f t="shared" si="130"/>
        <v>145</v>
      </c>
      <c r="AJ302">
        <f t="shared" si="131"/>
        <v>132</v>
      </c>
      <c r="AK302">
        <f t="shared" si="132"/>
        <v>100</v>
      </c>
      <c r="AL302">
        <f t="shared" si="133"/>
        <v>90</v>
      </c>
      <c r="AM302">
        <f t="shared" si="134"/>
        <v>76</v>
      </c>
      <c r="AN302">
        <f t="shared" si="135"/>
        <v>123</v>
      </c>
      <c r="AO302">
        <f t="shared" si="136"/>
        <v>112</v>
      </c>
      <c r="AP302">
        <f t="shared" si="137"/>
        <v>80</v>
      </c>
      <c r="AQ302">
        <f t="shared" si="138"/>
        <v>72</v>
      </c>
      <c r="AR302">
        <f t="shared" si="139"/>
        <v>58</v>
      </c>
      <c r="AS302">
        <f t="shared" si="140"/>
        <v>123</v>
      </c>
      <c r="AT302">
        <f t="shared" si="141"/>
        <v>112</v>
      </c>
      <c r="AU302">
        <f t="shared" si="142"/>
        <v>80</v>
      </c>
      <c r="AV302">
        <f t="shared" si="143"/>
        <v>72</v>
      </c>
      <c r="AW302">
        <f t="shared" si="144"/>
        <v>58</v>
      </c>
      <c r="AX302">
        <f t="shared" si="145"/>
        <v>112</v>
      </c>
      <c r="AY302">
        <f t="shared" si="146"/>
        <v>102</v>
      </c>
      <c r="AZ302">
        <f t="shared" si="147"/>
        <v>70</v>
      </c>
      <c r="BA302">
        <f t="shared" si="148"/>
        <v>63</v>
      </c>
      <c r="BB302">
        <f t="shared" si="149"/>
        <v>49</v>
      </c>
    </row>
    <row r="303" spans="1:54" x14ac:dyDescent="0.15">
      <c r="B303" t="s">
        <v>1134</v>
      </c>
      <c r="C303">
        <v>222</v>
      </c>
      <c r="D303">
        <v>0</v>
      </c>
      <c r="E303" t="s">
        <v>1135</v>
      </c>
      <c r="G303" t="s">
        <v>1135</v>
      </c>
      <c r="J303" t="s">
        <v>1136</v>
      </c>
      <c r="K303">
        <v>5</v>
      </c>
      <c r="L303">
        <v>0.6</v>
      </c>
      <c r="M303" t="s">
        <v>71</v>
      </c>
      <c r="N303" t="s">
        <v>371</v>
      </c>
      <c r="O303" t="s">
        <v>136</v>
      </c>
      <c r="P303" t="s">
        <v>654</v>
      </c>
      <c r="Q303" t="s">
        <v>471</v>
      </c>
      <c r="R303">
        <v>8</v>
      </c>
      <c r="S303">
        <v>65</v>
      </c>
      <c r="T303">
        <v>55</v>
      </c>
      <c r="U303">
        <v>95</v>
      </c>
      <c r="V303">
        <v>65</v>
      </c>
      <c r="W303">
        <v>95</v>
      </c>
      <c r="X303">
        <v>35</v>
      </c>
      <c r="Y303">
        <f t="shared" si="120"/>
        <v>172</v>
      </c>
      <c r="Z303">
        <f t="shared" si="121"/>
        <v>172</v>
      </c>
      <c r="AA303">
        <f t="shared" si="122"/>
        <v>140</v>
      </c>
      <c r="AB303">
        <f t="shared" si="123"/>
        <v>140</v>
      </c>
      <c r="AC303">
        <f t="shared" si="124"/>
        <v>125</v>
      </c>
      <c r="AD303">
        <f t="shared" si="125"/>
        <v>117</v>
      </c>
      <c r="AE303">
        <f t="shared" si="126"/>
        <v>107</v>
      </c>
      <c r="AF303">
        <f t="shared" si="127"/>
        <v>75</v>
      </c>
      <c r="AG303">
        <f t="shared" si="128"/>
        <v>67</v>
      </c>
      <c r="AH303">
        <f t="shared" si="129"/>
        <v>54</v>
      </c>
      <c r="AI303">
        <f t="shared" si="130"/>
        <v>161</v>
      </c>
      <c r="AJ303">
        <f t="shared" si="131"/>
        <v>147</v>
      </c>
      <c r="AK303">
        <f t="shared" si="132"/>
        <v>115</v>
      </c>
      <c r="AL303">
        <f t="shared" si="133"/>
        <v>103</v>
      </c>
      <c r="AM303">
        <f t="shared" si="134"/>
        <v>90</v>
      </c>
      <c r="AN303">
        <f t="shared" si="135"/>
        <v>128</v>
      </c>
      <c r="AO303">
        <f t="shared" si="136"/>
        <v>117</v>
      </c>
      <c r="AP303">
        <f t="shared" si="137"/>
        <v>85</v>
      </c>
      <c r="AQ303">
        <f t="shared" si="138"/>
        <v>76</v>
      </c>
      <c r="AR303">
        <f t="shared" si="139"/>
        <v>63</v>
      </c>
      <c r="AS303">
        <f t="shared" si="140"/>
        <v>161</v>
      </c>
      <c r="AT303">
        <f t="shared" si="141"/>
        <v>147</v>
      </c>
      <c r="AU303">
        <f t="shared" si="142"/>
        <v>115</v>
      </c>
      <c r="AV303">
        <f t="shared" si="143"/>
        <v>103</v>
      </c>
      <c r="AW303">
        <f t="shared" si="144"/>
        <v>90</v>
      </c>
      <c r="AX303">
        <f t="shared" si="145"/>
        <v>95</v>
      </c>
      <c r="AY303">
        <f t="shared" si="146"/>
        <v>87</v>
      </c>
      <c r="AZ303">
        <f t="shared" si="147"/>
        <v>55</v>
      </c>
      <c r="BA303">
        <f t="shared" si="148"/>
        <v>49</v>
      </c>
      <c r="BB303">
        <f t="shared" si="149"/>
        <v>36</v>
      </c>
    </row>
    <row r="304" spans="1:54" x14ac:dyDescent="0.15">
      <c r="B304" t="s">
        <v>1137</v>
      </c>
      <c r="C304">
        <v>222</v>
      </c>
      <c r="D304">
        <v>1</v>
      </c>
      <c r="E304" t="s">
        <v>1135</v>
      </c>
      <c r="F304" t="s">
        <v>327</v>
      </c>
      <c r="G304" t="s">
        <v>1138</v>
      </c>
      <c r="J304" t="s">
        <v>1136</v>
      </c>
      <c r="K304">
        <v>0.5</v>
      </c>
      <c r="L304">
        <v>0.6</v>
      </c>
      <c r="M304" t="s">
        <v>546</v>
      </c>
      <c r="O304" t="s">
        <v>563</v>
      </c>
      <c r="P304" t="s">
        <v>471</v>
      </c>
      <c r="Q304" t="s">
        <v>554</v>
      </c>
      <c r="R304">
        <v>8</v>
      </c>
      <c r="S304">
        <v>60</v>
      </c>
      <c r="T304">
        <v>55</v>
      </c>
      <c r="U304">
        <v>100</v>
      </c>
      <c r="V304">
        <v>65</v>
      </c>
      <c r="W304">
        <v>100</v>
      </c>
      <c r="X304">
        <v>30</v>
      </c>
      <c r="Y304">
        <f t="shared" si="120"/>
        <v>167</v>
      </c>
      <c r="Z304">
        <f t="shared" si="121"/>
        <v>167</v>
      </c>
      <c r="AA304">
        <f t="shared" si="122"/>
        <v>135</v>
      </c>
      <c r="AB304">
        <f t="shared" si="123"/>
        <v>135</v>
      </c>
      <c r="AC304">
        <f t="shared" si="124"/>
        <v>120</v>
      </c>
      <c r="AD304">
        <f t="shared" si="125"/>
        <v>117</v>
      </c>
      <c r="AE304">
        <f t="shared" si="126"/>
        <v>107</v>
      </c>
      <c r="AF304">
        <f t="shared" si="127"/>
        <v>75</v>
      </c>
      <c r="AG304">
        <f t="shared" si="128"/>
        <v>67</v>
      </c>
      <c r="AH304">
        <f t="shared" si="129"/>
        <v>54</v>
      </c>
      <c r="AI304">
        <f t="shared" si="130"/>
        <v>167</v>
      </c>
      <c r="AJ304">
        <f t="shared" si="131"/>
        <v>152</v>
      </c>
      <c r="AK304">
        <f t="shared" si="132"/>
        <v>120</v>
      </c>
      <c r="AL304">
        <f t="shared" si="133"/>
        <v>108</v>
      </c>
      <c r="AM304">
        <f t="shared" si="134"/>
        <v>94</v>
      </c>
      <c r="AN304">
        <f t="shared" si="135"/>
        <v>128</v>
      </c>
      <c r="AO304">
        <f t="shared" si="136"/>
        <v>117</v>
      </c>
      <c r="AP304">
        <f t="shared" si="137"/>
        <v>85</v>
      </c>
      <c r="AQ304">
        <f t="shared" si="138"/>
        <v>76</v>
      </c>
      <c r="AR304">
        <f t="shared" si="139"/>
        <v>63</v>
      </c>
      <c r="AS304">
        <f t="shared" si="140"/>
        <v>167</v>
      </c>
      <c r="AT304">
        <f t="shared" si="141"/>
        <v>152</v>
      </c>
      <c r="AU304">
        <f t="shared" si="142"/>
        <v>120</v>
      </c>
      <c r="AV304">
        <f t="shared" si="143"/>
        <v>108</v>
      </c>
      <c r="AW304">
        <f t="shared" si="144"/>
        <v>94</v>
      </c>
      <c r="AX304">
        <f t="shared" si="145"/>
        <v>90</v>
      </c>
      <c r="AY304">
        <f t="shared" si="146"/>
        <v>82</v>
      </c>
      <c r="AZ304">
        <f t="shared" si="147"/>
        <v>50</v>
      </c>
      <c r="BA304">
        <f t="shared" si="148"/>
        <v>45</v>
      </c>
      <c r="BB304">
        <f t="shared" si="149"/>
        <v>31</v>
      </c>
    </row>
    <row r="305" spans="1:54" x14ac:dyDescent="0.15">
      <c r="B305" t="s">
        <v>1139</v>
      </c>
      <c r="C305">
        <v>223</v>
      </c>
      <c r="D305">
        <v>0</v>
      </c>
      <c r="E305" t="s">
        <v>1140</v>
      </c>
      <c r="G305" t="s">
        <v>1140</v>
      </c>
      <c r="J305" t="s">
        <v>1141</v>
      </c>
      <c r="K305">
        <v>12</v>
      </c>
      <c r="L305">
        <v>0.6</v>
      </c>
      <c r="M305" t="s">
        <v>71</v>
      </c>
      <c r="O305" t="s">
        <v>136</v>
      </c>
      <c r="P305" t="s">
        <v>113</v>
      </c>
      <c r="Q305" t="s">
        <v>1142</v>
      </c>
      <c r="R305">
        <v>8</v>
      </c>
      <c r="S305">
        <v>35</v>
      </c>
      <c r="T305">
        <v>65</v>
      </c>
      <c r="U305">
        <v>35</v>
      </c>
      <c r="V305">
        <v>65</v>
      </c>
      <c r="W305">
        <v>35</v>
      </c>
      <c r="X305">
        <v>65</v>
      </c>
      <c r="Y305">
        <f t="shared" si="120"/>
        <v>142</v>
      </c>
      <c r="Z305">
        <f t="shared" si="121"/>
        <v>142</v>
      </c>
      <c r="AA305">
        <f t="shared" si="122"/>
        <v>110</v>
      </c>
      <c r="AB305">
        <f t="shared" si="123"/>
        <v>110</v>
      </c>
      <c r="AC305">
        <f t="shared" si="124"/>
        <v>95</v>
      </c>
      <c r="AD305">
        <f t="shared" si="125"/>
        <v>128</v>
      </c>
      <c r="AE305">
        <f t="shared" si="126"/>
        <v>117</v>
      </c>
      <c r="AF305">
        <f t="shared" si="127"/>
        <v>85</v>
      </c>
      <c r="AG305">
        <f t="shared" si="128"/>
        <v>76</v>
      </c>
      <c r="AH305">
        <f t="shared" si="129"/>
        <v>63</v>
      </c>
      <c r="AI305">
        <f t="shared" si="130"/>
        <v>95</v>
      </c>
      <c r="AJ305">
        <f t="shared" si="131"/>
        <v>87</v>
      </c>
      <c r="AK305">
        <f t="shared" si="132"/>
        <v>55</v>
      </c>
      <c r="AL305">
        <f t="shared" si="133"/>
        <v>49</v>
      </c>
      <c r="AM305">
        <f t="shared" si="134"/>
        <v>36</v>
      </c>
      <c r="AN305">
        <f t="shared" si="135"/>
        <v>128</v>
      </c>
      <c r="AO305">
        <f t="shared" si="136"/>
        <v>117</v>
      </c>
      <c r="AP305">
        <f t="shared" si="137"/>
        <v>85</v>
      </c>
      <c r="AQ305">
        <f t="shared" si="138"/>
        <v>76</v>
      </c>
      <c r="AR305">
        <f t="shared" si="139"/>
        <v>63</v>
      </c>
      <c r="AS305">
        <f t="shared" si="140"/>
        <v>95</v>
      </c>
      <c r="AT305">
        <f t="shared" si="141"/>
        <v>87</v>
      </c>
      <c r="AU305">
        <f t="shared" si="142"/>
        <v>55</v>
      </c>
      <c r="AV305">
        <f t="shared" si="143"/>
        <v>49</v>
      </c>
      <c r="AW305">
        <f t="shared" si="144"/>
        <v>36</v>
      </c>
      <c r="AX305">
        <f t="shared" si="145"/>
        <v>128</v>
      </c>
      <c r="AY305">
        <f t="shared" si="146"/>
        <v>117</v>
      </c>
      <c r="AZ305">
        <f t="shared" si="147"/>
        <v>85</v>
      </c>
      <c r="BA305">
        <f t="shared" si="148"/>
        <v>76</v>
      </c>
      <c r="BB305">
        <f t="shared" si="149"/>
        <v>63</v>
      </c>
    </row>
    <row r="306" spans="1:54" x14ac:dyDescent="0.15">
      <c r="B306" t="s">
        <v>1143</v>
      </c>
      <c r="C306">
        <v>224</v>
      </c>
      <c r="D306">
        <v>0</v>
      </c>
      <c r="E306" t="s">
        <v>1144</v>
      </c>
      <c r="G306" t="s">
        <v>1144</v>
      </c>
      <c r="J306" t="s">
        <v>1141</v>
      </c>
      <c r="K306">
        <v>28.5</v>
      </c>
      <c r="L306">
        <v>0.9</v>
      </c>
      <c r="M306" t="s">
        <v>71</v>
      </c>
      <c r="O306" t="s">
        <v>1145</v>
      </c>
      <c r="P306" t="s">
        <v>113</v>
      </c>
      <c r="Q306" t="s">
        <v>1142</v>
      </c>
      <c r="R306">
        <v>8</v>
      </c>
      <c r="S306">
        <v>75</v>
      </c>
      <c r="T306">
        <v>105</v>
      </c>
      <c r="U306">
        <v>75</v>
      </c>
      <c r="V306">
        <v>105</v>
      </c>
      <c r="W306">
        <v>75</v>
      </c>
      <c r="X306">
        <v>45</v>
      </c>
      <c r="Y306">
        <f t="shared" si="120"/>
        <v>182</v>
      </c>
      <c r="Z306">
        <f t="shared" si="121"/>
        <v>182</v>
      </c>
      <c r="AA306">
        <f t="shared" si="122"/>
        <v>150</v>
      </c>
      <c r="AB306">
        <f t="shared" si="123"/>
        <v>150</v>
      </c>
      <c r="AC306">
        <f t="shared" si="124"/>
        <v>135</v>
      </c>
      <c r="AD306">
        <f t="shared" si="125"/>
        <v>172</v>
      </c>
      <c r="AE306">
        <f t="shared" si="126"/>
        <v>157</v>
      </c>
      <c r="AF306">
        <f t="shared" si="127"/>
        <v>125</v>
      </c>
      <c r="AG306">
        <f t="shared" si="128"/>
        <v>112</v>
      </c>
      <c r="AH306">
        <f t="shared" si="129"/>
        <v>99</v>
      </c>
      <c r="AI306">
        <f t="shared" si="130"/>
        <v>139</v>
      </c>
      <c r="AJ306">
        <f t="shared" si="131"/>
        <v>127</v>
      </c>
      <c r="AK306">
        <f t="shared" si="132"/>
        <v>95</v>
      </c>
      <c r="AL306">
        <f t="shared" si="133"/>
        <v>85</v>
      </c>
      <c r="AM306">
        <f t="shared" si="134"/>
        <v>72</v>
      </c>
      <c r="AN306">
        <f t="shared" si="135"/>
        <v>172</v>
      </c>
      <c r="AO306">
        <f t="shared" si="136"/>
        <v>157</v>
      </c>
      <c r="AP306">
        <f t="shared" si="137"/>
        <v>125</v>
      </c>
      <c r="AQ306">
        <f t="shared" si="138"/>
        <v>112</v>
      </c>
      <c r="AR306">
        <f t="shared" si="139"/>
        <v>99</v>
      </c>
      <c r="AS306">
        <f t="shared" si="140"/>
        <v>139</v>
      </c>
      <c r="AT306">
        <f t="shared" si="141"/>
        <v>127</v>
      </c>
      <c r="AU306">
        <f t="shared" si="142"/>
        <v>95</v>
      </c>
      <c r="AV306">
        <f t="shared" si="143"/>
        <v>85</v>
      </c>
      <c r="AW306">
        <f t="shared" si="144"/>
        <v>72</v>
      </c>
      <c r="AX306">
        <f t="shared" si="145"/>
        <v>106</v>
      </c>
      <c r="AY306">
        <f t="shared" si="146"/>
        <v>97</v>
      </c>
      <c r="AZ306">
        <f t="shared" si="147"/>
        <v>65</v>
      </c>
      <c r="BA306">
        <f t="shared" si="148"/>
        <v>58</v>
      </c>
      <c r="BB306">
        <f t="shared" si="149"/>
        <v>45</v>
      </c>
    </row>
    <row r="307" spans="1:54" x14ac:dyDescent="0.15">
      <c r="A307">
        <v>205</v>
      </c>
      <c r="B307" t="s">
        <v>1146</v>
      </c>
      <c r="C307">
        <v>225</v>
      </c>
      <c r="D307">
        <v>0</v>
      </c>
      <c r="E307" t="s">
        <v>1147</v>
      </c>
      <c r="G307" t="s">
        <v>1147</v>
      </c>
      <c r="H307" t="s">
        <v>1148</v>
      </c>
      <c r="J307" t="s">
        <v>1149</v>
      </c>
      <c r="K307">
        <v>16</v>
      </c>
      <c r="L307">
        <v>0.9</v>
      </c>
      <c r="M307" t="s">
        <v>202</v>
      </c>
      <c r="N307" t="s">
        <v>57</v>
      </c>
      <c r="O307" t="s">
        <v>355</v>
      </c>
      <c r="P307" t="s">
        <v>136</v>
      </c>
      <c r="Q307" t="s">
        <v>568</v>
      </c>
      <c r="R307">
        <v>9</v>
      </c>
      <c r="S307">
        <v>45</v>
      </c>
      <c r="T307">
        <v>55</v>
      </c>
      <c r="U307">
        <v>45</v>
      </c>
      <c r="V307">
        <v>65</v>
      </c>
      <c r="W307">
        <v>45</v>
      </c>
      <c r="X307">
        <v>75</v>
      </c>
      <c r="Y307">
        <f t="shared" si="120"/>
        <v>152</v>
      </c>
      <c r="Z307">
        <f t="shared" si="121"/>
        <v>152</v>
      </c>
      <c r="AA307">
        <f t="shared" si="122"/>
        <v>120</v>
      </c>
      <c r="AB307">
        <f t="shared" si="123"/>
        <v>120</v>
      </c>
      <c r="AC307">
        <f t="shared" si="124"/>
        <v>105</v>
      </c>
      <c r="AD307">
        <f t="shared" si="125"/>
        <v>117</v>
      </c>
      <c r="AE307">
        <f t="shared" si="126"/>
        <v>107</v>
      </c>
      <c r="AF307">
        <f t="shared" si="127"/>
        <v>75</v>
      </c>
      <c r="AG307">
        <f t="shared" si="128"/>
        <v>67</v>
      </c>
      <c r="AH307">
        <f t="shared" si="129"/>
        <v>54</v>
      </c>
      <c r="AI307">
        <f t="shared" si="130"/>
        <v>106</v>
      </c>
      <c r="AJ307">
        <f t="shared" si="131"/>
        <v>97</v>
      </c>
      <c r="AK307">
        <f t="shared" si="132"/>
        <v>65</v>
      </c>
      <c r="AL307">
        <f t="shared" si="133"/>
        <v>58</v>
      </c>
      <c r="AM307">
        <f t="shared" si="134"/>
        <v>45</v>
      </c>
      <c r="AN307">
        <f t="shared" si="135"/>
        <v>128</v>
      </c>
      <c r="AO307">
        <f t="shared" si="136"/>
        <v>117</v>
      </c>
      <c r="AP307">
        <f t="shared" si="137"/>
        <v>85</v>
      </c>
      <c r="AQ307">
        <f t="shared" si="138"/>
        <v>76</v>
      </c>
      <c r="AR307">
        <f t="shared" si="139"/>
        <v>63</v>
      </c>
      <c r="AS307">
        <f t="shared" si="140"/>
        <v>106</v>
      </c>
      <c r="AT307">
        <f t="shared" si="141"/>
        <v>97</v>
      </c>
      <c r="AU307">
        <f t="shared" si="142"/>
        <v>65</v>
      </c>
      <c r="AV307">
        <f t="shared" si="143"/>
        <v>58</v>
      </c>
      <c r="AW307">
        <f t="shared" si="144"/>
        <v>45</v>
      </c>
      <c r="AX307">
        <f t="shared" si="145"/>
        <v>139</v>
      </c>
      <c r="AY307">
        <f t="shared" si="146"/>
        <v>127</v>
      </c>
      <c r="AZ307">
        <f t="shared" si="147"/>
        <v>95</v>
      </c>
      <c r="BA307">
        <f t="shared" si="148"/>
        <v>85</v>
      </c>
      <c r="BB307">
        <f t="shared" si="149"/>
        <v>72</v>
      </c>
    </row>
    <row r="308" spans="1:54" x14ac:dyDescent="0.15">
      <c r="B308" t="s">
        <v>1150</v>
      </c>
      <c r="C308">
        <v>226</v>
      </c>
      <c r="D308">
        <v>0</v>
      </c>
      <c r="E308" t="s">
        <v>1151</v>
      </c>
      <c r="G308" t="s">
        <v>1151</v>
      </c>
      <c r="J308" t="s">
        <v>1152</v>
      </c>
      <c r="K308">
        <v>220</v>
      </c>
      <c r="L308">
        <v>2.1</v>
      </c>
      <c r="M308" t="s">
        <v>71</v>
      </c>
      <c r="N308" t="s">
        <v>57</v>
      </c>
      <c r="O308" t="s">
        <v>346</v>
      </c>
      <c r="P308" t="s">
        <v>383</v>
      </c>
      <c r="Q308" t="s">
        <v>677</v>
      </c>
      <c r="R308">
        <v>8</v>
      </c>
      <c r="S308">
        <v>85</v>
      </c>
      <c r="T308">
        <v>40</v>
      </c>
      <c r="U308">
        <v>70</v>
      </c>
      <c r="V308">
        <v>80</v>
      </c>
      <c r="W308">
        <v>140</v>
      </c>
      <c r="X308">
        <v>70</v>
      </c>
      <c r="Y308">
        <f t="shared" si="120"/>
        <v>192</v>
      </c>
      <c r="Z308">
        <f t="shared" si="121"/>
        <v>192</v>
      </c>
      <c r="AA308">
        <f t="shared" si="122"/>
        <v>160</v>
      </c>
      <c r="AB308">
        <f t="shared" si="123"/>
        <v>160</v>
      </c>
      <c r="AC308">
        <f t="shared" si="124"/>
        <v>145</v>
      </c>
      <c r="AD308">
        <f t="shared" si="125"/>
        <v>101</v>
      </c>
      <c r="AE308">
        <f t="shared" si="126"/>
        <v>92</v>
      </c>
      <c r="AF308">
        <f t="shared" si="127"/>
        <v>60</v>
      </c>
      <c r="AG308">
        <f t="shared" si="128"/>
        <v>54</v>
      </c>
      <c r="AH308">
        <f t="shared" si="129"/>
        <v>40</v>
      </c>
      <c r="AI308">
        <f t="shared" si="130"/>
        <v>134</v>
      </c>
      <c r="AJ308">
        <f t="shared" si="131"/>
        <v>122</v>
      </c>
      <c r="AK308">
        <f t="shared" si="132"/>
        <v>90</v>
      </c>
      <c r="AL308">
        <f t="shared" si="133"/>
        <v>81</v>
      </c>
      <c r="AM308">
        <f t="shared" si="134"/>
        <v>67</v>
      </c>
      <c r="AN308">
        <f t="shared" si="135"/>
        <v>145</v>
      </c>
      <c r="AO308">
        <f t="shared" si="136"/>
        <v>132</v>
      </c>
      <c r="AP308">
        <f t="shared" si="137"/>
        <v>100</v>
      </c>
      <c r="AQ308">
        <f t="shared" si="138"/>
        <v>90</v>
      </c>
      <c r="AR308">
        <f t="shared" si="139"/>
        <v>76</v>
      </c>
      <c r="AS308">
        <f t="shared" si="140"/>
        <v>211</v>
      </c>
      <c r="AT308">
        <f t="shared" si="141"/>
        <v>192</v>
      </c>
      <c r="AU308">
        <f t="shared" si="142"/>
        <v>160</v>
      </c>
      <c r="AV308">
        <f t="shared" si="143"/>
        <v>144</v>
      </c>
      <c r="AW308">
        <f t="shared" si="144"/>
        <v>130</v>
      </c>
      <c r="AX308">
        <f t="shared" si="145"/>
        <v>134</v>
      </c>
      <c r="AY308">
        <f t="shared" si="146"/>
        <v>122</v>
      </c>
      <c r="AZ308">
        <f t="shared" si="147"/>
        <v>90</v>
      </c>
      <c r="BA308">
        <f t="shared" si="148"/>
        <v>81</v>
      </c>
      <c r="BB308">
        <f t="shared" si="149"/>
        <v>67</v>
      </c>
    </row>
    <row r="309" spans="1:54" x14ac:dyDescent="0.15">
      <c r="A309">
        <v>206</v>
      </c>
      <c r="B309" t="s">
        <v>1153</v>
      </c>
      <c r="C309">
        <v>227</v>
      </c>
      <c r="D309">
        <v>0</v>
      </c>
      <c r="E309" t="s">
        <v>1154</v>
      </c>
      <c r="G309" t="s">
        <v>1154</v>
      </c>
      <c r="H309" t="s">
        <v>1155</v>
      </c>
      <c r="J309" t="s">
        <v>1156</v>
      </c>
      <c r="K309">
        <v>50.5</v>
      </c>
      <c r="L309">
        <v>1.7</v>
      </c>
      <c r="M309" t="s">
        <v>203</v>
      </c>
      <c r="N309" t="s">
        <v>57</v>
      </c>
      <c r="O309" t="s">
        <v>121</v>
      </c>
      <c r="P309" t="s">
        <v>435</v>
      </c>
      <c r="Q309" t="s">
        <v>563</v>
      </c>
      <c r="R309">
        <v>9</v>
      </c>
      <c r="S309">
        <v>65</v>
      </c>
      <c r="T309">
        <v>80</v>
      </c>
      <c r="U309">
        <v>140</v>
      </c>
      <c r="V309">
        <v>40</v>
      </c>
      <c r="W309">
        <v>70</v>
      </c>
      <c r="X309">
        <v>70</v>
      </c>
      <c r="Y309">
        <f t="shared" si="120"/>
        <v>172</v>
      </c>
      <c r="Z309">
        <f t="shared" si="121"/>
        <v>172</v>
      </c>
      <c r="AA309">
        <f t="shared" si="122"/>
        <v>140</v>
      </c>
      <c r="AB309">
        <f t="shared" si="123"/>
        <v>140</v>
      </c>
      <c r="AC309">
        <f t="shared" si="124"/>
        <v>125</v>
      </c>
      <c r="AD309">
        <f t="shared" si="125"/>
        <v>145</v>
      </c>
      <c r="AE309">
        <f t="shared" si="126"/>
        <v>132</v>
      </c>
      <c r="AF309">
        <f t="shared" si="127"/>
        <v>100</v>
      </c>
      <c r="AG309">
        <f t="shared" si="128"/>
        <v>90</v>
      </c>
      <c r="AH309">
        <f t="shared" si="129"/>
        <v>76</v>
      </c>
      <c r="AI309">
        <f t="shared" si="130"/>
        <v>211</v>
      </c>
      <c r="AJ309">
        <f t="shared" si="131"/>
        <v>192</v>
      </c>
      <c r="AK309">
        <f t="shared" si="132"/>
        <v>160</v>
      </c>
      <c r="AL309">
        <f t="shared" si="133"/>
        <v>144</v>
      </c>
      <c r="AM309">
        <f t="shared" si="134"/>
        <v>130</v>
      </c>
      <c r="AN309">
        <f t="shared" si="135"/>
        <v>101</v>
      </c>
      <c r="AO309">
        <f t="shared" si="136"/>
        <v>92</v>
      </c>
      <c r="AP309">
        <f t="shared" si="137"/>
        <v>60</v>
      </c>
      <c r="AQ309">
        <f t="shared" si="138"/>
        <v>54</v>
      </c>
      <c r="AR309">
        <f t="shared" si="139"/>
        <v>40</v>
      </c>
      <c r="AS309">
        <f t="shared" si="140"/>
        <v>134</v>
      </c>
      <c r="AT309">
        <f t="shared" si="141"/>
        <v>122</v>
      </c>
      <c r="AU309">
        <f t="shared" si="142"/>
        <v>90</v>
      </c>
      <c r="AV309">
        <f t="shared" si="143"/>
        <v>81</v>
      </c>
      <c r="AW309">
        <f t="shared" si="144"/>
        <v>67</v>
      </c>
      <c r="AX309">
        <f t="shared" si="145"/>
        <v>134</v>
      </c>
      <c r="AY309">
        <f t="shared" si="146"/>
        <v>122</v>
      </c>
      <c r="AZ309">
        <f t="shared" si="147"/>
        <v>90</v>
      </c>
      <c r="BA309">
        <f t="shared" si="148"/>
        <v>81</v>
      </c>
      <c r="BB309">
        <f t="shared" si="149"/>
        <v>67</v>
      </c>
    </row>
    <row r="310" spans="1:54" x14ac:dyDescent="0.15">
      <c r="A310">
        <v>207</v>
      </c>
      <c r="B310" t="s">
        <v>1157</v>
      </c>
      <c r="C310">
        <v>228</v>
      </c>
      <c r="D310">
        <v>0</v>
      </c>
      <c r="E310" t="s">
        <v>1158</v>
      </c>
      <c r="G310" t="s">
        <v>1158</v>
      </c>
      <c r="H310" t="s">
        <v>1159</v>
      </c>
      <c r="J310" t="s">
        <v>1160</v>
      </c>
      <c r="K310">
        <v>10.8</v>
      </c>
      <c r="L310">
        <v>0.6</v>
      </c>
      <c r="M310" t="s">
        <v>140</v>
      </c>
      <c r="N310" t="s">
        <v>47</v>
      </c>
      <c r="O310" t="s">
        <v>504</v>
      </c>
      <c r="P310" t="s">
        <v>245</v>
      </c>
      <c r="Q310" t="s">
        <v>156</v>
      </c>
      <c r="R310">
        <v>9</v>
      </c>
      <c r="S310">
        <v>45</v>
      </c>
      <c r="T310">
        <v>60</v>
      </c>
      <c r="U310">
        <v>30</v>
      </c>
      <c r="V310">
        <v>80</v>
      </c>
      <c r="W310">
        <v>50</v>
      </c>
      <c r="X310">
        <v>65</v>
      </c>
      <c r="Y310">
        <f t="shared" si="120"/>
        <v>152</v>
      </c>
      <c r="Z310">
        <f t="shared" si="121"/>
        <v>152</v>
      </c>
      <c r="AA310">
        <f t="shared" si="122"/>
        <v>120</v>
      </c>
      <c r="AB310">
        <f t="shared" si="123"/>
        <v>120</v>
      </c>
      <c r="AC310">
        <f t="shared" si="124"/>
        <v>105</v>
      </c>
      <c r="AD310">
        <f t="shared" si="125"/>
        <v>123</v>
      </c>
      <c r="AE310">
        <f t="shared" si="126"/>
        <v>112</v>
      </c>
      <c r="AF310">
        <f t="shared" si="127"/>
        <v>80</v>
      </c>
      <c r="AG310">
        <f t="shared" si="128"/>
        <v>72</v>
      </c>
      <c r="AH310">
        <f t="shared" si="129"/>
        <v>58</v>
      </c>
      <c r="AI310">
        <f t="shared" si="130"/>
        <v>90</v>
      </c>
      <c r="AJ310">
        <f t="shared" si="131"/>
        <v>82</v>
      </c>
      <c r="AK310">
        <f t="shared" si="132"/>
        <v>50</v>
      </c>
      <c r="AL310">
        <f t="shared" si="133"/>
        <v>45</v>
      </c>
      <c r="AM310">
        <f t="shared" si="134"/>
        <v>31</v>
      </c>
      <c r="AN310">
        <f t="shared" si="135"/>
        <v>145</v>
      </c>
      <c r="AO310">
        <f t="shared" si="136"/>
        <v>132</v>
      </c>
      <c r="AP310">
        <f t="shared" si="137"/>
        <v>100</v>
      </c>
      <c r="AQ310">
        <f t="shared" si="138"/>
        <v>90</v>
      </c>
      <c r="AR310">
        <f t="shared" si="139"/>
        <v>76</v>
      </c>
      <c r="AS310">
        <f t="shared" si="140"/>
        <v>112</v>
      </c>
      <c r="AT310">
        <f t="shared" si="141"/>
        <v>102</v>
      </c>
      <c r="AU310">
        <f t="shared" si="142"/>
        <v>70</v>
      </c>
      <c r="AV310">
        <f t="shared" si="143"/>
        <v>63</v>
      </c>
      <c r="AW310">
        <f t="shared" si="144"/>
        <v>49</v>
      </c>
      <c r="AX310">
        <f t="shared" si="145"/>
        <v>128</v>
      </c>
      <c r="AY310">
        <f t="shared" si="146"/>
        <v>117</v>
      </c>
      <c r="AZ310">
        <f t="shared" si="147"/>
        <v>85</v>
      </c>
      <c r="BA310">
        <f t="shared" si="148"/>
        <v>76</v>
      </c>
      <c r="BB310">
        <f t="shared" si="149"/>
        <v>63</v>
      </c>
    </row>
    <row r="311" spans="1:54" x14ac:dyDescent="0.15">
      <c r="A311">
        <v>208</v>
      </c>
      <c r="B311" t="s">
        <v>1161</v>
      </c>
      <c r="C311">
        <v>229</v>
      </c>
      <c r="D311">
        <v>0</v>
      </c>
      <c r="E311" t="s">
        <v>1162</v>
      </c>
      <c r="G311" t="s">
        <v>1162</v>
      </c>
      <c r="H311" t="s">
        <v>1163</v>
      </c>
      <c r="J311" t="s">
        <v>1160</v>
      </c>
      <c r="K311">
        <v>35</v>
      </c>
      <c r="L311">
        <v>1.4</v>
      </c>
      <c r="M311" t="s">
        <v>140</v>
      </c>
      <c r="N311" t="s">
        <v>47</v>
      </c>
      <c r="O311" t="s">
        <v>504</v>
      </c>
      <c r="P311" t="s">
        <v>245</v>
      </c>
      <c r="Q311" t="s">
        <v>156</v>
      </c>
      <c r="R311">
        <v>9</v>
      </c>
      <c r="S311">
        <v>75</v>
      </c>
      <c r="T311">
        <v>90</v>
      </c>
      <c r="U311">
        <v>50</v>
      </c>
      <c r="V311">
        <v>110</v>
      </c>
      <c r="W311">
        <v>80</v>
      </c>
      <c r="X311">
        <v>95</v>
      </c>
      <c r="Y311">
        <f t="shared" si="120"/>
        <v>182</v>
      </c>
      <c r="Z311">
        <f t="shared" si="121"/>
        <v>182</v>
      </c>
      <c r="AA311">
        <f t="shared" si="122"/>
        <v>150</v>
      </c>
      <c r="AB311">
        <f t="shared" si="123"/>
        <v>150</v>
      </c>
      <c r="AC311">
        <f t="shared" si="124"/>
        <v>135</v>
      </c>
      <c r="AD311">
        <f t="shared" si="125"/>
        <v>156</v>
      </c>
      <c r="AE311">
        <f t="shared" si="126"/>
        <v>142</v>
      </c>
      <c r="AF311">
        <f t="shared" si="127"/>
        <v>110</v>
      </c>
      <c r="AG311">
        <f t="shared" si="128"/>
        <v>99</v>
      </c>
      <c r="AH311">
        <f t="shared" si="129"/>
        <v>85</v>
      </c>
      <c r="AI311">
        <f t="shared" si="130"/>
        <v>112</v>
      </c>
      <c r="AJ311">
        <f t="shared" si="131"/>
        <v>102</v>
      </c>
      <c r="AK311">
        <f t="shared" si="132"/>
        <v>70</v>
      </c>
      <c r="AL311">
        <f t="shared" si="133"/>
        <v>63</v>
      </c>
      <c r="AM311">
        <f t="shared" si="134"/>
        <v>49</v>
      </c>
      <c r="AN311">
        <f t="shared" si="135"/>
        <v>178</v>
      </c>
      <c r="AO311">
        <f t="shared" si="136"/>
        <v>162</v>
      </c>
      <c r="AP311">
        <f t="shared" si="137"/>
        <v>130</v>
      </c>
      <c r="AQ311">
        <f t="shared" si="138"/>
        <v>117</v>
      </c>
      <c r="AR311">
        <f t="shared" si="139"/>
        <v>103</v>
      </c>
      <c r="AS311">
        <f t="shared" si="140"/>
        <v>145</v>
      </c>
      <c r="AT311">
        <f t="shared" si="141"/>
        <v>132</v>
      </c>
      <c r="AU311">
        <f t="shared" si="142"/>
        <v>100</v>
      </c>
      <c r="AV311">
        <f t="shared" si="143"/>
        <v>90</v>
      </c>
      <c r="AW311">
        <f t="shared" si="144"/>
        <v>76</v>
      </c>
      <c r="AX311">
        <f t="shared" si="145"/>
        <v>161</v>
      </c>
      <c r="AY311">
        <f t="shared" si="146"/>
        <v>147</v>
      </c>
      <c r="AZ311">
        <f t="shared" si="147"/>
        <v>115</v>
      </c>
      <c r="BA311">
        <f t="shared" si="148"/>
        <v>103</v>
      </c>
      <c r="BB311">
        <f t="shared" si="149"/>
        <v>90</v>
      </c>
    </row>
    <row r="312" spans="1:54" x14ac:dyDescent="0.15">
      <c r="B312" t="s">
        <v>1164</v>
      </c>
      <c r="C312">
        <v>229</v>
      </c>
      <c r="D312">
        <v>1</v>
      </c>
      <c r="E312" t="s">
        <v>1162</v>
      </c>
      <c r="F312" t="s">
        <v>1165</v>
      </c>
      <c r="G312" t="s">
        <v>1165</v>
      </c>
      <c r="J312" t="s">
        <v>1160</v>
      </c>
      <c r="K312">
        <v>49.5</v>
      </c>
      <c r="L312">
        <v>1.9</v>
      </c>
      <c r="M312" t="s">
        <v>140</v>
      </c>
      <c r="N312" t="s">
        <v>47</v>
      </c>
      <c r="O312" t="s">
        <v>49</v>
      </c>
      <c r="P312" t="s">
        <v>156</v>
      </c>
      <c r="R312">
        <v>7</v>
      </c>
      <c r="S312">
        <v>75</v>
      </c>
      <c r="T312">
        <v>90</v>
      </c>
      <c r="U312">
        <v>50</v>
      </c>
      <c r="V312">
        <v>110</v>
      </c>
      <c r="W312">
        <v>80</v>
      </c>
      <c r="X312">
        <v>95</v>
      </c>
      <c r="Y312">
        <f t="shared" si="120"/>
        <v>182</v>
      </c>
      <c r="Z312">
        <f t="shared" si="121"/>
        <v>182</v>
      </c>
      <c r="AA312">
        <f t="shared" si="122"/>
        <v>150</v>
      </c>
      <c r="AB312">
        <f t="shared" si="123"/>
        <v>150</v>
      </c>
      <c r="AC312">
        <f t="shared" si="124"/>
        <v>135</v>
      </c>
      <c r="AD312">
        <f t="shared" si="125"/>
        <v>156</v>
      </c>
      <c r="AE312">
        <f t="shared" si="126"/>
        <v>142</v>
      </c>
      <c r="AF312">
        <f t="shared" si="127"/>
        <v>110</v>
      </c>
      <c r="AG312">
        <f t="shared" si="128"/>
        <v>99</v>
      </c>
      <c r="AH312">
        <f t="shared" si="129"/>
        <v>85</v>
      </c>
      <c r="AI312">
        <f t="shared" si="130"/>
        <v>112</v>
      </c>
      <c r="AJ312">
        <f t="shared" si="131"/>
        <v>102</v>
      </c>
      <c r="AK312">
        <f t="shared" si="132"/>
        <v>70</v>
      </c>
      <c r="AL312">
        <f t="shared" si="133"/>
        <v>63</v>
      </c>
      <c r="AM312">
        <f t="shared" si="134"/>
        <v>49</v>
      </c>
      <c r="AN312">
        <f t="shared" si="135"/>
        <v>178</v>
      </c>
      <c r="AO312">
        <f t="shared" si="136"/>
        <v>162</v>
      </c>
      <c r="AP312">
        <f t="shared" si="137"/>
        <v>130</v>
      </c>
      <c r="AQ312">
        <f t="shared" si="138"/>
        <v>117</v>
      </c>
      <c r="AR312">
        <f t="shared" si="139"/>
        <v>103</v>
      </c>
      <c r="AS312">
        <f t="shared" si="140"/>
        <v>145</v>
      </c>
      <c r="AT312">
        <f t="shared" si="141"/>
        <v>132</v>
      </c>
      <c r="AU312">
        <f t="shared" si="142"/>
        <v>100</v>
      </c>
      <c r="AV312">
        <f t="shared" si="143"/>
        <v>90</v>
      </c>
      <c r="AW312">
        <f t="shared" si="144"/>
        <v>76</v>
      </c>
      <c r="AX312">
        <f t="shared" si="145"/>
        <v>161</v>
      </c>
      <c r="AY312">
        <f t="shared" si="146"/>
        <v>147</v>
      </c>
      <c r="AZ312">
        <f t="shared" si="147"/>
        <v>115</v>
      </c>
      <c r="BA312">
        <f t="shared" si="148"/>
        <v>103</v>
      </c>
      <c r="BB312">
        <f t="shared" si="149"/>
        <v>90</v>
      </c>
    </row>
    <row r="313" spans="1:54" x14ac:dyDescent="0.15">
      <c r="A313">
        <v>209</v>
      </c>
      <c r="B313" t="s">
        <v>1166</v>
      </c>
      <c r="C313">
        <v>230</v>
      </c>
      <c r="D313">
        <v>0</v>
      </c>
      <c r="E313" t="s">
        <v>1167</v>
      </c>
      <c r="G313" t="s">
        <v>1167</v>
      </c>
      <c r="H313" t="s">
        <v>1168</v>
      </c>
      <c r="J313" t="s">
        <v>670</v>
      </c>
      <c r="K313">
        <v>152</v>
      </c>
      <c r="L313">
        <v>1.8</v>
      </c>
      <c r="M313" t="s">
        <v>71</v>
      </c>
      <c r="N313" t="s">
        <v>60</v>
      </c>
      <c r="O313" t="s">
        <v>346</v>
      </c>
      <c r="P313" t="s">
        <v>113</v>
      </c>
      <c r="Q313" t="s">
        <v>289</v>
      </c>
      <c r="R313">
        <v>9</v>
      </c>
      <c r="S313">
        <v>75</v>
      </c>
      <c r="T313">
        <v>95</v>
      </c>
      <c r="U313">
        <v>95</v>
      </c>
      <c r="V313">
        <v>95</v>
      </c>
      <c r="W313">
        <v>95</v>
      </c>
      <c r="X313">
        <v>85</v>
      </c>
      <c r="Y313">
        <f t="shared" si="120"/>
        <v>182</v>
      </c>
      <c r="Z313">
        <f t="shared" si="121"/>
        <v>182</v>
      </c>
      <c r="AA313">
        <f t="shared" si="122"/>
        <v>150</v>
      </c>
      <c r="AB313">
        <f t="shared" si="123"/>
        <v>150</v>
      </c>
      <c r="AC313">
        <f t="shared" si="124"/>
        <v>135</v>
      </c>
      <c r="AD313">
        <f t="shared" si="125"/>
        <v>161</v>
      </c>
      <c r="AE313">
        <f t="shared" si="126"/>
        <v>147</v>
      </c>
      <c r="AF313">
        <f t="shared" si="127"/>
        <v>115</v>
      </c>
      <c r="AG313">
        <f t="shared" si="128"/>
        <v>103</v>
      </c>
      <c r="AH313">
        <f t="shared" si="129"/>
        <v>90</v>
      </c>
      <c r="AI313">
        <f t="shared" si="130"/>
        <v>161</v>
      </c>
      <c r="AJ313">
        <f t="shared" si="131"/>
        <v>147</v>
      </c>
      <c r="AK313">
        <f t="shared" si="132"/>
        <v>115</v>
      </c>
      <c r="AL313">
        <f t="shared" si="133"/>
        <v>103</v>
      </c>
      <c r="AM313">
        <f t="shared" si="134"/>
        <v>90</v>
      </c>
      <c r="AN313">
        <f t="shared" si="135"/>
        <v>161</v>
      </c>
      <c r="AO313">
        <f t="shared" si="136"/>
        <v>147</v>
      </c>
      <c r="AP313">
        <f t="shared" si="137"/>
        <v>115</v>
      </c>
      <c r="AQ313">
        <f t="shared" si="138"/>
        <v>103</v>
      </c>
      <c r="AR313">
        <f t="shared" si="139"/>
        <v>90</v>
      </c>
      <c r="AS313">
        <f t="shared" si="140"/>
        <v>161</v>
      </c>
      <c r="AT313">
        <f t="shared" si="141"/>
        <v>147</v>
      </c>
      <c r="AU313">
        <f t="shared" si="142"/>
        <v>115</v>
      </c>
      <c r="AV313">
        <f t="shared" si="143"/>
        <v>103</v>
      </c>
      <c r="AW313">
        <f t="shared" si="144"/>
        <v>90</v>
      </c>
      <c r="AX313">
        <f t="shared" si="145"/>
        <v>150</v>
      </c>
      <c r="AY313">
        <f t="shared" si="146"/>
        <v>137</v>
      </c>
      <c r="AZ313">
        <f t="shared" si="147"/>
        <v>105</v>
      </c>
      <c r="BA313">
        <f t="shared" si="148"/>
        <v>94</v>
      </c>
      <c r="BB313">
        <f t="shared" si="149"/>
        <v>81</v>
      </c>
    </row>
    <row r="314" spans="1:54" x14ac:dyDescent="0.15">
      <c r="A314">
        <v>210</v>
      </c>
      <c r="B314" t="s">
        <v>1169</v>
      </c>
      <c r="C314">
        <v>231</v>
      </c>
      <c r="D314">
        <v>0</v>
      </c>
      <c r="E314" t="s">
        <v>1170</v>
      </c>
      <c r="G314" t="s">
        <v>1170</v>
      </c>
      <c r="H314" t="s">
        <v>1171</v>
      </c>
      <c r="J314" t="s">
        <v>1172</v>
      </c>
      <c r="K314">
        <v>33.5</v>
      </c>
      <c r="L314">
        <v>0.5</v>
      </c>
      <c r="M314" t="s">
        <v>196</v>
      </c>
      <c r="O314" t="s">
        <v>321</v>
      </c>
      <c r="P314" t="s">
        <v>197</v>
      </c>
      <c r="R314">
        <v>9</v>
      </c>
      <c r="S314">
        <v>90</v>
      </c>
      <c r="T314">
        <v>60</v>
      </c>
      <c r="U314">
        <v>60</v>
      </c>
      <c r="V314">
        <v>40</v>
      </c>
      <c r="W314">
        <v>40</v>
      </c>
      <c r="X314">
        <v>40</v>
      </c>
      <c r="Y314">
        <f t="shared" si="120"/>
        <v>197</v>
      </c>
      <c r="Z314">
        <f t="shared" si="121"/>
        <v>197</v>
      </c>
      <c r="AA314">
        <f t="shared" si="122"/>
        <v>165</v>
      </c>
      <c r="AB314">
        <f t="shared" si="123"/>
        <v>165</v>
      </c>
      <c r="AC314">
        <f t="shared" si="124"/>
        <v>150</v>
      </c>
      <c r="AD314">
        <f t="shared" si="125"/>
        <v>123</v>
      </c>
      <c r="AE314">
        <f t="shared" si="126"/>
        <v>112</v>
      </c>
      <c r="AF314">
        <f t="shared" si="127"/>
        <v>80</v>
      </c>
      <c r="AG314">
        <f t="shared" si="128"/>
        <v>72</v>
      </c>
      <c r="AH314">
        <f t="shared" si="129"/>
        <v>58</v>
      </c>
      <c r="AI314">
        <f t="shared" si="130"/>
        <v>123</v>
      </c>
      <c r="AJ314">
        <f t="shared" si="131"/>
        <v>112</v>
      </c>
      <c r="AK314">
        <f t="shared" si="132"/>
        <v>80</v>
      </c>
      <c r="AL314">
        <f t="shared" si="133"/>
        <v>72</v>
      </c>
      <c r="AM314">
        <f t="shared" si="134"/>
        <v>58</v>
      </c>
      <c r="AN314">
        <f t="shared" si="135"/>
        <v>101</v>
      </c>
      <c r="AO314">
        <f t="shared" si="136"/>
        <v>92</v>
      </c>
      <c r="AP314">
        <f t="shared" si="137"/>
        <v>60</v>
      </c>
      <c r="AQ314">
        <f t="shared" si="138"/>
        <v>54</v>
      </c>
      <c r="AR314">
        <f t="shared" si="139"/>
        <v>40</v>
      </c>
      <c r="AS314">
        <f t="shared" si="140"/>
        <v>101</v>
      </c>
      <c r="AT314">
        <f t="shared" si="141"/>
        <v>92</v>
      </c>
      <c r="AU314">
        <f t="shared" si="142"/>
        <v>60</v>
      </c>
      <c r="AV314">
        <f t="shared" si="143"/>
        <v>54</v>
      </c>
      <c r="AW314">
        <f t="shared" si="144"/>
        <v>40</v>
      </c>
      <c r="AX314">
        <f t="shared" si="145"/>
        <v>101</v>
      </c>
      <c r="AY314">
        <f t="shared" si="146"/>
        <v>92</v>
      </c>
      <c r="AZ314">
        <f t="shared" si="147"/>
        <v>60</v>
      </c>
      <c r="BA314">
        <f t="shared" si="148"/>
        <v>54</v>
      </c>
      <c r="BB314">
        <f t="shared" si="149"/>
        <v>40</v>
      </c>
    </row>
    <row r="315" spans="1:54" x14ac:dyDescent="0.15">
      <c r="A315">
        <v>211</v>
      </c>
      <c r="B315" t="s">
        <v>1173</v>
      </c>
      <c r="C315">
        <v>232</v>
      </c>
      <c r="D315">
        <v>0</v>
      </c>
      <c r="E315" t="s">
        <v>1174</v>
      </c>
      <c r="G315" t="s">
        <v>1174</v>
      </c>
      <c r="H315" t="s">
        <v>1175</v>
      </c>
      <c r="J315" t="s">
        <v>1176</v>
      </c>
      <c r="K315">
        <v>120</v>
      </c>
      <c r="L315">
        <v>1.1000000000000001</v>
      </c>
      <c r="M315" t="s">
        <v>196</v>
      </c>
      <c r="O315" t="s">
        <v>435</v>
      </c>
      <c r="P315" t="s">
        <v>197</v>
      </c>
      <c r="R315">
        <v>9</v>
      </c>
      <c r="S315">
        <v>90</v>
      </c>
      <c r="T315">
        <v>120</v>
      </c>
      <c r="U315">
        <v>120</v>
      </c>
      <c r="V315">
        <v>60</v>
      </c>
      <c r="W315">
        <v>60</v>
      </c>
      <c r="X315">
        <v>50</v>
      </c>
      <c r="Y315">
        <f t="shared" si="120"/>
        <v>197</v>
      </c>
      <c r="Z315">
        <f t="shared" si="121"/>
        <v>197</v>
      </c>
      <c r="AA315">
        <f t="shared" si="122"/>
        <v>165</v>
      </c>
      <c r="AB315">
        <f t="shared" si="123"/>
        <v>165</v>
      </c>
      <c r="AC315">
        <f t="shared" si="124"/>
        <v>150</v>
      </c>
      <c r="AD315">
        <f t="shared" si="125"/>
        <v>189</v>
      </c>
      <c r="AE315">
        <f t="shared" si="126"/>
        <v>172</v>
      </c>
      <c r="AF315">
        <f t="shared" si="127"/>
        <v>140</v>
      </c>
      <c r="AG315">
        <f t="shared" si="128"/>
        <v>126</v>
      </c>
      <c r="AH315">
        <f t="shared" si="129"/>
        <v>112</v>
      </c>
      <c r="AI315">
        <f t="shared" si="130"/>
        <v>189</v>
      </c>
      <c r="AJ315">
        <f t="shared" si="131"/>
        <v>172</v>
      </c>
      <c r="AK315">
        <f t="shared" si="132"/>
        <v>140</v>
      </c>
      <c r="AL315">
        <f t="shared" si="133"/>
        <v>126</v>
      </c>
      <c r="AM315">
        <f t="shared" si="134"/>
        <v>112</v>
      </c>
      <c r="AN315">
        <f t="shared" si="135"/>
        <v>123</v>
      </c>
      <c r="AO315">
        <f t="shared" si="136"/>
        <v>112</v>
      </c>
      <c r="AP315">
        <f t="shared" si="137"/>
        <v>80</v>
      </c>
      <c r="AQ315">
        <f t="shared" si="138"/>
        <v>72</v>
      </c>
      <c r="AR315">
        <f t="shared" si="139"/>
        <v>58</v>
      </c>
      <c r="AS315">
        <f t="shared" si="140"/>
        <v>123</v>
      </c>
      <c r="AT315">
        <f t="shared" si="141"/>
        <v>112</v>
      </c>
      <c r="AU315">
        <f t="shared" si="142"/>
        <v>80</v>
      </c>
      <c r="AV315">
        <f t="shared" si="143"/>
        <v>72</v>
      </c>
      <c r="AW315">
        <f t="shared" si="144"/>
        <v>58</v>
      </c>
      <c r="AX315">
        <f t="shared" si="145"/>
        <v>112</v>
      </c>
      <c r="AY315">
        <f t="shared" si="146"/>
        <v>102</v>
      </c>
      <c r="AZ315">
        <f t="shared" si="147"/>
        <v>70</v>
      </c>
      <c r="BA315">
        <f t="shared" si="148"/>
        <v>63</v>
      </c>
      <c r="BB315">
        <f t="shared" si="149"/>
        <v>49</v>
      </c>
    </row>
    <row r="316" spans="1:54" x14ac:dyDescent="0.15">
      <c r="A316">
        <v>212</v>
      </c>
      <c r="B316" t="s">
        <v>1177</v>
      </c>
      <c r="C316">
        <v>233</v>
      </c>
      <c r="D316">
        <v>0</v>
      </c>
      <c r="E316" t="s">
        <v>1178</v>
      </c>
      <c r="G316" t="s">
        <v>1178</v>
      </c>
      <c r="H316" t="s">
        <v>1179</v>
      </c>
      <c r="J316" t="s">
        <v>778</v>
      </c>
      <c r="K316">
        <v>32.5</v>
      </c>
      <c r="L316">
        <v>0.6</v>
      </c>
      <c r="M316" t="s">
        <v>120</v>
      </c>
      <c r="O316" t="s">
        <v>400</v>
      </c>
      <c r="P316" t="s">
        <v>779</v>
      </c>
      <c r="Q316" t="s">
        <v>490</v>
      </c>
      <c r="R316">
        <v>9</v>
      </c>
      <c r="S316">
        <v>85</v>
      </c>
      <c r="T316">
        <v>80</v>
      </c>
      <c r="U316">
        <v>90</v>
      </c>
      <c r="V316">
        <v>105</v>
      </c>
      <c r="W316">
        <v>95</v>
      </c>
      <c r="X316">
        <v>60</v>
      </c>
      <c r="Y316">
        <f t="shared" si="120"/>
        <v>192</v>
      </c>
      <c r="Z316">
        <f t="shared" si="121"/>
        <v>192</v>
      </c>
      <c r="AA316">
        <f t="shared" si="122"/>
        <v>160</v>
      </c>
      <c r="AB316">
        <f t="shared" si="123"/>
        <v>160</v>
      </c>
      <c r="AC316">
        <f t="shared" si="124"/>
        <v>145</v>
      </c>
      <c r="AD316">
        <f t="shared" si="125"/>
        <v>145</v>
      </c>
      <c r="AE316">
        <f t="shared" si="126"/>
        <v>132</v>
      </c>
      <c r="AF316">
        <f t="shared" si="127"/>
        <v>100</v>
      </c>
      <c r="AG316">
        <f t="shared" si="128"/>
        <v>90</v>
      </c>
      <c r="AH316">
        <f t="shared" si="129"/>
        <v>76</v>
      </c>
      <c r="AI316">
        <f t="shared" si="130"/>
        <v>156</v>
      </c>
      <c r="AJ316">
        <f t="shared" si="131"/>
        <v>142</v>
      </c>
      <c r="AK316">
        <f t="shared" si="132"/>
        <v>110</v>
      </c>
      <c r="AL316">
        <f t="shared" si="133"/>
        <v>99</v>
      </c>
      <c r="AM316">
        <f t="shared" si="134"/>
        <v>85</v>
      </c>
      <c r="AN316">
        <f t="shared" si="135"/>
        <v>172</v>
      </c>
      <c r="AO316">
        <f t="shared" si="136"/>
        <v>157</v>
      </c>
      <c r="AP316">
        <f t="shared" si="137"/>
        <v>125</v>
      </c>
      <c r="AQ316">
        <f t="shared" si="138"/>
        <v>112</v>
      </c>
      <c r="AR316">
        <f t="shared" si="139"/>
        <v>99</v>
      </c>
      <c r="AS316">
        <f t="shared" si="140"/>
        <v>161</v>
      </c>
      <c r="AT316">
        <f t="shared" si="141"/>
        <v>147</v>
      </c>
      <c r="AU316">
        <f t="shared" si="142"/>
        <v>115</v>
      </c>
      <c r="AV316">
        <f t="shared" si="143"/>
        <v>103</v>
      </c>
      <c r="AW316">
        <f t="shared" si="144"/>
        <v>90</v>
      </c>
      <c r="AX316">
        <f t="shared" si="145"/>
        <v>123</v>
      </c>
      <c r="AY316">
        <f t="shared" si="146"/>
        <v>112</v>
      </c>
      <c r="AZ316">
        <f t="shared" si="147"/>
        <v>80</v>
      </c>
      <c r="BA316">
        <f t="shared" si="148"/>
        <v>72</v>
      </c>
      <c r="BB316">
        <f t="shared" si="149"/>
        <v>58</v>
      </c>
    </row>
    <row r="317" spans="1:54" x14ac:dyDescent="0.15">
      <c r="A317">
        <v>213</v>
      </c>
      <c r="B317" t="s">
        <v>1180</v>
      </c>
      <c r="C317">
        <v>234</v>
      </c>
      <c r="D317">
        <v>0</v>
      </c>
      <c r="E317" t="s">
        <v>1181</v>
      </c>
      <c r="G317" t="s">
        <v>1181</v>
      </c>
      <c r="H317" t="s">
        <v>1182</v>
      </c>
      <c r="J317" t="s">
        <v>1183</v>
      </c>
      <c r="K317">
        <v>71.2</v>
      </c>
      <c r="L317">
        <v>1.4</v>
      </c>
      <c r="M317" t="s">
        <v>120</v>
      </c>
      <c r="O317" t="s">
        <v>155</v>
      </c>
      <c r="P317" t="s">
        <v>264</v>
      </c>
      <c r="Q317" t="s">
        <v>965</v>
      </c>
      <c r="R317">
        <v>9</v>
      </c>
      <c r="S317">
        <v>73</v>
      </c>
      <c r="T317">
        <v>95</v>
      </c>
      <c r="U317">
        <v>62</v>
      </c>
      <c r="V317">
        <v>85</v>
      </c>
      <c r="W317">
        <v>65</v>
      </c>
      <c r="X317">
        <v>85</v>
      </c>
      <c r="Y317">
        <f t="shared" si="120"/>
        <v>180</v>
      </c>
      <c r="Z317">
        <f t="shared" si="121"/>
        <v>180</v>
      </c>
      <c r="AA317">
        <f t="shared" si="122"/>
        <v>148</v>
      </c>
      <c r="AB317">
        <f t="shared" si="123"/>
        <v>148</v>
      </c>
      <c r="AC317">
        <f t="shared" si="124"/>
        <v>133</v>
      </c>
      <c r="AD317">
        <f t="shared" si="125"/>
        <v>161</v>
      </c>
      <c r="AE317">
        <f t="shared" si="126"/>
        <v>147</v>
      </c>
      <c r="AF317">
        <f t="shared" si="127"/>
        <v>115</v>
      </c>
      <c r="AG317">
        <f t="shared" si="128"/>
        <v>103</v>
      </c>
      <c r="AH317">
        <f t="shared" si="129"/>
        <v>90</v>
      </c>
      <c r="AI317">
        <f t="shared" si="130"/>
        <v>125</v>
      </c>
      <c r="AJ317">
        <f t="shared" si="131"/>
        <v>114</v>
      </c>
      <c r="AK317">
        <f t="shared" si="132"/>
        <v>82</v>
      </c>
      <c r="AL317">
        <f t="shared" si="133"/>
        <v>73</v>
      </c>
      <c r="AM317">
        <f t="shared" si="134"/>
        <v>60</v>
      </c>
      <c r="AN317">
        <f t="shared" si="135"/>
        <v>150</v>
      </c>
      <c r="AO317">
        <f t="shared" si="136"/>
        <v>137</v>
      </c>
      <c r="AP317">
        <f t="shared" si="137"/>
        <v>105</v>
      </c>
      <c r="AQ317">
        <f t="shared" si="138"/>
        <v>94</v>
      </c>
      <c r="AR317">
        <f t="shared" si="139"/>
        <v>81</v>
      </c>
      <c r="AS317">
        <f t="shared" si="140"/>
        <v>128</v>
      </c>
      <c r="AT317">
        <f t="shared" si="141"/>
        <v>117</v>
      </c>
      <c r="AU317">
        <f t="shared" si="142"/>
        <v>85</v>
      </c>
      <c r="AV317">
        <f t="shared" si="143"/>
        <v>76</v>
      </c>
      <c r="AW317">
        <f t="shared" si="144"/>
        <v>63</v>
      </c>
      <c r="AX317">
        <f t="shared" si="145"/>
        <v>150</v>
      </c>
      <c r="AY317">
        <f t="shared" si="146"/>
        <v>137</v>
      </c>
      <c r="AZ317">
        <f t="shared" si="147"/>
        <v>105</v>
      </c>
      <c r="BA317">
        <f t="shared" si="148"/>
        <v>94</v>
      </c>
      <c r="BB317">
        <f t="shared" si="149"/>
        <v>81</v>
      </c>
    </row>
    <row r="318" spans="1:54" x14ac:dyDescent="0.15">
      <c r="A318">
        <v>214</v>
      </c>
      <c r="B318" t="s">
        <v>1184</v>
      </c>
      <c r="C318">
        <v>235</v>
      </c>
      <c r="D318">
        <v>0</v>
      </c>
      <c r="E318" t="s">
        <v>1185</v>
      </c>
      <c r="G318" t="s">
        <v>1185</v>
      </c>
      <c r="H318" t="s">
        <v>1186</v>
      </c>
      <c r="J318" t="s">
        <v>1187</v>
      </c>
      <c r="K318">
        <v>58</v>
      </c>
      <c r="L318">
        <v>1.2</v>
      </c>
      <c r="M318" t="s">
        <v>120</v>
      </c>
      <c r="O318" t="s">
        <v>470</v>
      </c>
      <c r="P318" t="s">
        <v>322</v>
      </c>
      <c r="Q318" t="s">
        <v>1142</v>
      </c>
      <c r="R318">
        <v>9</v>
      </c>
      <c r="S318">
        <v>55</v>
      </c>
      <c r="T318">
        <v>20</v>
      </c>
      <c r="U318">
        <v>35</v>
      </c>
      <c r="V318">
        <v>20</v>
      </c>
      <c r="W318">
        <v>45</v>
      </c>
      <c r="X318">
        <v>75</v>
      </c>
      <c r="Y318">
        <f t="shared" si="120"/>
        <v>162</v>
      </c>
      <c r="Z318">
        <f t="shared" si="121"/>
        <v>162</v>
      </c>
      <c r="AA318">
        <f t="shared" si="122"/>
        <v>130</v>
      </c>
      <c r="AB318">
        <f t="shared" si="123"/>
        <v>130</v>
      </c>
      <c r="AC318">
        <f t="shared" si="124"/>
        <v>115</v>
      </c>
      <c r="AD318">
        <f t="shared" si="125"/>
        <v>79</v>
      </c>
      <c r="AE318">
        <f t="shared" si="126"/>
        <v>72</v>
      </c>
      <c r="AF318">
        <f t="shared" si="127"/>
        <v>40</v>
      </c>
      <c r="AG318">
        <f t="shared" si="128"/>
        <v>36</v>
      </c>
      <c r="AH318">
        <f t="shared" si="129"/>
        <v>22</v>
      </c>
      <c r="AI318">
        <f t="shared" si="130"/>
        <v>95</v>
      </c>
      <c r="AJ318">
        <f t="shared" si="131"/>
        <v>87</v>
      </c>
      <c r="AK318">
        <f t="shared" si="132"/>
        <v>55</v>
      </c>
      <c r="AL318">
        <f t="shared" si="133"/>
        <v>49</v>
      </c>
      <c r="AM318">
        <f t="shared" si="134"/>
        <v>36</v>
      </c>
      <c r="AN318">
        <f t="shared" si="135"/>
        <v>79</v>
      </c>
      <c r="AO318">
        <f t="shared" si="136"/>
        <v>72</v>
      </c>
      <c r="AP318">
        <f t="shared" si="137"/>
        <v>40</v>
      </c>
      <c r="AQ318">
        <f t="shared" si="138"/>
        <v>36</v>
      </c>
      <c r="AR318">
        <f t="shared" si="139"/>
        <v>22</v>
      </c>
      <c r="AS318">
        <f t="shared" si="140"/>
        <v>106</v>
      </c>
      <c r="AT318">
        <f t="shared" si="141"/>
        <v>97</v>
      </c>
      <c r="AU318">
        <f t="shared" si="142"/>
        <v>65</v>
      </c>
      <c r="AV318">
        <f t="shared" si="143"/>
        <v>58</v>
      </c>
      <c r="AW318">
        <f t="shared" si="144"/>
        <v>45</v>
      </c>
      <c r="AX318">
        <f t="shared" si="145"/>
        <v>139</v>
      </c>
      <c r="AY318">
        <f t="shared" si="146"/>
        <v>127</v>
      </c>
      <c r="AZ318">
        <f t="shared" si="147"/>
        <v>95</v>
      </c>
      <c r="BA318">
        <f t="shared" si="148"/>
        <v>85</v>
      </c>
      <c r="BB318">
        <f t="shared" si="149"/>
        <v>72</v>
      </c>
    </row>
    <row r="319" spans="1:54" x14ac:dyDescent="0.15">
      <c r="A319">
        <v>215</v>
      </c>
      <c r="B319" t="s">
        <v>1188</v>
      </c>
      <c r="C319">
        <v>236</v>
      </c>
      <c r="D319">
        <v>0</v>
      </c>
      <c r="E319" t="s">
        <v>1189</v>
      </c>
      <c r="G319" t="s">
        <v>1189</v>
      </c>
      <c r="H319" t="s">
        <v>1190</v>
      </c>
      <c r="J319" t="s">
        <v>1191</v>
      </c>
      <c r="K319">
        <v>21</v>
      </c>
      <c r="L319">
        <v>0.7</v>
      </c>
      <c r="M319" t="s">
        <v>354</v>
      </c>
      <c r="O319" t="s">
        <v>135</v>
      </c>
      <c r="P319" t="s">
        <v>404</v>
      </c>
      <c r="Q319" t="s">
        <v>355</v>
      </c>
      <c r="R319">
        <v>9</v>
      </c>
      <c r="S319">
        <v>35</v>
      </c>
      <c r="T319">
        <v>35</v>
      </c>
      <c r="U319">
        <v>35</v>
      </c>
      <c r="V319">
        <v>35</v>
      </c>
      <c r="W319">
        <v>35</v>
      </c>
      <c r="X319">
        <v>35</v>
      </c>
      <c r="Y319">
        <f t="shared" si="120"/>
        <v>142</v>
      </c>
      <c r="Z319">
        <f t="shared" si="121"/>
        <v>142</v>
      </c>
      <c r="AA319">
        <f t="shared" si="122"/>
        <v>110</v>
      </c>
      <c r="AB319">
        <f t="shared" si="123"/>
        <v>110</v>
      </c>
      <c r="AC319">
        <f t="shared" si="124"/>
        <v>95</v>
      </c>
      <c r="AD319">
        <f t="shared" si="125"/>
        <v>95</v>
      </c>
      <c r="AE319">
        <f t="shared" si="126"/>
        <v>87</v>
      </c>
      <c r="AF319">
        <f t="shared" si="127"/>
        <v>55</v>
      </c>
      <c r="AG319">
        <f t="shared" si="128"/>
        <v>49</v>
      </c>
      <c r="AH319">
        <f t="shared" si="129"/>
        <v>36</v>
      </c>
      <c r="AI319">
        <f t="shared" si="130"/>
        <v>95</v>
      </c>
      <c r="AJ319">
        <f t="shared" si="131"/>
        <v>87</v>
      </c>
      <c r="AK319">
        <f t="shared" si="132"/>
        <v>55</v>
      </c>
      <c r="AL319">
        <f t="shared" si="133"/>
        <v>49</v>
      </c>
      <c r="AM319">
        <f t="shared" si="134"/>
        <v>36</v>
      </c>
      <c r="AN319">
        <f t="shared" si="135"/>
        <v>95</v>
      </c>
      <c r="AO319">
        <f t="shared" si="136"/>
        <v>87</v>
      </c>
      <c r="AP319">
        <f t="shared" si="137"/>
        <v>55</v>
      </c>
      <c r="AQ319">
        <f t="shared" si="138"/>
        <v>49</v>
      </c>
      <c r="AR319">
        <f t="shared" si="139"/>
        <v>36</v>
      </c>
      <c r="AS319">
        <f t="shared" si="140"/>
        <v>95</v>
      </c>
      <c r="AT319">
        <f t="shared" si="141"/>
        <v>87</v>
      </c>
      <c r="AU319">
        <f t="shared" si="142"/>
        <v>55</v>
      </c>
      <c r="AV319">
        <f t="shared" si="143"/>
        <v>49</v>
      </c>
      <c r="AW319">
        <f t="shared" si="144"/>
        <v>36</v>
      </c>
      <c r="AX319">
        <f t="shared" si="145"/>
        <v>95</v>
      </c>
      <c r="AY319">
        <f t="shared" si="146"/>
        <v>87</v>
      </c>
      <c r="AZ319">
        <f t="shared" si="147"/>
        <v>55</v>
      </c>
      <c r="BA319">
        <f t="shared" si="148"/>
        <v>49</v>
      </c>
      <c r="BB319">
        <f t="shared" si="149"/>
        <v>36</v>
      </c>
    </row>
    <row r="320" spans="1:54" x14ac:dyDescent="0.15">
      <c r="A320">
        <v>216</v>
      </c>
      <c r="B320" t="s">
        <v>1192</v>
      </c>
      <c r="C320">
        <v>237</v>
      </c>
      <c r="D320">
        <v>0</v>
      </c>
      <c r="E320" t="s">
        <v>1193</v>
      </c>
      <c r="G320" t="s">
        <v>1193</v>
      </c>
      <c r="H320" t="s">
        <v>1194</v>
      </c>
      <c r="J320" t="s">
        <v>1195</v>
      </c>
      <c r="K320">
        <v>48</v>
      </c>
      <c r="L320">
        <v>1.4</v>
      </c>
      <c r="M320" t="s">
        <v>354</v>
      </c>
      <c r="O320" t="s">
        <v>155</v>
      </c>
      <c r="P320" t="s">
        <v>322</v>
      </c>
      <c r="Q320" t="s">
        <v>404</v>
      </c>
      <c r="R320">
        <v>9</v>
      </c>
      <c r="S320">
        <v>50</v>
      </c>
      <c r="T320">
        <v>95</v>
      </c>
      <c r="U320">
        <v>95</v>
      </c>
      <c r="V320">
        <v>35</v>
      </c>
      <c r="W320">
        <v>110</v>
      </c>
      <c r="X320">
        <v>70</v>
      </c>
      <c r="Y320">
        <f t="shared" si="120"/>
        <v>157</v>
      </c>
      <c r="Z320">
        <f t="shared" si="121"/>
        <v>157</v>
      </c>
      <c r="AA320">
        <f t="shared" si="122"/>
        <v>125</v>
      </c>
      <c r="AB320">
        <f t="shared" si="123"/>
        <v>125</v>
      </c>
      <c r="AC320">
        <f t="shared" si="124"/>
        <v>110</v>
      </c>
      <c r="AD320">
        <f t="shared" si="125"/>
        <v>161</v>
      </c>
      <c r="AE320">
        <f t="shared" si="126"/>
        <v>147</v>
      </c>
      <c r="AF320">
        <f t="shared" si="127"/>
        <v>115</v>
      </c>
      <c r="AG320">
        <f t="shared" si="128"/>
        <v>103</v>
      </c>
      <c r="AH320">
        <f t="shared" si="129"/>
        <v>90</v>
      </c>
      <c r="AI320">
        <f t="shared" si="130"/>
        <v>161</v>
      </c>
      <c r="AJ320">
        <f t="shared" si="131"/>
        <v>147</v>
      </c>
      <c r="AK320">
        <f t="shared" si="132"/>
        <v>115</v>
      </c>
      <c r="AL320">
        <f t="shared" si="133"/>
        <v>103</v>
      </c>
      <c r="AM320">
        <f t="shared" si="134"/>
        <v>90</v>
      </c>
      <c r="AN320">
        <f t="shared" si="135"/>
        <v>95</v>
      </c>
      <c r="AO320">
        <f t="shared" si="136"/>
        <v>87</v>
      </c>
      <c r="AP320">
        <f t="shared" si="137"/>
        <v>55</v>
      </c>
      <c r="AQ320">
        <f t="shared" si="138"/>
        <v>49</v>
      </c>
      <c r="AR320">
        <f t="shared" si="139"/>
        <v>36</v>
      </c>
      <c r="AS320">
        <f t="shared" si="140"/>
        <v>178</v>
      </c>
      <c r="AT320">
        <f t="shared" si="141"/>
        <v>162</v>
      </c>
      <c r="AU320">
        <f t="shared" si="142"/>
        <v>130</v>
      </c>
      <c r="AV320">
        <f t="shared" si="143"/>
        <v>117</v>
      </c>
      <c r="AW320">
        <f t="shared" si="144"/>
        <v>103</v>
      </c>
      <c r="AX320">
        <f t="shared" si="145"/>
        <v>134</v>
      </c>
      <c r="AY320">
        <f t="shared" si="146"/>
        <v>122</v>
      </c>
      <c r="AZ320">
        <f t="shared" si="147"/>
        <v>90</v>
      </c>
      <c r="BA320">
        <f t="shared" si="148"/>
        <v>81</v>
      </c>
      <c r="BB320">
        <f t="shared" si="149"/>
        <v>67</v>
      </c>
    </row>
    <row r="321" spans="1:54" x14ac:dyDescent="0.15">
      <c r="B321" t="s">
        <v>1196</v>
      </c>
      <c r="C321">
        <v>238</v>
      </c>
      <c r="D321">
        <v>0</v>
      </c>
      <c r="E321" t="s">
        <v>1197</v>
      </c>
      <c r="G321" t="s">
        <v>1197</v>
      </c>
      <c r="J321" t="s">
        <v>1198</v>
      </c>
      <c r="K321">
        <v>6</v>
      </c>
      <c r="L321">
        <v>0.4</v>
      </c>
      <c r="M321" t="s">
        <v>202</v>
      </c>
      <c r="N321" t="s">
        <v>191</v>
      </c>
      <c r="O321" t="s">
        <v>469</v>
      </c>
      <c r="P321" t="s">
        <v>569</v>
      </c>
      <c r="Q321" t="s">
        <v>513</v>
      </c>
      <c r="R321">
        <v>8</v>
      </c>
      <c r="S321">
        <v>45</v>
      </c>
      <c r="T321">
        <v>30</v>
      </c>
      <c r="U321">
        <v>15</v>
      </c>
      <c r="V321">
        <v>85</v>
      </c>
      <c r="W321">
        <v>65</v>
      </c>
      <c r="X321">
        <v>65</v>
      </c>
      <c r="Y321">
        <f t="shared" si="120"/>
        <v>152</v>
      </c>
      <c r="Z321">
        <f t="shared" si="121"/>
        <v>152</v>
      </c>
      <c r="AA321">
        <f t="shared" si="122"/>
        <v>120</v>
      </c>
      <c r="AB321">
        <f t="shared" si="123"/>
        <v>120</v>
      </c>
      <c r="AC321">
        <f t="shared" si="124"/>
        <v>105</v>
      </c>
      <c r="AD321">
        <f t="shared" si="125"/>
        <v>90</v>
      </c>
      <c r="AE321">
        <f t="shared" si="126"/>
        <v>82</v>
      </c>
      <c r="AF321">
        <f t="shared" si="127"/>
        <v>50</v>
      </c>
      <c r="AG321">
        <f t="shared" si="128"/>
        <v>45</v>
      </c>
      <c r="AH321">
        <f t="shared" si="129"/>
        <v>31</v>
      </c>
      <c r="AI321">
        <f t="shared" si="130"/>
        <v>73</v>
      </c>
      <c r="AJ321">
        <f t="shared" si="131"/>
        <v>67</v>
      </c>
      <c r="AK321">
        <f t="shared" si="132"/>
        <v>35</v>
      </c>
      <c r="AL321">
        <f t="shared" si="133"/>
        <v>31</v>
      </c>
      <c r="AM321">
        <f t="shared" si="134"/>
        <v>18</v>
      </c>
      <c r="AN321">
        <f t="shared" si="135"/>
        <v>150</v>
      </c>
      <c r="AO321">
        <f t="shared" si="136"/>
        <v>137</v>
      </c>
      <c r="AP321">
        <f t="shared" si="137"/>
        <v>105</v>
      </c>
      <c r="AQ321">
        <f t="shared" si="138"/>
        <v>94</v>
      </c>
      <c r="AR321">
        <f t="shared" si="139"/>
        <v>81</v>
      </c>
      <c r="AS321">
        <f t="shared" si="140"/>
        <v>128</v>
      </c>
      <c r="AT321">
        <f t="shared" si="141"/>
        <v>117</v>
      </c>
      <c r="AU321">
        <f t="shared" si="142"/>
        <v>85</v>
      </c>
      <c r="AV321">
        <f t="shared" si="143"/>
        <v>76</v>
      </c>
      <c r="AW321">
        <f t="shared" si="144"/>
        <v>63</v>
      </c>
      <c r="AX321">
        <f t="shared" si="145"/>
        <v>128</v>
      </c>
      <c r="AY321">
        <f t="shared" si="146"/>
        <v>117</v>
      </c>
      <c r="AZ321">
        <f t="shared" si="147"/>
        <v>85</v>
      </c>
      <c r="BA321">
        <f t="shared" si="148"/>
        <v>76</v>
      </c>
      <c r="BB321">
        <f t="shared" si="149"/>
        <v>63</v>
      </c>
    </row>
    <row r="322" spans="1:54" x14ac:dyDescent="0.15">
      <c r="A322">
        <v>217</v>
      </c>
      <c r="B322" t="s">
        <v>1199</v>
      </c>
      <c r="C322">
        <v>239</v>
      </c>
      <c r="D322">
        <v>0</v>
      </c>
      <c r="E322" t="s">
        <v>1200</v>
      </c>
      <c r="G322" t="s">
        <v>1200</v>
      </c>
      <c r="H322" t="s">
        <v>1201</v>
      </c>
      <c r="J322" t="s">
        <v>1202</v>
      </c>
      <c r="K322">
        <v>23.5</v>
      </c>
      <c r="L322">
        <v>0.6</v>
      </c>
      <c r="M322" t="s">
        <v>164</v>
      </c>
      <c r="O322" t="s">
        <v>165</v>
      </c>
      <c r="P322" t="s">
        <v>355</v>
      </c>
      <c r="R322">
        <v>9</v>
      </c>
      <c r="S322">
        <v>45</v>
      </c>
      <c r="T322">
        <v>63</v>
      </c>
      <c r="U322">
        <v>37</v>
      </c>
      <c r="V322">
        <v>65</v>
      </c>
      <c r="W322">
        <v>55</v>
      </c>
      <c r="X322">
        <v>95</v>
      </c>
      <c r="Y322">
        <f t="shared" ref="Y322:Y385" si="150">IF(S322="", "", S322+107)</f>
        <v>152</v>
      </c>
      <c r="Z322">
        <f t="shared" ref="Z322:Z385" si="151">IF(S322="", "", S322+107)</f>
        <v>152</v>
      </c>
      <c r="AA322">
        <f t="shared" ref="AA322:AA385" si="152">IF(S322="", "", INT(INT(S322*2 + 31)/2) + 60)</f>
        <v>120</v>
      </c>
      <c r="AB322">
        <f t="shared" ref="AB322:AB385" si="153">IF(S322="", "", INT(INT(S322*2 + 31)/2) + 60)</f>
        <v>120</v>
      </c>
      <c r="AC322">
        <f t="shared" ref="AC322:AC385" si="154">IF(S322="", "", S322 + 60)</f>
        <v>105</v>
      </c>
      <c r="AD322">
        <f t="shared" ref="AD322:AD385" si="155">IF(T322="","",INT((T322+52)*1.1))</f>
        <v>126</v>
      </c>
      <c r="AE322">
        <f t="shared" ref="AE322:AE385" si="156">IF(T322="","",T322+52)</f>
        <v>115</v>
      </c>
      <c r="AF322">
        <f t="shared" ref="AF322:AF385" si="157">IF(T322="", "", INT((T322*2 + 31)/2) + 5)</f>
        <v>83</v>
      </c>
      <c r="AG322">
        <f t="shared" ref="AG322:AG385" si="158">IF(T322="", "", INT((INT((T322*2 + 31)/2) + 5)*0.9) )</f>
        <v>74</v>
      </c>
      <c r="AH322">
        <f t="shared" ref="AH322:AH385" si="159">IF(T322="", "", INT((T322 + 5) * 0.9))</f>
        <v>61</v>
      </c>
      <c r="AI322">
        <f t="shared" ref="AI322:AI385" si="160">IF(U322="","",INT((U322+52)*1.1))</f>
        <v>97</v>
      </c>
      <c r="AJ322">
        <f t="shared" ref="AJ322:AJ385" si="161">IF(U322="","",U322+52)</f>
        <v>89</v>
      </c>
      <c r="AK322">
        <f t="shared" ref="AK322:AK385" si="162">IF(U322="", "", INT((U322*2 + 31)/2) + 5)</f>
        <v>57</v>
      </c>
      <c r="AL322">
        <f t="shared" ref="AL322:AL385" si="163">IF(U322="", "", INT((INT((U322*2 + 31)/2) + 5)*0.9) )</f>
        <v>51</v>
      </c>
      <c r="AM322">
        <f t="shared" ref="AM322:AM385" si="164">IF(U322="", "", INT((U322 + 5) * 0.9))</f>
        <v>37</v>
      </c>
      <c r="AN322">
        <f t="shared" ref="AN322:AN385" si="165">IF(V322="","",INT((V322+52)*1.1))</f>
        <v>128</v>
      </c>
      <c r="AO322">
        <f t="shared" ref="AO322:AO385" si="166">IF(V322="","",V322+52)</f>
        <v>117</v>
      </c>
      <c r="AP322">
        <f t="shared" ref="AP322:AP385" si="167">IF(V322="", "", INT((V322*2 + 31)/2) + 5)</f>
        <v>85</v>
      </c>
      <c r="AQ322">
        <f t="shared" ref="AQ322:AQ385" si="168">IF(V322="", "", INT((INT((V322*2 + 31)/2) + 5)*0.9) )</f>
        <v>76</v>
      </c>
      <c r="AR322">
        <f t="shared" ref="AR322:AR385" si="169">IF(V322="", "", INT((V322 + 5) * 0.9))</f>
        <v>63</v>
      </c>
      <c r="AS322">
        <f t="shared" ref="AS322:AS385" si="170">IF(W322="","",INT((W322+52)*1.1))</f>
        <v>117</v>
      </c>
      <c r="AT322">
        <f t="shared" ref="AT322:AT385" si="171">IF(W322="","",W322+52)</f>
        <v>107</v>
      </c>
      <c r="AU322">
        <f t="shared" ref="AU322:AU385" si="172">IF(W322="", "", INT((W322*2 + 31)/2) + 5)</f>
        <v>75</v>
      </c>
      <c r="AV322">
        <f t="shared" ref="AV322:AV385" si="173">IF(W322="", "", INT((INT((W322*2 + 31)/2) + 5)*0.9) )</f>
        <v>67</v>
      </c>
      <c r="AW322">
        <f t="shared" ref="AW322:AW385" si="174">IF(W322="", "", INT((W322 + 5) * 0.9))</f>
        <v>54</v>
      </c>
      <c r="AX322">
        <f t="shared" ref="AX322:AX385" si="175">IF(X322="","",INT((X322+52)*1.1))</f>
        <v>161</v>
      </c>
      <c r="AY322">
        <f t="shared" ref="AY322:AY385" si="176">IF(X322="","",X322+52)</f>
        <v>147</v>
      </c>
      <c r="AZ322">
        <f t="shared" ref="AZ322:AZ385" si="177">IF(X322="", "", INT((X322*2 + 31)/2) + 5)</f>
        <v>115</v>
      </c>
      <c r="BA322">
        <f t="shared" ref="BA322:BA385" si="178">IF(X322="", "", INT((INT((X322*2 + 31)/2) + 5)*0.9) )</f>
        <v>103</v>
      </c>
      <c r="BB322">
        <f t="shared" ref="BB322:BB385" si="179">IF(X322="", "", INT((X322 + 5) * 0.9))</f>
        <v>90</v>
      </c>
    </row>
    <row r="323" spans="1:54" x14ac:dyDescent="0.15">
      <c r="A323">
        <v>218</v>
      </c>
      <c r="B323" t="s">
        <v>1203</v>
      </c>
      <c r="C323">
        <v>240</v>
      </c>
      <c r="D323">
        <v>0</v>
      </c>
      <c r="E323" t="s">
        <v>1204</v>
      </c>
      <c r="G323" t="s">
        <v>1204</v>
      </c>
      <c r="H323" t="s">
        <v>1205</v>
      </c>
      <c r="J323" t="s">
        <v>1206</v>
      </c>
      <c r="K323">
        <v>21.4</v>
      </c>
      <c r="L323">
        <v>0.7</v>
      </c>
      <c r="M323" t="s">
        <v>47</v>
      </c>
      <c r="O323" t="s">
        <v>456</v>
      </c>
      <c r="P323" t="s">
        <v>355</v>
      </c>
      <c r="R323">
        <v>9</v>
      </c>
      <c r="S323">
        <v>45</v>
      </c>
      <c r="T323">
        <v>75</v>
      </c>
      <c r="U323">
        <v>37</v>
      </c>
      <c r="V323">
        <v>70</v>
      </c>
      <c r="W323">
        <v>55</v>
      </c>
      <c r="X323">
        <v>83</v>
      </c>
      <c r="Y323">
        <f t="shared" si="150"/>
        <v>152</v>
      </c>
      <c r="Z323">
        <f t="shared" si="151"/>
        <v>152</v>
      </c>
      <c r="AA323">
        <f t="shared" si="152"/>
        <v>120</v>
      </c>
      <c r="AB323">
        <f t="shared" si="153"/>
        <v>120</v>
      </c>
      <c r="AC323">
        <f t="shared" si="154"/>
        <v>105</v>
      </c>
      <c r="AD323">
        <f t="shared" si="155"/>
        <v>139</v>
      </c>
      <c r="AE323">
        <f t="shared" si="156"/>
        <v>127</v>
      </c>
      <c r="AF323">
        <f t="shared" si="157"/>
        <v>95</v>
      </c>
      <c r="AG323">
        <f t="shared" si="158"/>
        <v>85</v>
      </c>
      <c r="AH323">
        <f t="shared" si="159"/>
        <v>72</v>
      </c>
      <c r="AI323">
        <f t="shared" si="160"/>
        <v>97</v>
      </c>
      <c r="AJ323">
        <f t="shared" si="161"/>
        <v>89</v>
      </c>
      <c r="AK323">
        <f t="shared" si="162"/>
        <v>57</v>
      </c>
      <c r="AL323">
        <f t="shared" si="163"/>
        <v>51</v>
      </c>
      <c r="AM323">
        <f t="shared" si="164"/>
        <v>37</v>
      </c>
      <c r="AN323">
        <f t="shared" si="165"/>
        <v>134</v>
      </c>
      <c r="AO323">
        <f t="shared" si="166"/>
        <v>122</v>
      </c>
      <c r="AP323">
        <f t="shared" si="167"/>
        <v>90</v>
      </c>
      <c r="AQ323">
        <f t="shared" si="168"/>
        <v>81</v>
      </c>
      <c r="AR323">
        <f t="shared" si="169"/>
        <v>67</v>
      </c>
      <c r="AS323">
        <f t="shared" si="170"/>
        <v>117</v>
      </c>
      <c r="AT323">
        <f t="shared" si="171"/>
        <v>107</v>
      </c>
      <c r="AU323">
        <f t="shared" si="172"/>
        <v>75</v>
      </c>
      <c r="AV323">
        <f t="shared" si="173"/>
        <v>67</v>
      </c>
      <c r="AW323">
        <f t="shared" si="174"/>
        <v>54</v>
      </c>
      <c r="AX323">
        <f t="shared" si="175"/>
        <v>148</v>
      </c>
      <c r="AY323">
        <f t="shared" si="176"/>
        <v>135</v>
      </c>
      <c r="AZ323">
        <f t="shared" si="177"/>
        <v>103</v>
      </c>
      <c r="BA323">
        <f t="shared" si="178"/>
        <v>92</v>
      </c>
      <c r="BB323">
        <f t="shared" si="179"/>
        <v>79</v>
      </c>
    </row>
    <row r="324" spans="1:54" x14ac:dyDescent="0.15">
      <c r="B324" t="s">
        <v>1207</v>
      </c>
      <c r="C324">
        <v>241</v>
      </c>
      <c r="D324">
        <v>0</v>
      </c>
      <c r="E324" t="s">
        <v>1208</v>
      </c>
      <c r="G324" t="s">
        <v>1208</v>
      </c>
      <c r="J324" t="s">
        <v>1209</v>
      </c>
      <c r="K324">
        <v>75.5</v>
      </c>
      <c r="L324">
        <v>1.2</v>
      </c>
      <c r="M324" t="s">
        <v>120</v>
      </c>
      <c r="O324" t="s">
        <v>38</v>
      </c>
      <c r="P324" t="s">
        <v>499</v>
      </c>
      <c r="Q324" t="s">
        <v>965</v>
      </c>
      <c r="R324">
        <v>8</v>
      </c>
      <c r="S324">
        <v>95</v>
      </c>
      <c r="T324">
        <v>80</v>
      </c>
      <c r="U324">
        <v>105</v>
      </c>
      <c r="V324">
        <v>40</v>
      </c>
      <c r="W324">
        <v>70</v>
      </c>
      <c r="X324">
        <v>100</v>
      </c>
      <c r="Y324">
        <f t="shared" si="150"/>
        <v>202</v>
      </c>
      <c r="Z324">
        <f t="shared" si="151"/>
        <v>202</v>
      </c>
      <c r="AA324">
        <f t="shared" si="152"/>
        <v>170</v>
      </c>
      <c r="AB324">
        <f t="shared" si="153"/>
        <v>170</v>
      </c>
      <c r="AC324">
        <f t="shared" si="154"/>
        <v>155</v>
      </c>
      <c r="AD324">
        <f t="shared" si="155"/>
        <v>145</v>
      </c>
      <c r="AE324">
        <f t="shared" si="156"/>
        <v>132</v>
      </c>
      <c r="AF324">
        <f t="shared" si="157"/>
        <v>100</v>
      </c>
      <c r="AG324">
        <f t="shared" si="158"/>
        <v>90</v>
      </c>
      <c r="AH324">
        <f t="shared" si="159"/>
        <v>76</v>
      </c>
      <c r="AI324">
        <f t="shared" si="160"/>
        <v>172</v>
      </c>
      <c r="AJ324">
        <f t="shared" si="161"/>
        <v>157</v>
      </c>
      <c r="AK324">
        <f t="shared" si="162"/>
        <v>125</v>
      </c>
      <c r="AL324">
        <f t="shared" si="163"/>
        <v>112</v>
      </c>
      <c r="AM324">
        <f t="shared" si="164"/>
        <v>99</v>
      </c>
      <c r="AN324">
        <f t="shared" si="165"/>
        <v>101</v>
      </c>
      <c r="AO324">
        <f t="shared" si="166"/>
        <v>92</v>
      </c>
      <c r="AP324">
        <f t="shared" si="167"/>
        <v>60</v>
      </c>
      <c r="AQ324">
        <f t="shared" si="168"/>
        <v>54</v>
      </c>
      <c r="AR324">
        <f t="shared" si="169"/>
        <v>40</v>
      </c>
      <c r="AS324">
        <f t="shared" si="170"/>
        <v>134</v>
      </c>
      <c r="AT324">
        <f t="shared" si="171"/>
        <v>122</v>
      </c>
      <c r="AU324">
        <f t="shared" si="172"/>
        <v>90</v>
      </c>
      <c r="AV324">
        <f t="shared" si="173"/>
        <v>81</v>
      </c>
      <c r="AW324">
        <f t="shared" si="174"/>
        <v>67</v>
      </c>
      <c r="AX324">
        <f t="shared" si="175"/>
        <v>167</v>
      </c>
      <c r="AY324">
        <f t="shared" si="176"/>
        <v>152</v>
      </c>
      <c r="AZ324">
        <f t="shared" si="177"/>
        <v>120</v>
      </c>
      <c r="BA324">
        <f t="shared" si="178"/>
        <v>108</v>
      </c>
      <c r="BB324">
        <f t="shared" si="179"/>
        <v>94</v>
      </c>
    </row>
    <row r="325" spans="1:54" x14ac:dyDescent="0.15">
      <c r="A325">
        <v>219</v>
      </c>
      <c r="B325" t="s">
        <v>1210</v>
      </c>
      <c r="C325">
        <v>242</v>
      </c>
      <c r="D325">
        <v>0</v>
      </c>
      <c r="E325" t="s">
        <v>1211</v>
      </c>
      <c r="G325" t="s">
        <v>1211</v>
      </c>
      <c r="H325" t="s">
        <v>1212</v>
      </c>
      <c r="J325" t="s">
        <v>937</v>
      </c>
      <c r="K325">
        <v>46.8</v>
      </c>
      <c r="L325">
        <v>1.5</v>
      </c>
      <c r="M325" t="s">
        <v>120</v>
      </c>
      <c r="O325" t="s">
        <v>654</v>
      </c>
      <c r="P325" t="s">
        <v>655</v>
      </c>
      <c r="Q325" t="s">
        <v>656</v>
      </c>
      <c r="R325">
        <v>9</v>
      </c>
      <c r="S325">
        <v>255</v>
      </c>
      <c r="T325">
        <v>10</v>
      </c>
      <c r="U325">
        <v>10</v>
      </c>
      <c r="V325">
        <v>75</v>
      </c>
      <c r="W325">
        <v>135</v>
      </c>
      <c r="X325">
        <v>55</v>
      </c>
      <c r="Y325">
        <f t="shared" si="150"/>
        <v>362</v>
      </c>
      <c r="Z325">
        <f t="shared" si="151"/>
        <v>362</v>
      </c>
      <c r="AA325">
        <f t="shared" si="152"/>
        <v>330</v>
      </c>
      <c r="AB325">
        <f t="shared" si="153"/>
        <v>330</v>
      </c>
      <c r="AC325">
        <f t="shared" si="154"/>
        <v>315</v>
      </c>
      <c r="AD325">
        <f t="shared" si="155"/>
        <v>68</v>
      </c>
      <c r="AE325">
        <f t="shared" si="156"/>
        <v>62</v>
      </c>
      <c r="AF325">
        <f t="shared" si="157"/>
        <v>30</v>
      </c>
      <c r="AG325">
        <f t="shared" si="158"/>
        <v>27</v>
      </c>
      <c r="AH325">
        <f t="shared" si="159"/>
        <v>13</v>
      </c>
      <c r="AI325">
        <f t="shared" si="160"/>
        <v>68</v>
      </c>
      <c r="AJ325">
        <f t="shared" si="161"/>
        <v>62</v>
      </c>
      <c r="AK325">
        <f t="shared" si="162"/>
        <v>30</v>
      </c>
      <c r="AL325">
        <f t="shared" si="163"/>
        <v>27</v>
      </c>
      <c r="AM325">
        <f t="shared" si="164"/>
        <v>13</v>
      </c>
      <c r="AN325">
        <f t="shared" si="165"/>
        <v>139</v>
      </c>
      <c r="AO325">
        <f t="shared" si="166"/>
        <v>127</v>
      </c>
      <c r="AP325">
        <f t="shared" si="167"/>
        <v>95</v>
      </c>
      <c r="AQ325">
        <f t="shared" si="168"/>
        <v>85</v>
      </c>
      <c r="AR325">
        <f t="shared" si="169"/>
        <v>72</v>
      </c>
      <c r="AS325">
        <f t="shared" si="170"/>
        <v>205</v>
      </c>
      <c r="AT325">
        <f t="shared" si="171"/>
        <v>187</v>
      </c>
      <c r="AU325">
        <f t="shared" si="172"/>
        <v>155</v>
      </c>
      <c r="AV325">
        <f t="shared" si="173"/>
        <v>139</v>
      </c>
      <c r="AW325">
        <f t="shared" si="174"/>
        <v>126</v>
      </c>
      <c r="AX325">
        <f t="shared" si="175"/>
        <v>117</v>
      </c>
      <c r="AY325">
        <f t="shared" si="176"/>
        <v>107</v>
      </c>
      <c r="AZ325">
        <f t="shared" si="177"/>
        <v>75</v>
      </c>
      <c r="BA325">
        <f t="shared" si="178"/>
        <v>67</v>
      </c>
      <c r="BB325">
        <f t="shared" si="179"/>
        <v>54</v>
      </c>
    </row>
    <row r="326" spans="1:54" x14ac:dyDescent="0.15">
      <c r="A326">
        <v>220</v>
      </c>
      <c r="B326" t="s">
        <v>1213</v>
      </c>
      <c r="C326">
        <v>243</v>
      </c>
      <c r="D326">
        <v>0</v>
      </c>
      <c r="E326" t="s">
        <v>1214</v>
      </c>
      <c r="G326" t="s">
        <v>1214</v>
      </c>
      <c r="H326" t="s">
        <v>1215</v>
      </c>
      <c r="J326" t="s">
        <v>1216</v>
      </c>
      <c r="K326">
        <v>178</v>
      </c>
      <c r="L326">
        <v>1.9</v>
      </c>
      <c r="M326" t="s">
        <v>164</v>
      </c>
      <c r="O326" t="s">
        <v>792</v>
      </c>
      <c r="P326" t="s">
        <v>268</v>
      </c>
      <c r="R326">
        <v>9</v>
      </c>
      <c r="S326">
        <v>90</v>
      </c>
      <c r="T326">
        <v>85</v>
      </c>
      <c r="U326">
        <v>75</v>
      </c>
      <c r="V326">
        <v>115</v>
      </c>
      <c r="W326">
        <v>100</v>
      </c>
      <c r="X326">
        <v>115</v>
      </c>
      <c r="Y326">
        <f t="shared" si="150"/>
        <v>197</v>
      </c>
      <c r="Z326">
        <f t="shared" si="151"/>
        <v>197</v>
      </c>
      <c r="AA326">
        <f t="shared" si="152"/>
        <v>165</v>
      </c>
      <c r="AB326">
        <f t="shared" si="153"/>
        <v>165</v>
      </c>
      <c r="AC326">
        <f t="shared" si="154"/>
        <v>150</v>
      </c>
      <c r="AD326">
        <f t="shared" si="155"/>
        <v>150</v>
      </c>
      <c r="AE326">
        <f t="shared" si="156"/>
        <v>137</v>
      </c>
      <c r="AF326">
        <f t="shared" si="157"/>
        <v>105</v>
      </c>
      <c r="AG326">
        <f t="shared" si="158"/>
        <v>94</v>
      </c>
      <c r="AH326">
        <f t="shared" si="159"/>
        <v>81</v>
      </c>
      <c r="AI326">
        <f t="shared" si="160"/>
        <v>139</v>
      </c>
      <c r="AJ326">
        <f t="shared" si="161"/>
        <v>127</v>
      </c>
      <c r="AK326">
        <f t="shared" si="162"/>
        <v>95</v>
      </c>
      <c r="AL326">
        <f t="shared" si="163"/>
        <v>85</v>
      </c>
      <c r="AM326">
        <f t="shared" si="164"/>
        <v>72</v>
      </c>
      <c r="AN326">
        <f t="shared" si="165"/>
        <v>183</v>
      </c>
      <c r="AO326">
        <f t="shared" si="166"/>
        <v>167</v>
      </c>
      <c r="AP326">
        <f t="shared" si="167"/>
        <v>135</v>
      </c>
      <c r="AQ326">
        <f t="shared" si="168"/>
        <v>121</v>
      </c>
      <c r="AR326">
        <f t="shared" si="169"/>
        <v>108</v>
      </c>
      <c r="AS326">
        <f t="shared" si="170"/>
        <v>167</v>
      </c>
      <c r="AT326">
        <f t="shared" si="171"/>
        <v>152</v>
      </c>
      <c r="AU326">
        <f t="shared" si="172"/>
        <v>120</v>
      </c>
      <c r="AV326">
        <f t="shared" si="173"/>
        <v>108</v>
      </c>
      <c r="AW326">
        <f t="shared" si="174"/>
        <v>94</v>
      </c>
      <c r="AX326">
        <f t="shared" si="175"/>
        <v>183</v>
      </c>
      <c r="AY326">
        <f t="shared" si="176"/>
        <v>167</v>
      </c>
      <c r="AZ326">
        <f t="shared" si="177"/>
        <v>135</v>
      </c>
      <c r="BA326">
        <f t="shared" si="178"/>
        <v>121</v>
      </c>
      <c r="BB326">
        <f t="shared" si="179"/>
        <v>108</v>
      </c>
    </row>
    <row r="327" spans="1:54" x14ac:dyDescent="0.15">
      <c r="A327">
        <v>221</v>
      </c>
      <c r="B327" t="s">
        <v>1217</v>
      </c>
      <c r="C327">
        <v>244</v>
      </c>
      <c r="D327">
        <v>0</v>
      </c>
      <c r="E327" t="s">
        <v>1218</v>
      </c>
      <c r="G327" t="s">
        <v>1218</v>
      </c>
      <c r="H327" t="s">
        <v>1219</v>
      </c>
      <c r="J327" t="s">
        <v>866</v>
      </c>
      <c r="K327">
        <v>198</v>
      </c>
      <c r="L327">
        <v>2.1</v>
      </c>
      <c r="M327" t="s">
        <v>47</v>
      </c>
      <c r="O327" t="s">
        <v>792</v>
      </c>
      <c r="P327" t="s">
        <v>268</v>
      </c>
      <c r="R327">
        <v>9</v>
      </c>
      <c r="S327">
        <v>115</v>
      </c>
      <c r="T327">
        <v>115</v>
      </c>
      <c r="U327">
        <v>85</v>
      </c>
      <c r="V327">
        <v>90</v>
      </c>
      <c r="W327">
        <v>75</v>
      </c>
      <c r="X327">
        <v>100</v>
      </c>
      <c r="Y327">
        <f t="shared" si="150"/>
        <v>222</v>
      </c>
      <c r="Z327">
        <f t="shared" si="151"/>
        <v>222</v>
      </c>
      <c r="AA327">
        <f t="shared" si="152"/>
        <v>190</v>
      </c>
      <c r="AB327">
        <f t="shared" si="153"/>
        <v>190</v>
      </c>
      <c r="AC327">
        <f t="shared" si="154"/>
        <v>175</v>
      </c>
      <c r="AD327">
        <f t="shared" si="155"/>
        <v>183</v>
      </c>
      <c r="AE327">
        <f t="shared" si="156"/>
        <v>167</v>
      </c>
      <c r="AF327">
        <f t="shared" si="157"/>
        <v>135</v>
      </c>
      <c r="AG327">
        <f t="shared" si="158"/>
        <v>121</v>
      </c>
      <c r="AH327">
        <f t="shared" si="159"/>
        <v>108</v>
      </c>
      <c r="AI327">
        <f t="shared" si="160"/>
        <v>150</v>
      </c>
      <c r="AJ327">
        <f t="shared" si="161"/>
        <v>137</v>
      </c>
      <c r="AK327">
        <f t="shared" si="162"/>
        <v>105</v>
      </c>
      <c r="AL327">
        <f t="shared" si="163"/>
        <v>94</v>
      </c>
      <c r="AM327">
        <f t="shared" si="164"/>
        <v>81</v>
      </c>
      <c r="AN327">
        <f t="shared" si="165"/>
        <v>156</v>
      </c>
      <c r="AO327">
        <f t="shared" si="166"/>
        <v>142</v>
      </c>
      <c r="AP327">
        <f t="shared" si="167"/>
        <v>110</v>
      </c>
      <c r="AQ327">
        <f t="shared" si="168"/>
        <v>99</v>
      </c>
      <c r="AR327">
        <f t="shared" si="169"/>
        <v>85</v>
      </c>
      <c r="AS327">
        <f t="shared" si="170"/>
        <v>139</v>
      </c>
      <c r="AT327">
        <f t="shared" si="171"/>
        <v>127</v>
      </c>
      <c r="AU327">
        <f t="shared" si="172"/>
        <v>95</v>
      </c>
      <c r="AV327">
        <f t="shared" si="173"/>
        <v>85</v>
      </c>
      <c r="AW327">
        <f t="shared" si="174"/>
        <v>72</v>
      </c>
      <c r="AX327">
        <f t="shared" si="175"/>
        <v>167</v>
      </c>
      <c r="AY327">
        <f t="shared" si="176"/>
        <v>152</v>
      </c>
      <c r="AZ327">
        <f t="shared" si="177"/>
        <v>120</v>
      </c>
      <c r="BA327">
        <f t="shared" si="178"/>
        <v>108</v>
      </c>
      <c r="BB327">
        <f t="shared" si="179"/>
        <v>94</v>
      </c>
    </row>
    <row r="328" spans="1:54" x14ac:dyDescent="0.15">
      <c r="A328">
        <v>222</v>
      </c>
      <c r="B328" t="s">
        <v>1220</v>
      </c>
      <c r="C328">
        <v>245</v>
      </c>
      <c r="D328">
        <v>0</v>
      </c>
      <c r="E328" t="s">
        <v>1221</v>
      </c>
      <c r="G328" t="s">
        <v>1221</v>
      </c>
      <c r="H328" t="s">
        <v>1222</v>
      </c>
      <c r="J328" t="s">
        <v>1223</v>
      </c>
      <c r="K328">
        <v>187</v>
      </c>
      <c r="L328">
        <v>2</v>
      </c>
      <c r="M328" t="s">
        <v>71</v>
      </c>
      <c r="O328" t="s">
        <v>792</v>
      </c>
      <c r="P328" t="s">
        <v>268</v>
      </c>
      <c r="R328">
        <v>9</v>
      </c>
      <c r="S328">
        <v>100</v>
      </c>
      <c r="T328">
        <v>75</v>
      </c>
      <c r="U328">
        <v>115</v>
      </c>
      <c r="V328">
        <v>90</v>
      </c>
      <c r="W328">
        <v>115</v>
      </c>
      <c r="X328">
        <v>85</v>
      </c>
      <c r="Y328">
        <f t="shared" si="150"/>
        <v>207</v>
      </c>
      <c r="Z328">
        <f t="shared" si="151"/>
        <v>207</v>
      </c>
      <c r="AA328">
        <f t="shared" si="152"/>
        <v>175</v>
      </c>
      <c r="AB328">
        <f t="shared" si="153"/>
        <v>175</v>
      </c>
      <c r="AC328">
        <f t="shared" si="154"/>
        <v>160</v>
      </c>
      <c r="AD328">
        <f t="shared" si="155"/>
        <v>139</v>
      </c>
      <c r="AE328">
        <f t="shared" si="156"/>
        <v>127</v>
      </c>
      <c r="AF328">
        <f t="shared" si="157"/>
        <v>95</v>
      </c>
      <c r="AG328">
        <f t="shared" si="158"/>
        <v>85</v>
      </c>
      <c r="AH328">
        <f t="shared" si="159"/>
        <v>72</v>
      </c>
      <c r="AI328">
        <f t="shared" si="160"/>
        <v>183</v>
      </c>
      <c r="AJ328">
        <f t="shared" si="161"/>
        <v>167</v>
      </c>
      <c r="AK328">
        <f t="shared" si="162"/>
        <v>135</v>
      </c>
      <c r="AL328">
        <f t="shared" si="163"/>
        <v>121</v>
      </c>
      <c r="AM328">
        <f t="shared" si="164"/>
        <v>108</v>
      </c>
      <c r="AN328">
        <f t="shared" si="165"/>
        <v>156</v>
      </c>
      <c r="AO328">
        <f t="shared" si="166"/>
        <v>142</v>
      </c>
      <c r="AP328">
        <f t="shared" si="167"/>
        <v>110</v>
      </c>
      <c r="AQ328">
        <f t="shared" si="168"/>
        <v>99</v>
      </c>
      <c r="AR328">
        <f t="shared" si="169"/>
        <v>85</v>
      </c>
      <c r="AS328">
        <f t="shared" si="170"/>
        <v>183</v>
      </c>
      <c r="AT328">
        <f t="shared" si="171"/>
        <v>167</v>
      </c>
      <c r="AU328">
        <f t="shared" si="172"/>
        <v>135</v>
      </c>
      <c r="AV328">
        <f t="shared" si="173"/>
        <v>121</v>
      </c>
      <c r="AW328">
        <f t="shared" si="174"/>
        <v>108</v>
      </c>
      <c r="AX328">
        <f t="shared" si="175"/>
        <v>150</v>
      </c>
      <c r="AY328">
        <f t="shared" si="176"/>
        <v>137</v>
      </c>
      <c r="AZ328">
        <f t="shared" si="177"/>
        <v>105</v>
      </c>
      <c r="BA328">
        <f t="shared" si="178"/>
        <v>94</v>
      </c>
      <c r="BB328">
        <f t="shared" si="179"/>
        <v>81</v>
      </c>
    </row>
    <row r="329" spans="1:54" x14ac:dyDescent="0.15">
      <c r="A329">
        <v>223</v>
      </c>
      <c r="B329" t="s">
        <v>1224</v>
      </c>
      <c r="C329">
        <v>246</v>
      </c>
      <c r="D329">
        <v>0</v>
      </c>
      <c r="E329" t="s">
        <v>1225</v>
      </c>
      <c r="G329" t="s">
        <v>1225</v>
      </c>
      <c r="H329" t="s">
        <v>1226</v>
      </c>
      <c r="J329" t="s">
        <v>1227</v>
      </c>
      <c r="K329">
        <v>72</v>
      </c>
      <c r="L329">
        <v>0.6</v>
      </c>
      <c r="M329" t="s">
        <v>371</v>
      </c>
      <c r="N329" t="s">
        <v>196</v>
      </c>
      <c r="O329" t="s">
        <v>135</v>
      </c>
      <c r="P329" t="s">
        <v>197</v>
      </c>
      <c r="R329">
        <v>9</v>
      </c>
      <c r="S329">
        <v>50</v>
      </c>
      <c r="T329">
        <v>64</v>
      </c>
      <c r="U329">
        <v>50</v>
      </c>
      <c r="V329">
        <v>45</v>
      </c>
      <c r="W329">
        <v>50</v>
      </c>
      <c r="X329">
        <v>41</v>
      </c>
      <c r="Y329">
        <f t="shared" si="150"/>
        <v>157</v>
      </c>
      <c r="Z329">
        <f t="shared" si="151"/>
        <v>157</v>
      </c>
      <c r="AA329">
        <f t="shared" si="152"/>
        <v>125</v>
      </c>
      <c r="AB329">
        <f t="shared" si="153"/>
        <v>125</v>
      </c>
      <c r="AC329">
        <f t="shared" si="154"/>
        <v>110</v>
      </c>
      <c r="AD329">
        <f t="shared" si="155"/>
        <v>127</v>
      </c>
      <c r="AE329">
        <f t="shared" si="156"/>
        <v>116</v>
      </c>
      <c r="AF329">
        <f t="shared" si="157"/>
        <v>84</v>
      </c>
      <c r="AG329">
        <f t="shared" si="158"/>
        <v>75</v>
      </c>
      <c r="AH329">
        <f t="shared" si="159"/>
        <v>62</v>
      </c>
      <c r="AI329">
        <f t="shared" si="160"/>
        <v>112</v>
      </c>
      <c r="AJ329">
        <f t="shared" si="161"/>
        <v>102</v>
      </c>
      <c r="AK329">
        <f t="shared" si="162"/>
        <v>70</v>
      </c>
      <c r="AL329">
        <f t="shared" si="163"/>
        <v>63</v>
      </c>
      <c r="AM329">
        <f t="shared" si="164"/>
        <v>49</v>
      </c>
      <c r="AN329">
        <f t="shared" si="165"/>
        <v>106</v>
      </c>
      <c r="AO329">
        <f t="shared" si="166"/>
        <v>97</v>
      </c>
      <c r="AP329">
        <f t="shared" si="167"/>
        <v>65</v>
      </c>
      <c r="AQ329">
        <f t="shared" si="168"/>
        <v>58</v>
      </c>
      <c r="AR329">
        <f t="shared" si="169"/>
        <v>45</v>
      </c>
      <c r="AS329">
        <f t="shared" si="170"/>
        <v>112</v>
      </c>
      <c r="AT329">
        <f t="shared" si="171"/>
        <v>102</v>
      </c>
      <c r="AU329">
        <f t="shared" si="172"/>
        <v>70</v>
      </c>
      <c r="AV329">
        <f t="shared" si="173"/>
        <v>63</v>
      </c>
      <c r="AW329">
        <f t="shared" si="174"/>
        <v>49</v>
      </c>
      <c r="AX329">
        <f t="shared" si="175"/>
        <v>102</v>
      </c>
      <c r="AY329">
        <f t="shared" si="176"/>
        <v>93</v>
      </c>
      <c r="AZ329">
        <f t="shared" si="177"/>
        <v>61</v>
      </c>
      <c r="BA329">
        <f t="shared" si="178"/>
        <v>54</v>
      </c>
      <c r="BB329">
        <f t="shared" si="179"/>
        <v>41</v>
      </c>
    </row>
    <row r="330" spans="1:54" x14ac:dyDescent="0.15">
      <c r="A330">
        <v>224</v>
      </c>
      <c r="B330" t="s">
        <v>1228</v>
      </c>
      <c r="C330">
        <v>247</v>
      </c>
      <c r="D330">
        <v>0</v>
      </c>
      <c r="E330" t="s">
        <v>1229</v>
      </c>
      <c r="G330" t="s">
        <v>1229</v>
      </c>
      <c r="H330" t="s">
        <v>1230</v>
      </c>
      <c r="J330" t="s">
        <v>1231</v>
      </c>
      <c r="K330">
        <v>152</v>
      </c>
      <c r="L330">
        <v>1.2</v>
      </c>
      <c r="M330" t="s">
        <v>371</v>
      </c>
      <c r="N330" t="s">
        <v>196</v>
      </c>
      <c r="O330" t="s">
        <v>96</v>
      </c>
      <c r="R330">
        <v>9</v>
      </c>
      <c r="S330">
        <v>70</v>
      </c>
      <c r="T330">
        <v>84</v>
      </c>
      <c r="U330">
        <v>70</v>
      </c>
      <c r="V330">
        <v>65</v>
      </c>
      <c r="W330">
        <v>70</v>
      </c>
      <c r="X330">
        <v>51</v>
      </c>
      <c r="Y330">
        <f t="shared" si="150"/>
        <v>177</v>
      </c>
      <c r="Z330">
        <f t="shared" si="151"/>
        <v>177</v>
      </c>
      <c r="AA330">
        <f t="shared" si="152"/>
        <v>145</v>
      </c>
      <c r="AB330">
        <f t="shared" si="153"/>
        <v>145</v>
      </c>
      <c r="AC330">
        <f t="shared" si="154"/>
        <v>130</v>
      </c>
      <c r="AD330">
        <f t="shared" si="155"/>
        <v>149</v>
      </c>
      <c r="AE330">
        <f t="shared" si="156"/>
        <v>136</v>
      </c>
      <c r="AF330">
        <f t="shared" si="157"/>
        <v>104</v>
      </c>
      <c r="AG330">
        <f t="shared" si="158"/>
        <v>93</v>
      </c>
      <c r="AH330">
        <f t="shared" si="159"/>
        <v>80</v>
      </c>
      <c r="AI330">
        <f t="shared" si="160"/>
        <v>134</v>
      </c>
      <c r="AJ330">
        <f t="shared" si="161"/>
        <v>122</v>
      </c>
      <c r="AK330">
        <f t="shared" si="162"/>
        <v>90</v>
      </c>
      <c r="AL330">
        <f t="shared" si="163"/>
        <v>81</v>
      </c>
      <c r="AM330">
        <f t="shared" si="164"/>
        <v>67</v>
      </c>
      <c r="AN330">
        <f t="shared" si="165"/>
        <v>128</v>
      </c>
      <c r="AO330">
        <f t="shared" si="166"/>
        <v>117</v>
      </c>
      <c r="AP330">
        <f t="shared" si="167"/>
        <v>85</v>
      </c>
      <c r="AQ330">
        <f t="shared" si="168"/>
        <v>76</v>
      </c>
      <c r="AR330">
        <f t="shared" si="169"/>
        <v>63</v>
      </c>
      <c r="AS330">
        <f t="shared" si="170"/>
        <v>134</v>
      </c>
      <c r="AT330">
        <f t="shared" si="171"/>
        <v>122</v>
      </c>
      <c r="AU330">
        <f t="shared" si="172"/>
        <v>90</v>
      </c>
      <c r="AV330">
        <f t="shared" si="173"/>
        <v>81</v>
      </c>
      <c r="AW330">
        <f t="shared" si="174"/>
        <v>67</v>
      </c>
      <c r="AX330">
        <f t="shared" si="175"/>
        <v>113</v>
      </c>
      <c r="AY330">
        <f t="shared" si="176"/>
        <v>103</v>
      </c>
      <c r="AZ330">
        <f t="shared" si="177"/>
        <v>71</v>
      </c>
      <c r="BA330">
        <f t="shared" si="178"/>
        <v>63</v>
      </c>
      <c r="BB330">
        <f t="shared" si="179"/>
        <v>50</v>
      </c>
    </row>
    <row r="331" spans="1:54" x14ac:dyDescent="0.15">
      <c r="A331">
        <v>225</v>
      </c>
      <c r="B331" t="s">
        <v>1232</v>
      </c>
      <c r="C331">
        <v>248</v>
      </c>
      <c r="D331">
        <v>0</v>
      </c>
      <c r="E331" t="s">
        <v>1233</v>
      </c>
      <c r="G331" t="s">
        <v>1233</v>
      </c>
      <c r="H331" t="s">
        <v>1234</v>
      </c>
      <c r="J331" t="s">
        <v>1176</v>
      </c>
      <c r="K331">
        <v>202</v>
      </c>
      <c r="L331">
        <v>2</v>
      </c>
      <c r="M331" t="s">
        <v>371</v>
      </c>
      <c r="N331" t="s">
        <v>140</v>
      </c>
      <c r="O331" t="s">
        <v>1235</v>
      </c>
      <c r="P331" t="s">
        <v>156</v>
      </c>
      <c r="R331">
        <v>9</v>
      </c>
      <c r="S331">
        <v>100</v>
      </c>
      <c r="T331">
        <v>134</v>
      </c>
      <c r="U331">
        <v>110</v>
      </c>
      <c r="V331">
        <v>95</v>
      </c>
      <c r="W331">
        <v>100</v>
      </c>
      <c r="X331">
        <v>61</v>
      </c>
      <c r="Y331">
        <f t="shared" si="150"/>
        <v>207</v>
      </c>
      <c r="Z331">
        <f t="shared" si="151"/>
        <v>207</v>
      </c>
      <c r="AA331">
        <f t="shared" si="152"/>
        <v>175</v>
      </c>
      <c r="AB331">
        <f t="shared" si="153"/>
        <v>175</v>
      </c>
      <c r="AC331">
        <f t="shared" si="154"/>
        <v>160</v>
      </c>
      <c r="AD331">
        <f t="shared" si="155"/>
        <v>204</v>
      </c>
      <c r="AE331">
        <f t="shared" si="156"/>
        <v>186</v>
      </c>
      <c r="AF331">
        <f t="shared" si="157"/>
        <v>154</v>
      </c>
      <c r="AG331">
        <f t="shared" si="158"/>
        <v>138</v>
      </c>
      <c r="AH331">
        <f t="shared" si="159"/>
        <v>125</v>
      </c>
      <c r="AI331">
        <f t="shared" si="160"/>
        <v>178</v>
      </c>
      <c r="AJ331">
        <f t="shared" si="161"/>
        <v>162</v>
      </c>
      <c r="AK331">
        <f t="shared" si="162"/>
        <v>130</v>
      </c>
      <c r="AL331">
        <f t="shared" si="163"/>
        <v>117</v>
      </c>
      <c r="AM331">
        <f t="shared" si="164"/>
        <v>103</v>
      </c>
      <c r="AN331">
        <f t="shared" si="165"/>
        <v>161</v>
      </c>
      <c r="AO331">
        <f t="shared" si="166"/>
        <v>147</v>
      </c>
      <c r="AP331">
        <f t="shared" si="167"/>
        <v>115</v>
      </c>
      <c r="AQ331">
        <f t="shared" si="168"/>
        <v>103</v>
      </c>
      <c r="AR331">
        <f t="shared" si="169"/>
        <v>90</v>
      </c>
      <c r="AS331">
        <f t="shared" si="170"/>
        <v>167</v>
      </c>
      <c r="AT331">
        <f t="shared" si="171"/>
        <v>152</v>
      </c>
      <c r="AU331">
        <f t="shared" si="172"/>
        <v>120</v>
      </c>
      <c r="AV331">
        <f t="shared" si="173"/>
        <v>108</v>
      </c>
      <c r="AW331">
        <f t="shared" si="174"/>
        <v>94</v>
      </c>
      <c r="AX331">
        <f t="shared" si="175"/>
        <v>124</v>
      </c>
      <c r="AY331">
        <f t="shared" si="176"/>
        <v>113</v>
      </c>
      <c r="AZ331">
        <f t="shared" si="177"/>
        <v>81</v>
      </c>
      <c r="BA331">
        <f t="shared" si="178"/>
        <v>72</v>
      </c>
      <c r="BB331">
        <f t="shared" si="179"/>
        <v>59</v>
      </c>
    </row>
    <row r="332" spans="1:54" x14ac:dyDescent="0.15">
      <c r="B332" t="s">
        <v>1236</v>
      </c>
      <c r="C332">
        <v>248</v>
      </c>
      <c r="D332">
        <v>1</v>
      </c>
      <c r="E332" t="s">
        <v>1233</v>
      </c>
      <c r="F332" t="s">
        <v>1237</v>
      </c>
      <c r="G332" t="s">
        <v>1237</v>
      </c>
      <c r="J332" t="s">
        <v>1176</v>
      </c>
      <c r="K332">
        <v>255</v>
      </c>
      <c r="L332">
        <v>2.5</v>
      </c>
      <c r="M332" t="s">
        <v>371</v>
      </c>
      <c r="N332" t="s">
        <v>140</v>
      </c>
      <c r="O332" t="s">
        <v>1235</v>
      </c>
      <c r="P332" t="s">
        <v>156</v>
      </c>
      <c r="R332">
        <v>7</v>
      </c>
      <c r="S332">
        <v>100</v>
      </c>
      <c r="T332">
        <v>134</v>
      </c>
      <c r="U332">
        <v>110</v>
      </c>
      <c r="V332">
        <v>95</v>
      </c>
      <c r="W332">
        <v>100</v>
      </c>
      <c r="X332">
        <v>61</v>
      </c>
      <c r="Y332">
        <f t="shared" si="150"/>
        <v>207</v>
      </c>
      <c r="Z332">
        <f t="shared" si="151"/>
        <v>207</v>
      </c>
      <c r="AA332">
        <f t="shared" si="152"/>
        <v>175</v>
      </c>
      <c r="AB332">
        <f t="shared" si="153"/>
        <v>175</v>
      </c>
      <c r="AC332">
        <f t="shared" si="154"/>
        <v>160</v>
      </c>
      <c r="AD332">
        <f t="shared" si="155"/>
        <v>204</v>
      </c>
      <c r="AE332">
        <f t="shared" si="156"/>
        <v>186</v>
      </c>
      <c r="AF332">
        <f t="shared" si="157"/>
        <v>154</v>
      </c>
      <c r="AG332">
        <f t="shared" si="158"/>
        <v>138</v>
      </c>
      <c r="AH332">
        <f t="shared" si="159"/>
        <v>125</v>
      </c>
      <c r="AI332">
        <f t="shared" si="160"/>
        <v>178</v>
      </c>
      <c r="AJ332">
        <f t="shared" si="161"/>
        <v>162</v>
      </c>
      <c r="AK332">
        <f t="shared" si="162"/>
        <v>130</v>
      </c>
      <c r="AL332">
        <f t="shared" si="163"/>
        <v>117</v>
      </c>
      <c r="AM332">
        <f t="shared" si="164"/>
        <v>103</v>
      </c>
      <c r="AN332">
        <f t="shared" si="165"/>
        <v>161</v>
      </c>
      <c r="AO332">
        <f t="shared" si="166"/>
        <v>147</v>
      </c>
      <c r="AP332">
        <f t="shared" si="167"/>
        <v>115</v>
      </c>
      <c r="AQ332">
        <f t="shared" si="168"/>
        <v>103</v>
      </c>
      <c r="AR332">
        <f t="shared" si="169"/>
        <v>90</v>
      </c>
      <c r="AS332">
        <f t="shared" si="170"/>
        <v>167</v>
      </c>
      <c r="AT332">
        <f t="shared" si="171"/>
        <v>152</v>
      </c>
      <c r="AU332">
        <f t="shared" si="172"/>
        <v>120</v>
      </c>
      <c r="AV332">
        <f t="shared" si="173"/>
        <v>108</v>
      </c>
      <c r="AW332">
        <f t="shared" si="174"/>
        <v>94</v>
      </c>
      <c r="AX332">
        <f t="shared" si="175"/>
        <v>124</v>
      </c>
      <c r="AY332">
        <f t="shared" si="176"/>
        <v>113</v>
      </c>
      <c r="AZ332">
        <f t="shared" si="177"/>
        <v>81</v>
      </c>
      <c r="BA332">
        <f t="shared" si="178"/>
        <v>72</v>
      </c>
      <c r="BB332">
        <f t="shared" si="179"/>
        <v>59</v>
      </c>
    </row>
    <row r="333" spans="1:54" x14ac:dyDescent="0.15">
      <c r="A333">
        <v>226</v>
      </c>
      <c r="B333" t="s">
        <v>1238</v>
      </c>
      <c r="C333">
        <v>249</v>
      </c>
      <c r="D333">
        <v>0</v>
      </c>
      <c r="E333" t="s">
        <v>1239</v>
      </c>
      <c r="G333" t="s">
        <v>1239</v>
      </c>
      <c r="H333" t="s">
        <v>1240</v>
      </c>
      <c r="J333" t="s">
        <v>1241</v>
      </c>
      <c r="K333">
        <v>216</v>
      </c>
      <c r="L333">
        <v>5.2</v>
      </c>
      <c r="M333" t="s">
        <v>191</v>
      </c>
      <c r="N333" t="s">
        <v>57</v>
      </c>
      <c r="O333" t="s">
        <v>792</v>
      </c>
      <c r="P333" t="s">
        <v>835</v>
      </c>
      <c r="R333">
        <v>9</v>
      </c>
      <c r="S333">
        <v>106</v>
      </c>
      <c r="T333">
        <v>90</v>
      </c>
      <c r="U333">
        <v>130</v>
      </c>
      <c r="V333">
        <v>90</v>
      </c>
      <c r="W333">
        <v>154</v>
      </c>
      <c r="X333">
        <v>110</v>
      </c>
      <c r="Y333">
        <f t="shared" si="150"/>
        <v>213</v>
      </c>
      <c r="Z333">
        <f t="shared" si="151"/>
        <v>213</v>
      </c>
      <c r="AA333">
        <f t="shared" si="152"/>
        <v>181</v>
      </c>
      <c r="AB333">
        <f t="shared" si="153"/>
        <v>181</v>
      </c>
      <c r="AC333">
        <f t="shared" si="154"/>
        <v>166</v>
      </c>
      <c r="AD333">
        <f t="shared" si="155"/>
        <v>156</v>
      </c>
      <c r="AE333">
        <f t="shared" si="156"/>
        <v>142</v>
      </c>
      <c r="AF333">
        <f t="shared" si="157"/>
        <v>110</v>
      </c>
      <c r="AG333">
        <f t="shared" si="158"/>
        <v>99</v>
      </c>
      <c r="AH333">
        <f t="shared" si="159"/>
        <v>85</v>
      </c>
      <c r="AI333">
        <f t="shared" si="160"/>
        <v>200</v>
      </c>
      <c r="AJ333">
        <f t="shared" si="161"/>
        <v>182</v>
      </c>
      <c r="AK333">
        <f t="shared" si="162"/>
        <v>150</v>
      </c>
      <c r="AL333">
        <f t="shared" si="163"/>
        <v>135</v>
      </c>
      <c r="AM333">
        <f t="shared" si="164"/>
        <v>121</v>
      </c>
      <c r="AN333">
        <f t="shared" si="165"/>
        <v>156</v>
      </c>
      <c r="AO333">
        <f t="shared" si="166"/>
        <v>142</v>
      </c>
      <c r="AP333">
        <f t="shared" si="167"/>
        <v>110</v>
      </c>
      <c r="AQ333">
        <f t="shared" si="168"/>
        <v>99</v>
      </c>
      <c r="AR333">
        <f t="shared" si="169"/>
        <v>85</v>
      </c>
      <c r="AS333">
        <f t="shared" si="170"/>
        <v>226</v>
      </c>
      <c r="AT333">
        <f t="shared" si="171"/>
        <v>206</v>
      </c>
      <c r="AU333">
        <f t="shared" si="172"/>
        <v>174</v>
      </c>
      <c r="AV333">
        <f t="shared" si="173"/>
        <v>156</v>
      </c>
      <c r="AW333">
        <f t="shared" si="174"/>
        <v>143</v>
      </c>
      <c r="AX333">
        <f t="shared" si="175"/>
        <v>178</v>
      </c>
      <c r="AY333">
        <f t="shared" si="176"/>
        <v>162</v>
      </c>
      <c r="AZ333">
        <f t="shared" si="177"/>
        <v>130</v>
      </c>
      <c r="BA333">
        <f t="shared" si="178"/>
        <v>117</v>
      </c>
      <c r="BB333">
        <f t="shared" si="179"/>
        <v>103</v>
      </c>
    </row>
    <row r="334" spans="1:54" x14ac:dyDescent="0.15">
      <c r="A334">
        <v>227</v>
      </c>
      <c r="B334" t="s">
        <v>1242</v>
      </c>
      <c r="C334">
        <v>250</v>
      </c>
      <c r="D334">
        <v>0</v>
      </c>
      <c r="E334" t="s">
        <v>1243</v>
      </c>
      <c r="G334" t="s">
        <v>1243</v>
      </c>
      <c r="H334" t="s">
        <v>1244</v>
      </c>
      <c r="J334" t="s">
        <v>1245</v>
      </c>
      <c r="K334">
        <v>199</v>
      </c>
      <c r="L334">
        <v>3.8</v>
      </c>
      <c r="M334" t="s">
        <v>47</v>
      </c>
      <c r="N334" t="s">
        <v>57</v>
      </c>
      <c r="O334" t="s">
        <v>792</v>
      </c>
      <c r="P334" t="s">
        <v>471</v>
      </c>
      <c r="R334">
        <v>9</v>
      </c>
      <c r="S334">
        <v>106</v>
      </c>
      <c r="T334">
        <v>130</v>
      </c>
      <c r="U334">
        <v>90</v>
      </c>
      <c r="V334">
        <v>110</v>
      </c>
      <c r="W334">
        <v>154</v>
      </c>
      <c r="X334">
        <v>90</v>
      </c>
      <c r="Y334">
        <f t="shared" si="150"/>
        <v>213</v>
      </c>
      <c r="Z334">
        <f t="shared" si="151"/>
        <v>213</v>
      </c>
      <c r="AA334">
        <f t="shared" si="152"/>
        <v>181</v>
      </c>
      <c r="AB334">
        <f t="shared" si="153"/>
        <v>181</v>
      </c>
      <c r="AC334">
        <f t="shared" si="154"/>
        <v>166</v>
      </c>
      <c r="AD334">
        <f t="shared" si="155"/>
        <v>200</v>
      </c>
      <c r="AE334">
        <f t="shared" si="156"/>
        <v>182</v>
      </c>
      <c r="AF334">
        <f t="shared" si="157"/>
        <v>150</v>
      </c>
      <c r="AG334">
        <f t="shared" si="158"/>
        <v>135</v>
      </c>
      <c r="AH334">
        <f t="shared" si="159"/>
        <v>121</v>
      </c>
      <c r="AI334">
        <f t="shared" si="160"/>
        <v>156</v>
      </c>
      <c r="AJ334">
        <f t="shared" si="161"/>
        <v>142</v>
      </c>
      <c r="AK334">
        <f t="shared" si="162"/>
        <v>110</v>
      </c>
      <c r="AL334">
        <f t="shared" si="163"/>
        <v>99</v>
      </c>
      <c r="AM334">
        <f t="shared" si="164"/>
        <v>85</v>
      </c>
      <c r="AN334">
        <f t="shared" si="165"/>
        <v>178</v>
      </c>
      <c r="AO334">
        <f t="shared" si="166"/>
        <v>162</v>
      </c>
      <c r="AP334">
        <f t="shared" si="167"/>
        <v>130</v>
      </c>
      <c r="AQ334">
        <f t="shared" si="168"/>
        <v>117</v>
      </c>
      <c r="AR334">
        <f t="shared" si="169"/>
        <v>103</v>
      </c>
      <c r="AS334">
        <f t="shared" si="170"/>
        <v>226</v>
      </c>
      <c r="AT334">
        <f t="shared" si="171"/>
        <v>206</v>
      </c>
      <c r="AU334">
        <f t="shared" si="172"/>
        <v>174</v>
      </c>
      <c r="AV334">
        <f t="shared" si="173"/>
        <v>156</v>
      </c>
      <c r="AW334">
        <f t="shared" si="174"/>
        <v>143</v>
      </c>
      <c r="AX334">
        <f t="shared" si="175"/>
        <v>156</v>
      </c>
      <c r="AY334">
        <f t="shared" si="176"/>
        <v>142</v>
      </c>
      <c r="AZ334">
        <f t="shared" si="177"/>
        <v>110</v>
      </c>
      <c r="BA334">
        <f t="shared" si="178"/>
        <v>99</v>
      </c>
      <c r="BB334">
        <f t="shared" si="179"/>
        <v>85</v>
      </c>
    </row>
    <row r="335" spans="1:54" x14ac:dyDescent="0.15">
      <c r="B335" t="s">
        <v>1246</v>
      </c>
      <c r="C335">
        <v>251</v>
      </c>
      <c r="D335">
        <v>0</v>
      </c>
      <c r="E335" t="s">
        <v>1247</v>
      </c>
      <c r="G335" t="s">
        <v>1247</v>
      </c>
      <c r="J335" t="s">
        <v>1248</v>
      </c>
      <c r="K335">
        <v>5</v>
      </c>
      <c r="L335">
        <v>0.6</v>
      </c>
      <c r="M335" t="s">
        <v>191</v>
      </c>
      <c r="N335" t="s">
        <v>26</v>
      </c>
      <c r="O335" t="s">
        <v>654</v>
      </c>
      <c r="R335">
        <v>8</v>
      </c>
      <c r="S335">
        <v>100</v>
      </c>
      <c r="T335">
        <v>100</v>
      </c>
      <c r="U335">
        <v>100</v>
      </c>
      <c r="V335">
        <v>100</v>
      </c>
      <c r="W335">
        <v>100</v>
      </c>
      <c r="X335">
        <v>100</v>
      </c>
      <c r="Y335">
        <f t="shared" si="150"/>
        <v>207</v>
      </c>
      <c r="Z335">
        <f t="shared" si="151"/>
        <v>207</v>
      </c>
      <c r="AA335">
        <f t="shared" si="152"/>
        <v>175</v>
      </c>
      <c r="AB335">
        <f t="shared" si="153"/>
        <v>175</v>
      </c>
      <c r="AC335">
        <f t="shared" si="154"/>
        <v>160</v>
      </c>
      <c r="AD335">
        <f t="shared" si="155"/>
        <v>167</v>
      </c>
      <c r="AE335">
        <f t="shared" si="156"/>
        <v>152</v>
      </c>
      <c r="AF335">
        <f t="shared" si="157"/>
        <v>120</v>
      </c>
      <c r="AG335">
        <f t="shared" si="158"/>
        <v>108</v>
      </c>
      <c r="AH335">
        <f t="shared" si="159"/>
        <v>94</v>
      </c>
      <c r="AI335">
        <f t="shared" si="160"/>
        <v>167</v>
      </c>
      <c r="AJ335">
        <f t="shared" si="161"/>
        <v>152</v>
      </c>
      <c r="AK335">
        <f t="shared" si="162"/>
        <v>120</v>
      </c>
      <c r="AL335">
        <f t="shared" si="163"/>
        <v>108</v>
      </c>
      <c r="AM335">
        <f t="shared" si="164"/>
        <v>94</v>
      </c>
      <c r="AN335">
        <f t="shared" si="165"/>
        <v>167</v>
      </c>
      <c r="AO335">
        <f t="shared" si="166"/>
        <v>152</v>
      </c>
      <c r="AP335">
        <f t="shared" si="167"/>
        <v>120</v>
      </c>
      <c r="AQ335">
        <f t="shared" si="168"/>
        <v>108</v>
      </c>
      <c r="AR335">
        <f t="shared" si="169"/>
        <v>94</v>
      </c>
      <c r="AS335">
        <f t="shared" si="170"/>
        <v>167</v>
      </c>
      <c r="AT335">
        <f t="shared" si="171"/>
        <v>152</v>
      </c>
      <c r="AU335">
        <f t="shared" si="172"/>
        <v>120</v>
      </c>
      <c r="AV335">
        <f t="shared" si="173"/>
        <v>108</v>
      </c>
      <c r="AW335">
        <f t="shared" si="174"/>
        <v>94</v>
      </c>
      <c r="AX335">
        <f t="shared" si="175"/>
        <v>167</v>
      </c>
      <c r="AY335">
        <f t="shared" si="176"/>
        <v>152</v>
      </c>
      <c r="AZ335">
        <f t="shared" si="177"/>
        <v>120</v>
      </c>
      <c r="BA335">
        <f t="shared" si="178"/>
        <v>108</v>
      </c>
      <c r="BB335">
        <f t="shared" si="179"/>
        <v>94</v>
      </c>
    </row>
    <row r="336" spans="1:54" x14ac:dyDescent="0.15">
      <c r="A336">
        <v>228</v>
      </c>
      <c r="B336" t="s">
        <v>1249</v>
      </c>
      <c r="C336">
        <v>252</v>
      </c>
      <c r="D336">
        <v>0</v>
      </c>
      <c r="E336" t="s">
        <v>1250</v>
      </c>
      <c r="G336" t="s">
        <v>1250</v>
      </c>
      <c r="H336" t="s">
        <v>1251</v>
      </c>
      <c r="J336" t="s">
        <v>1252</v>
      </c>
      <c r="K336">
        <v>5</v>
      </c>
      <c r="L336">
        <v>0.5</v>
      </c>
      <c r="M336" t="s">
        <v>26</v>
      </c>
      <c r="O336" t="s">
        <v>28</v>
      </c>
      <c r="P336" t="s">
        <v>624</v>
      </c>
      <c r="R336">
        <v>9</v>
      </c>
      <c r="S336">
        <v>40</v>
      </c>
      <c r="T336">
        <v>45</v>
      </c>
      <c r="U336">
        <v>35</v>
      </c>
      <c r="V336">
        <v>65</v>
      </c>
      <c r="W336">
        <v>55</v>
      </c>
      <c r="X336">
        <v>70</v>
      </c>
      <c r="Y336">
        <f t="shared" si="150"/>
        <v>147</v>
      </c>
      <c r="Z336">
        <f t="shared" si="151"/>
        <v>147</v>
      </c>
      <c r="AA336">
        <f t="shared" si="152"/>
        <v>115</v>
      </c>
      <c r="AB336">
        <f t="shared" si="153"/>
        <v>115</v>
      </c>
      <c r="AC336">
        <f t="shared" si="154"/>
        <v>100</v>
      </c>
      <c r="AD336">
        <f t="shared" si="155"/>
        <v>106</v>
      </c>
      <c r="AE336">
        <f t="shared" si="156"/>
        <v>97</v>
      </c>
      <c r="AF336">
        <f t="shared" si="157"/>
        <v>65</v>
      </c>
      <c r="AG336">
        <f t="shared" si="158"/>
        <v>58</v>
      </c>
      <c r="AH336">
        <f t="shared" si="159"/>
        <v>45</v>
      </c>
      <c r="AI336">
        <f t="shared" si="160"/>
        <v>95</v>
      </c>
      <c r="AJ336">
        <f t="shared" si="161"/>
        <v>87</v>
      </c>
      <c r="AK336">
        <f t="shared" si="162"/>
        <v>55</v>
      </c>
      <c r="AL336">
        <f t="shared" si="163"/>
        <v>49</v>
      </c>
      <c r="AM336">
        <f t="shared" si="164"/>
        <v>36</v>
      </c>
      <c r="AN336">
        <f t="shared" si="165"/>
        <v>128</v>
      </c>
      <c r="AO336">
        <f t="shared" si="166"/>
        <v>117</v>
      </c>
      <c r="AP336">
        <f t="shared" si="167"/>
        <v>85</v>
      </c>
      <c r="AQ336">
        <f t="shared" si="168"/>
        <v>76</v>
      </c>
      <c r="AR336">
        <f t="shared" si="169"/>
        <v>63</v>
      </c>
      <c r="AS336">
        <f t="shared" si="170"/>
        <v>117</v>
      </c>
      <c r="AT336">
        <f t="shared" si="171"/>
        <v>107</v>
      </c>
      <c r="AU336">
        <f t="shared" si="172"/>
        <v>75</v>
      </c>
      <c r="AV336">
        <f t="shared" si="173"/>
        <v>67</v>
      </c>
      <c r="AW336">
        <f t="shared" si="174"/>
        <v>54</v>
      </c>
      <c r="AX336">
        <f t="shared" si="175"/>
        <v>134</v>
      </c>
      <c r="AY336">
        <f t="shared" si="176"/>
        <v>122</v>
      </c>
      <c r="AZ336">
        <f t="shared" si="177"/>
        <v>90</v>
      </c>
      <c r="BA336">
        <f t="shared" si="178"/>
        <v>81</v>
      </c>
      <c r="BB336">
        <f t="shared" si="179"/>
        <v>67</v>
      </c>
    </row>
    <row r="337" spans="1:54" x14ac:dyDescent="0.15">
      <c r="A337">
        <v>229</v>
      </c>
      <c r="B337" t="s">
        <v>1253</v>
      </c>
      <c r="C337">
        <v>253</v>
      </c>
      <c r="D337">
        <v>0</v>
      </c>
      <c r="E337" t="s">
        <v>1254</v>
      </c>
      <c r="G337" t="s">
        <v>1254</v>
      </c>
      <c r="H337" t="s">
        <v>1255</v>
      </c>
      <c r="J337" t="s">
        <v>1252</v>
      </c>
      <c r="K337">
        <v>21.6</v>
      </c>
      <c r="L337">
        <v>0.9</v>
      </c>
      <c r="M337" t="s">
        <v>26</v>
      </c>
      <c r="O337" t="s">
        <v>28</v>
      </c>
      <c r="P337" t="s">
        <v>624</v>
      </c>
      <c r="R337">
        <v>9</v>
      </c>
      <c r="S337">
        <v>50</v>
      </c>
      <c r="T337">
        <v>65</v>
      </c>
      <c r="U337">
        <v>45</v>
      </c>
      <c r="V337">
        <v>85</v>
      </c>
      <c r="W337">
        <v>65</v>
      </c>
      <c r="X337">
        <v>95</v>
      </c>
      <c r="Y337">
        <f t="shared" si="150"/>
        <v>157</v>
      </c>
      <c r="Z337">
        <f t="shared" si="151"/>
        <v>157</v>
      </c>
      <c r="AA337">
        <f t="shared" si="152"/>
        <v>125</v>
      </c>
      <c r="AB337">
        <f t="shared" si="153"/>
        <v>125</v>
      </c>
      <c r="AC337">
        <f t="shared" si="154"/>
        <v>110</v>
      </c>
      <c r="AD337">
        <f t="shared" si="155"/>
        <v>128</v>
      </c>
      <c r="AE337">
        <f t="shared" si="156"/>
        <v>117</v>
      </c>
      <c r="AF337">
        <f t="shared" si="157"/>
        <v>85</v>
      </c>
      <c r="AG337">
        <f t="shared" si="158"/>
        <v>76</v>
      </c>
      <c r="AH337">
        <f t="shared" si="159"/>
        <v>63</v>
      </c>
      <c r="AI337">
        <f t="shared" si="160"/>
        <v>106</v>
      </c>
      <c r="AJ337">
        <f t="shared" si="161"/>
        <v>97</v>
      </c>
      <c r="AK337">
        <f t="shared" si="162"/>
        <v>65</v>
      </c>
      <c r="AL337">
        <f t="shared" si="163"/>
        <v>58</v>
      </c>
      <c r="AM337">
        <f t="shared" si="164"/>
        <v>45</v>
      </c>
      <c r="AN337">
        <f t="shared" si="165"/>
        <v>150</v>
      </c>
      <c r="AO337">
        <f t="shared" si="166"/>
        <v>137</v>
      </c>
      <c r="AP337">
        <f t="shared" si="167"/>
        <v>105</v>
      </c>
      <c r="AQ337">
        <f t="shared" si="168"/>
        <v>94</v>
      </c>
      <c r="AR337">
        <f t="shared" si="169"/>
        <v>81</v>
      </c>
      <c r="AS337">
        <f t="shared" si="170"/>
        <v>128</v>
      </c>
      <c r="AT337">
        <f t="shared" si="171"/>
        <v>117</v>
      </c>
      <c r="AU337">
        <f t="shared" si="172"/>
        <v>85</v>
      </c>
      <c r="AV337">
        <f t="shared" si="173"/>
        <v>76</v>
      </c>
      <c r="AW337">
        <f t="shared" si="174"/>
        <v>63</v>
      </c>
      <c r="AX337">
        <f t="shared" si="175"/>
        <v>161</v>
      </c>
      <c r="AY337">
        <f t="shared" si="176"/>
        <v>147</v>
      </c>
      <c r="AZ337">
        <f t="shared" si="177"/>
        <v>115</v>
      </c>
      <c r="BA337">
        <f t="shared" si="178"/>
        <v>103</v>
      </c>
      <c r="BB337">
        <f t="shared" si="179"/>
        <v>90</v>
      </c>
    </row>
    <row r="338" spans="1:54" x14ac:dyDescent="0.15">
      <c r="A338">
        <v>230</v>
      </c>
      <c r="B338" t="s">
        <v>1256</v>
      </c>
      <c r="C338">
        <v>254</v>
      </c>
      <c r="D338">
        <v>0</v>
      </c>
      <c r="E338" t="s">
        <v>1257</v>
      </c>
      <c r="G338" t="s">
        <v>1257</v>
      </c>
      <c r="H338" t="s">
        <v>1258</v>
      </c>
      <c r="J338" t="s">
        <v>1259</v>
      </c>
      <c r="K338">
        <v>52.2</v>
      </c>
      <c r="L338">
        <v>1.7</v>
      </c>
      <c r="M338" t="s">
        <v>26</v>
      </c>
      <c r="O338" t="s">
        <v>28</v>
      </c>
      <c r="P338" t="s">
        <v>624</v>
      </c>
      <c r="R338">
        <v>9</v>
      </c>
      <c r="S338">
        <v>70</v>
      </c>
      <c r="T338">
        <v>85</v>
      </c>
      <c r="U338">
        <v>65</v>
      </c>
      <c r="V338">
        <v>105</v>
      </c>
      <c r="W338">
        <v>85</v>
      </c>
      <c r="X338">
        <v>120</v>
      </c>
      <c r="Y338">
        <f t="shared" si="150"/>
        <v>177</v>
      </c>
      <c r="Z338">
        <f t="shared" si="151"/>
        <v>177</v>
      </c>
      <c r="AA338">
        <f t="shared" si="152"/>
        <v>145</v>
      </c>
      <c r="AB338">
        <f t="shared" si="153"/>
        <v>145</v>
      </c>
      <c r="AC338">
        <f t="shared" si="154"/>
        <v>130</v>
      </c>
      <c r="AD338">
        <f t="shared" si="155"/>
        <v>150</v>
      </c>
      <c r="AE338">
        <f t="shared" si="156"/>
        <v>137</v>
      </c>
      <c r="AF338">
        <f t="shared" si="157"/>
        <v>105</v>
      </c>
      <c r="AG338">
        <f t="shared" si="158"/>
        <v>94</v>
      </c>
      <c r="AH338">
        <f t="shared" si="159"/>
        <v>81</v>
      </c>
      <c r="AI338">
        <f t="shared" si="160"/>
        <v>128</v>
      </c>
      <c r="AJ338">
        <f t="shared" si="161"/>
        <v>117</v>
      </c>
      <c r="AK338">
        <f t="shared" si="162"/>
        <v>85</v>
      </c>
      <c r="AL338">
        <f t="shared" si="163"/>
        <v>76</v>
      </c>
      <c r="AM338">
        <f t="shared" si="164"/>
        <v>63</v>
      </c>
      <c r="AN338">
        <f t="shared" si="165"/>
        <v>172</v>
      </c>
      <c r="AO338">
        <f t="shared" si="166"/>
        <v>157</v>
      </c>
      <c r="AP338">
        <f t="shared" si="167"/>
        <v>125</v>
      </c>
      <c r="AQ338">
        <f t="shared" si="168"/>
        <v>112</v>
      </c>
      <c r="AR338">
        <f t="shared" si="169"/>
        <v>99</v>
      </c>
      <c r="AS338">
        <f t="shared" si="170"/>
        <v>150</v>
      </c>
      <c r="AT338">
        <f t="shared" si="171"/>
        <v>137</v>
      </c>
      <c r="AU338">
        <f t="shared" si="172"/>
        <v>105</v>
      </c>
      <c r="AV338">
        <f t="shared" si="173"/>
        <v>94</v>
      </c>
      <c r="AW338">
        <f t="shared" si="174"/>
        <v>81</v>
      </c>
      <c r="AX338">
        <f t="shared" si="175"/>
        <v>189</v>
      </c>
      <c r="AY338">
        <f t="shared" si="176"/>
        <v>172</v>
      </c>
      <c r="AZ338">
        <f t="shared" si="177"/>
        <v>140</v>
      </c>
      <c r="BA338">
        <f t="shared" si="178"/>
        <v>126</v>
      </c>
      <c r="BB338">
        <f t="shared" si="179"/>
        <v>112</v>
      </c>
    </row>
    <row r="339" spans="1:54" x14ac:dyDescent="0.15">
      <c r="B339" t="s">
        <v>1260</v>
      </c>
      <c r="C339">
        <v>254</v>
      </c>
      <c r="D339">
        <v>1</v>
      </c>
      <c r="E339" t="s">
        <v>1257</v>
      </c>
      <c r="F339" t="s">
        <v>1261</v>
      </c>
      <c r="G339" t="s">
        <v>1261</v>
      </c>
      <c r="J339" t="s">
        <v>1259</v>
      </c>
      <c r="K339">
        <v>55.2</v>
      </c>
      <c r="L339">
        <v>1.9</v>
      </c>
      <c r="M339" t="s">
        <v>26</v>
      </c>
      <c r="N339" t="s">
        <v>60</v>
      </c>
      <c r="O339" t="s">
        <v>166</v>
      </c>
      <c r="P339" t="s">
        <v>624</v>
      </c>
      <c r="R339">
        <v>7</v>
      </c>
      <c r="S339">
        <v>70</v>
      </c>
      <c r="T339">
        <v>85</v>
      </c>
      <c r="U339">
        <v>65</v>
      </c>
      <c r="V339">
        <v>105</v>
      </c>
      <c r="W339">
        <v>85</v>
      </c>
      <c r="X339">
        <v>120</v>
      </c>
      <c r="Y339">
        <f t="shared" si="150"/>
        <v>177</v>
      </c>
      <c r="Z339">
        <f t="shared" si="151"/>
        <v>177</v>
      </c>
      <c r="AA339">
        <f t="shared" si="152"/>
        <v>145</v>
      </c>
      <c r="AB339">
        <f t="shared" si="153"/>
        <v>145</v>
      </c>
      <c r="AC339">
        <f t="shared" si="154"/>
        <v>130</v>
      </c>
      <c r="AD339">
        <f t="shared" si="155"/>
        <v>150</v>
      </c>
      <c r="AE339">
        <f t="shared" si="156"/>
        <v>137</v>
      </c>
      <c r="AF339">
        <f t="shared" si="157"/>
        <v>105</v>
      </c>
      <c r="AG339">
        <f t="shared" si="158"/>
        <v>94</v>
      </c>
      <c r="AH339">
        <f t="shared" si="159"/>
        <v>81</v>
      </c>
      <c r="AI339">
        <f t="shared" si="160"/>
        <v>128</v>
      </c>
      <c r="AJ339">
        <f t="shared" si="161"/>
        <v>117</v>
      </c>
      <c r="AK339">
        <f t="shared" si="162"/>
        <v>85</v>
      </c>
      <c r="AL339">
        <f t="shared" si="163"/>
        <v>76</v>
      </c>
      <c r="AM339">
        <f t="shared" si="164"/>
        <v>63</v>
      </c>
      <c r="AN339">
        <f t="shared" si="165"/>
        <v>172</v>
      </c>
      <c r="AO339">
        <f t="shared" si="166"/>
        <v>157</v>
      </c>
      <c r="AP339">
        <f t="shared" si="167"/>
        <v>125</v>
      </c>
      <c r="AQ339">
        <f t="shared" si="168"/>
        <v>112</v>
      </c>
      <c r="AR339">
        <f t="shared" si="169"/>
        <v>99</v>
      </c>
      <c r="AS339">
        <f t="shared" si="170"/>
        <v>150</v>
      </c>
      <c r="AT339">
        <f t="shared" si="171"/>
        <v>137</v>
      </c>
      <c r="AU339">
        <f t="shared" si="172"/>
        <v>105</v>
      </c>
      <c r="AV339">
        <f t="shared" si="173"/>
        <v>94</v>
      </c>
      <c r="AW339">
        <f t="shared" si="174"/>
        <v>81</v>
      </c>
      <c r="AX339">
        <f t="shared" si="175"/>
        <v>189</v>
      </c>
      <c r="AY339">
        <f t="shared" si="176"/>
        <v>172</v>
      </c>
      <c r="AZ339">
        <f t="shared" si="177"/>
        <v>140</v>
      </c>
      <c r="BA339">
        <f t="shared" si="178"/>
        <v>126</v>
      </c>
      <c r="BB339">
        <f t="shared" si="179"/>
        <v>112</v>
      </c>
    </row>
    <row r="340" spans="1:54" x14ac:dyDescent="0.15">
      <c r="A340">
        <v>231</v>
      </c>
      <c r="B340" t="s">
        <v>1262</v>
      </c>
      <c r="C340">
        <v>255</v>
      </c>
      <c r="D340">
        <v>0</v>
      </c>
      <c r="E340" t="s">
        <v>1263</v>
      </c>
      <c r="G340" t="s">
        <v>1263</v>
      </c>
      <c r="H340" t="s">
        <v>1264</v>
      </c>
      <c r="J340" t="s">
        <v>1265</v>
      </c>
      <c r="K340">
        <v>2.5</v>
      </c>
      <c r="L340">
        <v>0.4</v>
      </c>
      <c r="M340" t="s">
        <v>47</v>
      </c>
      <c r="O340" t="s">
        <v>48</v>
      </c>
      <c r="P340" t="s">
        <v>1004</v>
      </c>
      <c r="R340">
        <v>9</v>
      </c>
      <c r="S340">
        <v>45</v>
      </c>
      <c r="T340">
        <v>60</v>
      </c>
      <c r="U340">
        <v>40</v>
      </c>
      <c r="V340">
        <v>70</v>
      </c>
      <c r="W340">
        <v>50</v>
      </c>
      <c r="X340">
        <v>45</v>
      </c>
      <c r="Y340">
        <f t="shared" si="150"/>
        <v>152</v>
      </c>
      <c r="Z340">
        <f t="shared" si="151"/>
        <v>152</v>
      </c>
      <c r="AA340">
        <f t="shared" si="152"/>
        <v>120</v>
      </c>
      <c r="AB340">
        <f t="shared" si="153"/>
        <v>120</v>
      </c>
      <c r="AC340">
        <f t="shared" si="154"/>
        <v>105</v>
      </c>
      <c r="AD340">
        <f t="shared" si="155"/>
        <v>123</v>
      </c>
      <c r="AE340">
        <f t="shared" si="156"/>
        <v>112</v>
      </c>
      <c r="AF340">
        <f t="shared" si="157"/>
        <v>80</v>
      </c>
      <c r="AG340">
        <f t="shared" si="158"/>
        <v>72</v>
      </c>
      <c r="AH340">
        <f t="shared" si="159"/>
        <v>58</v>
      </c>
      <c r="AI340">
        <f t="shared" si="160"/>
        <v>101</v>
      </c>
      <c r="AJ340">
        <f t="shared" si="161"/>
        <v>92</v>
      </c>
      <c r="AK340">
        <f t="shared" si="162"/>
        <v>60</v>
      </c>
      <c r="AL340">
        <f t="shared" si="163"/>
        <v>54</v>
      </c>
      <c r="AM340">
        <f t="shared" si="164"/>
        <v>40</v>
      </c>
      <c r="AN340">
        <f t="shared" si="165"/>
        <v>134</v>
      </c>
      <c r="AO340">
        <f t="shared" si="166"/>
        <v>122</v>
      </c>
      <c r="AP340">
        <f t="shared" si="167"/>
        <v>90</v>
      </c>
      <c r="AQ340">
        <f t="shared" si="168"/>
        <v>81</v>
      </c>
      <c r="AR340">
        <f t="shared" si="169"/>
        <v>67</v>
      </c>
      <c r="AS340">
        <f t="shared" si="170"/>
        <v>112</v>
      </c>
      <c r="AT340">
        <f t="shared" si="171"/>
        <v>102</v>
      </c>
      <c r="AU340">
        <f t="shared" si="172"/>
        <v>70</v>
      </c>
      <c r="AV340">
        <f t="shared" si="173"/>
        <v>63</v>
      </c>
      <c r="AW340">
        <f t="shared" si="174"/>
        <v>49</v>
      </c>
      <c r="AX340">
        <f t="shared" si="175"/>
        <v>106</v>
      </c>
      <c r="AY340">
        <f t="shared" si="176"/>
        <v>97</v>
      </c>
      <c r="AZ340">
        <f t="shared" si="177"/>
        <v>65</v>
      </c>
      <c r="BA340">
        <f t="shared" si="178"/>
        <v>58</v>
      </c>
      <c r="BB340">
        <f t="shared" si="179"/>
        <v>45</v>
      </c>
    </row>
    <row r="341" spans="1:54" x14ac:dyDescent="0.15">
      <c r="A341">
        <v>232</v>
      </c>
      <c r="B341" t="s">
        <v>1266</v>
      </c>
      <c r="C341">
        <v>256</v>
      </c>
      <c r="D341">
        <v>0</v>
      </c>
      <c r="E341" t="s">
        <v>1267</v>
      </c>
      <c r="G341" t="s">
        <v>1267</v>
      </c>
      <c r="H341" t="s">
        <v>1268</v>
      </c>
      <c r="J341" t="s">
        <v>1269</v>
      </c>
      <c r="K341">
        <v>19.5</v>
      </c>
      <c r="L341">
        <v>0.9</v>
      </c>
      <c r="M341" t="s">
        <v>47</v>
      </c>
      <c r="N341" t="s">
        <v>354</v>
      </c>
      <c r="O341" t="s">
        <v>48</v>
      </c>
      <c r="P341" t="s">
        <v>1004</v>
      </c>
      <c r="R341">
        <v>9</v>
      </c>
      <c r="S341">
        <v>60</v>
      </c>
      <c r="T341">
        <v>85</v>
      </c>
      <c r="U341">
        <v>60</v>
      </c>
      <c r="V341">
        <v>85</v>
      </c>
      <c r="W341">
        <v>60</v>
      </c>
      <c r="X341">
        <v>55</v>
      </c>
      <c r="Y341">
        <f t="shared" si="150"/>
        <v>167</v>
      </c>
      <c r="Z341">
        <f t="shared" si="151"/>
        <v>167</v>
      </c>
      <c r="AA341">
        <f t="shared" si="152"/>
        <v>135</v>
      </c>
      <c r="AB341">
        <f t="shared" si="153"/>
        <v>135</v>
      </c>
      <c r="AC341">
        <f t="shared" si="154"/>
        <v>120</v>
      </c>
      <c r="AD341">
        <f t="shared" si="155"/>
        <v>150</v>
      </c>
      <c r="AE341">
        <f t="shared" si="156"/>
        <v>137</v>
      </c>
      <c r="AF341">
        <f t="shared" si="157"/>
        <v>105</v>
      </c>
      <c r="AG341">
        <f t="shared" si="158"/>
        <v>94</v>
      </c>
      <c r="AH341">
        <f t="shared" si="159"/>
        <v>81</v>
      </c>
      <c r="AI341">
        <f t="shared" si="160"/>
        <v>123</v>
      </c>
      <c r="AJ341">
        <f t="shared" si="161"/>
        <v>112</v>
      </c>
      <c r="AK341">
        <f t="shared" si="162"/>
        <v>80</v>
      </c>
      <c r="AL341">
        <f t="shared" si="163"/>
        <v>72</v>
      </c>
      <c r="AM341">
        <f t="shared" si="164"/>
        <v>58</v>
      </c>
      <c r="AN341">
        <f t="shared" si="165"/>
        <v>150</v>
      </c>
      <c r="AO341">
        <f t="shared" si="166"/>
        <v>137</v>
      </c>
      <c r="AP341">
        <f t="shared" si="167"/>
        <v>105</v>
      </c>
      <c r="AQ341">
        <f t="shared" si="168"/>
        <v>94</v>
      </c>
      <c r="AR341">
        <f t="shared" si="169"/>
        <v>81</v>
      </c>
      <c r="AS341">
        <f t="shared" si="170"/>
        <v>123</v>
      </c>
      <c r="AT341">
        <f t="shared" si="171"/>
        <v>112</v>
      </c>
      <c r="AU341">
        <f t="shared" si="172"/>
        <v>80</v>
      </c>
      <c r="AV341">
        <f t="shared" si="173"/>
        <v>72</v>
      </c>
      <c r="AW341">
        <f t="shared" si="174"/>
        <v>58</v>
      </c>
      <c r="AX341">
        <f t="shared" si="175"/>
        <v>117</v>
      </c>
      <c r="AY341">
        <f t="shared" si="176"/>
        <v>107</v>
      </c>
      <c r="AZ341">
        <f t="shared" si="177"/>
        <v>75</v>
      </c>
      <c r="BA341">
        <f t="shared" si="178"/>
        <v>67</v>
      </c>
      <c r="BB341">
        <f t="shared" si="179"/>
        <v>54</v>
      </c>
    </row>
    <row r="342" spans="1:54" x14ac:dyDescent="0.15">
      <c r="A342">
        <v>234</v>
      </c>
      <c r="B342" t="s">
        <v>1270</v>
      </c>
      <c r="C342">
        <v>257</v>
      </c>
      <c r="D342">
        <v>0</v>
      </c>
      <c r="E342" t="s">
        <v>1271</v>
      </c>
      <c r="G342" t="s">
        <v>1271</v>
      </c>
      <c r="H342" t="s">
        <v>1272</v>
      </c>
      <c r="J342" t="s">
        <v>1273</v>
      </c>
      <c r="K342">
        <v>52</v>
      </c>
      <c r="L342">
        <v>1.9</v>
      </c>
      <c r="M342" t="s">
        <v>47</v>
      </c>
      <c r="N342" t="s">
        <v>354</v>
      </c>
      <c r="O342" t="s">
        <v>48</v>
      </c>
      <c r="P342" t="s">
        <v>1004</v>
      </c>
      <c r="R342">
        <v>9</v>
      </c>
      <c r="S342">
        <v>80</v>
      </c>
      <c r="T342">
        <v>120</v>
      </c>
      <c r="U342">
        <v>70</v>
      </c>
      <c r="V342">
        <v>110</v>
      </c>
      <c r="W342">
        <v>70</v>
      </c>
      <c r="X342">
        <v>80</v>
      </c>
      <c r="Y342">
        <f t="shared" si="150"/>
        <v>187</v>
      </c>
      <c r="Z342">
        <f t="shared" si="151"/>
        <v>187</v>
      </c>
      <c r="AA342">
        <f t="shared" si="152"/>
        <v>155</v>
      </c>
      <c r="AB342">
        <f t="shared" si="153"/>
        <v>155</v>
      </c>
      <c r="AC342">
        <f t="shared" si="154"/>
        <v>140</v>
      </c>
      <c r="AD342">
        <f t="shared" si="155"/>
        <v>189</v>
      </c>
      <c r="AE342">
        <f t="shared" si="156"/>
        <v>172</v>
      </c>
      <c r="AF342">
        <f t="shared" si="157"/>
        <v>140</v>
      </c>
      <c r="AG342">
        <f t="shared" si="158"/>
        <v>126</v>
      </c>
      <c r="AH342">
        <f t="shared" si="159"/>
        <v>112</v>
      </c>
      <c r="AI342">
        <f t="shared" si="160"/>
        <v>134</v>
      </c>
      <c r="AJ342">
        <f t="shared" si="161"/>
        <v>122</v>
      </c>
      <c r="AK342">
        <f t="shared" si="162"/>
        <v>90</v>
      </c>
      <c r="AL342">
        <f t="shared" si="163"/>
        <v>81</v>
      </c>
      <c r="AM342">
        <f t="shared" si="164"/>
        <v>67</v>
      </c>
      <c r="AN342">
        <f t="shared" si="165"/>
        <v>178</v>
      </c>
      <c r="AO342">
        <f t="shared" si="166"/>
        <v>162</v>
      </c>
      <c r="AP342">
        <f t="shared" si="167"/>
        <v>130</v>
      </c>
      <c r="AQ342">
        <f t="shared" si="168"/>
        <v>117</v>
      </c>
      <c r="AR342">
        <f t="shared" si="169"/>
        <v>103</v>
      </c>
      <c r="AS342">
        <f t="shared" si="170"/>
        <v>134</v>
      </c>
      <c r="AT342">
        <f t="shared" si="171"/>
        <v>122</v>
      </c>
      <c r="AU342">
        <f t="shared" si="172"/>
        <v>90</v>
      </c>
      <c r="AV342">
        <f t="shared" si="173"/>
        <v>81</v>
      </c>
      <c r="AW342">
        <f t="shared" si="174"/>
        <v>67</v>
      </c>
      <c r="AX342">
        <f t="shared" si="175"/>
        <v>145</v>
      </c>
      <c r="AY342">
        <f t="shared" si="176"/>
        <v>132</v>
      </c>
      <c r="AZ342">
        <f t="shared" si="177"/>
        <v>100</v>
      </c>
      <c r="BA342">
        <f t="shared" si="178"/>
        <v>90</v>
      </c>
      <c r="BB342">
        <f t="shared" si="179"/>
        <v>76</v>
      </c>
    </row>
    <row r="343" spans="1:54" x14ac:dyDescent="0.15">
      <c r="B343" t="s">
        <v>1274</v>
      </c>
      <c r="C343">
        <v>257</v>
      </c>
      <c r="D343">
        <v>1</v>
      </c>
      <c r="E343" t="s">
        <v>1271</v>
      </c>
      <c r="F343" t="s">
        <v>1275</v>
      </c>
      <c r="G343" t="s">
        <v>1275</v>
      </c>
      <c r="J343" t="s">
        <v>1273</v>
      </c>
      <c r="K343">
        <v>52</v>
      </c>
      <c r="L343">
        <v>1.9</v>
      </c>
      <c r="M343" t="s">
        <v>47</v>
      </c>
      <c r="N343" t="s">
        <v>354</v>
      </c>
      <c r="O343" t="s">
        <v>1004</v>
      </c>
      <c r="P343" t="s">
        <v>48</v>
      </c>
      <c r="R343">
        <v>7</v>
      </c>
      <c r="S343">
        <v>80</v>
      </c>
      <c r="T343">
        <v>120</v>
      </c>
      <c r="U343">
        <v>70</v>
      </c>
      <c r="V343">
        <v>110</v>
      </c>
      <c r="W343">
        <v>70</v>
      </c>
      <c r="X343">
        <v>80</v>
      </c>
      <c r="Y343">
        <f t="shared" si="150"/>
        <v>187</v>
      </c>
      <c r="Z343">
        <f t="shared" si="151"/>
        <v>187</v>
      </c>
      <c r="AA343">
        <f t="shared" si="152"/>
        <v>155</v>
      </c>
      <c r="AB343">
        <f t="shared" si="153"/>
        <v>155</v>
      </c>
      <c r="AC343">
        <f t="shared" si="154"/>
        <v>140</v>
      </c>
      <c r="AD343">
        <f t="shared" si="155"/>
        <v>189</v>
      </c>
      <c r="AE343">
        <f t="shared" si="156"/>
        <v>172</v>
      </c>
      <c r="AF343">
        <f t="shared" si="157"/>
        <v>140</v>
      </c>
      <c r="AG343">
        <f t="shared" si="158"/>
        <v>126</v>
      </c>
      <c r="AH343">
        <f t="shared" si="159"/>
        <v>112</v>
      </c>
      <c r="AI343">
        <f t="shared" si="160"/>
        <v>134</v>
      </c>
      <c r="AJ343">
        <f t="shared" si="161"/>
        <v>122</v>
      </c>
      <c r="AK343">
        <f t="shared" si="162"/>
        <v>90</v>
      </c>
      <c r="AL343">
        <f t="shared" si="163"/>
        <v>81</v>
      </c>
      <c r="AM343">
        <f t="shared" si="164"/>
        <v>67</v>
      </c>
      <c r="AN343">
        <f t="shared" si="165"/>
        <v>178</v>
      </c>
      <c r="AO343">
        <f t="shared" si="166"/>
        <v>162</v>
      </c>
      <c r="AP343">
        <f t="shared" si="167"/>
        <v>130</v>
      </c>
      <c r="AQ343">
        <f t="shared" si="168"/>
        <v>117</v>
      </c>
      <c r="AR343">
        <f t="shared" si="169"/>
        <v>103</v>
      </c>
      <c r="AS343">
        <f t="shared" si="170"/>
        <v>134</v>
      </c>
      <c r="AT343">
        <f t="shared" si="171"/>
        <v>122</v>
      </c>
      <c r="AU343">
        <f t="shared" si="172"/>
        <v>90</v>
      </c>
      <c r="AV343">
        <f t="shared" si="173"/>
        <v>81</v>
      </c>
      <c r="AW343">
        <f t="shared" si="174"/>
        <v>67</v>
      </c>
      <c r="AX343">
        <f t="shared" si="175"/>
        <v>145</v>
      </c>
      <c r="AY343">
        <f t="shared" si="176"/>
        <v>132</v>
      </c>
      <c r="AZ343">
        <f t="shared" si="177"/>
        <v>100</v>
      </c>
      <c r="BA343">
        <f t="shared" si="178"/>
        <v>90</v>
      </c>
      <c r="BB343">
        <f t="shared" si="179"/>
        <v>76</v>
      </c>
    </row>
    <row r="344" spans="1:54" x14ac:dyDescent="0.15">
      <c r="A344">
        <v>235</v>
      </c>
      <c r="B344" t="s">
        <v>1276</v>
      </c>
      <c r="C344">
        <v>258</v>
      </c>
      <c r="D344">
        <v>0</v>
      </c>
      <c r="E344" t="s">
        <v>1277</v>
      </c>
      <c r="G344" t="s">
        <v>1277</v>
      </c>
      <c r="H344" t="s">
        <v>1278</v>
      </c>
      <c r="J344" t="s">
        <v>1279</v>
      </c>
      <c r="K344">
        <v>7.6</v>
      </c>
      <c r="L344">
        <v>0.4</v>
      </c>
      <c r="M344" t="s">
        <v>71</v>
      </c>
      <c r="O344" t="s">
        <v>72</v>
      </c>
      <c r="P344" t="s">
        <v>289</v>
      </c>
      <c r="R344">
        <v>9</v>
      </c>
      <c r="S344">
        <v>50</v>
      </c>
      <c r="T344">
        <v>70</v>
      </c>
      <c r="U344">
        <v>50</v>
      </c>
      <c r="V344">
        <v>50</v>
      </c>
      <c r="W344">
        <v>50</v>
      </c>
      <c r="X344">
        <v>40</v>
      </c>
      <c r="Y344">
        <f t="shared" si="150"/>
        <v>157</v>
      </c>
      <c r="Z344">
        <f t="shared" si="151"/>
        <v>157</v>
      </c>
      <c r="AA344">
        <f t="shared" si="152"/>
        <v>125</v>
      </c>
      <c r="AB344">
        <f t="shared" si="153"/>
        <v>125</v>
      </c>
      <c r="AC344">
        <f t="shared" si="154"/>
        <v>110</v>
      </c>
      <c r="AD344">
        <f t="shared" si="155"/>
        <v>134</v>
      </c>
      <c r="AE344">
        <f t="shared" si="156"/>
        <v>122</v>
      </c>
      <c r="AF344">
        <f t="shared" si="157"/>
        <v>90</v>
      </c>
      <c r="AG344">
        <f t="shared" si="158"/>
        <v>81</v>
      </c>
      <c r="AH344">
        <f t="shared" si="159"/>
        <v>67</v>
      </c>
      <c r="AI344">
        <f t="shared" si="160"/>
        <v>112</v>
      </c>
      <c r="AJ344">
        <f t="shared" si="161"/>
        <v>102</v>
      </c>
      <c r="AK344">
        <f t="shared" si="162"/>
        <v>70</v>
      </c>
      <c r="AL344">
        <f t="shared" si="163"/>
        <v>63</v>
      </c>
      <c r="AM344">
        <f t="shared" si="164"/>
        <v>49</v>
      </c>
      <c r="AN344">
        <f t="shared" si="165"/>
        <v>112</v>
      </c>
      <c r="AO344">
        <f t="shared" si="166"/>
        <v>102</v>
      </c>
      <c r="AP344">
        <f t="shared" si="167"/>
        <v>70</v>
      </c>
      <c r="AQ344">
        <f t="shared" si="168"/>
        <v>63</v>
      </c>
      <c r="AR344">
        <f t="shared" si="169"/>
        <v>49</v>
      </c>
      <c r="AS344">
        <f t="shared" si="170"/>
        <v>112</v>
      </c>
      <c r="AT344">
        <f t="shared" si="171"/>
        <v>102</v>
      </c>
      <c r="AU344">
        <f t="shared" si="172"/>
        <v>70</v>
      </c>
      <c r="AV344">
        <f t="shared" si="173"/>
        <v>63</v>
      </c>
      <c r="AW344">
        <f t="shared" si="174"/>
        <v>49</v>
      </c>
      <c r="AX344">
        <f t="shared" si="175"/>
        <v>101</v>
      </c>
      <c r="AY344">
        <f t="shared" si="176"/>
        <v>92</v>
      </c>
      <c r="AZ344">
        <f t="shared" si="177"/>
        <v>60</v>
      </c>
      <c r="BA344">
        <f t="shared" si="178"/>
        <v>54</v>
      </c>
      <c r="BB344">
        <f t="shared" si="179"/>
        <v>40</v>
      </c>
    </row>
    <row r="345" spans="1:54" x14ac:dyDescent="0.15">
      <c r="A345">
        <v>236</v>
      </c>
      <c r="B345" t="s">
        <v>1280</v>
      </c>
      <c r="C345">
        <v>259</v>
      </c>
      <c r="D345">
        <v>0</v>
      </c>
      <c r="E345" t="s">
        <v>1281</v>
      </c>
      <c r="G345" t="s">
        <v>1281</v>
      </c>
      <c r="H345" t="s">
        <v>1282</v>
      </c>
      <c r="J345" t="s">
        <v>1279</v>
      </c>
      <c r="K345">
        <v>28</v>
      </c>
      <c r="L345">
        <v>0.7</v>
      </c>
      <c r="M345" t="s">
        <v>71</v>
      </c>
      <c r="N345" t="s">
        <v>196</v>
      </c>
      <c r="O345" t="s">
        <v>72</v>
      </c>
      <c r="P345" t="s">
        <v>289</v>
      </c>
      <c r="R345">
        <v>9</v>
      </c>
      <c r="S345">
        <v>70</v>
      </c>
      <c r="T345">
        <v>85</v>
      </c>
      <c r="U345">
        <v>70</v>
      </c>
      <c r="V345">
        <v>60</v>
      </c>
      <c r="W345">
        <v>70</v>
      </c>
      <c r="X345">
        <v>50</v>
      </c>
      <c r="Y345">
        <f t="shared" si="150"/>
        <v>177</v>
      </c>
      <c r="Z345">
        <f t="shared" si="151"/>
        <v>177</v>
      </c>
      <c r="AA345">
        <f t="shared" si="152"/>
        <v>145</v>
      </c>
      <c r="AB345">
        <f t="shared" si="153"/>
        <v>145</v>
      </c>
      <c r="AC345">
        <f t="shared" si="154"/>
        <v>130</v>
      </c>
      <c r="AD345">
        <f t="shared" si="155"/>
        <v>150</v>
      </c>
      <c r="AE345">
        <f t="shared" si="156"/>
        <v>137</v>
      </c>
      <c r="AF345">
        <f t="shared" si="157"/>
        <v>105</v>
      </c>
      <c r="AG345">
        <f t="shared" si="158"/>
        <v>94</v>
      </c>
      <c r="AH345">
        <f t="shared" si="159"/>
        <v>81</v>
      </c>
      <c r="AI345">
        <f t="shared" si="160"/>
        <v>134</v>
      </c>
      <c r="AJ345">
        <f t="shared" si="161"/>
        <v>122</v>
      </c>
      <c r="AK345">
        <f t="shared" si="162"/>
        <v>90</v>
      </c>
      <c r="AL345">
        <f t="shared" si="163"/>
        <v>81</v>
      </c>
      <c r="AM345">
        <f t="shared" si="164"/>
        <v>67</v>
      </c>
      <c r="AN345">
        <f t="shared" si="165"/>
        <v>123</v>
      </c>
      <c r="AO345">
        <f t="shared" si="166"/>
        <v>112</v>
      </c>
      <c r="AP345">
        <f t="shared" si="167"/>
        <v>80</v>
      </c>
      <c r="AQ345">
        <f t="shared" si="168"/>
        <v>72</v>
      </c>
      <c r="AR345">
        <f t="shared" si="169"/>
        <v>58</v>
      </c>
      <c r="AS345">
        <f t="shared" si="170"/>
        <v>134</v>
      </c>
      <c r="AT345">
        <f t="shared" si="171"/>
        <v>122</v>
      </c>
      <c r="AU345">
        <f t="shared" si="172"/>
        <v>90</v>
      </c>
      <c r="AV345">
        <f t="shared" si="173"/>
        <v>81</v>
      </c>
      <c r="AW345">
        <f t="shared" si="174"/>
        <v>67</v>
      </c>
      <c r="AX345">
        <f t="shared" si="175"/>
        <v>112</v>
      </c>
      <c r="AY345">
        <f t="shared" si="176"/>
        <v>102</v>
      </c>
      <c r="AZ345">
        <f t="shared" si="177"/>
        <v>70</v>
      </c>
      <c r="BA345">
        <f t="shared" si="178"/>
        <v>63</v>
      </c>
      <c r="BB345">
        <f t="shared" si="179"/>
        <v>49</v>
      </c>
    </row>
    <row r="346" spans="1:54" x14ac:dyDescent="0.15">
      <c r="A346">
        <v>237</v>
      </c>
      <c r="B346" t="s">
        <v>1283</v>
      </c>
      <c r="C346">
        <v>260</v>
      </c>
      <c r="D346">
        <v>0</v>
      </c>
      <c r="E346" t="s">
        <v>1284</v>
      </c>
      <c r="G346" t="s">
        <v>1284</v>
      </c>
      <c r="H346" t="s">
        <v>1285</v>
      </c>
      <c r="J346" t="s">
        <v>1279</v>
      </c>
      <c r="K346">
        <v>81.900000000000006</v>
      </c>
      <c r="L346">
        <v>1.5</v>
      </c>
      <c r="M346" t="s">
        <v>71</v>
      </c>
      <c r="N346" t="s">
        <v>196</v>
      </c>
      <c r="O346" t="s">
        <v>72</v>
      </c>
      <c r="P346" t="s">
        <v>289</v>
      </c>
      <c r="R346">
        <v>9</v>
      </c>
      <c r="S346">
        <v>100</v>
      </c>
      <c r="T346">
        <v>110</v>
      </c>
      <c r="U346">
        <v>90</v>
      </c>
      <c r="V346">
        <v>85</v>
      </c>
      <c r="W346">
        <v>90</v>
      </c>
      <c r="X346">
        <v>60</v>
      </c>
      <c r="Y346">
        <f t="shared" si="150"/>
        <v>207</v>
      </c>
      <c r="Z346">
        <f t="shared" si="151"/>
        <v>207</v>
      </c>
      <c r="AA346">
        <f t="shared" si="152"/>
        <v>175</v>
      </c>
      <c r="AB346">
        <f t="shared" si="153"/>
        <v>175</v>
      </c>
      <c r="AC346">
        <f t="shared" si="154"/>
        <v>160</v>
      </c>
      <c r="AD346">
        <f t="shared" si="155"/>
        <v>178</v>
      </c>
      <c r="AE346">
        <f t="shared" si="156"/>
        <v>162</v>
      </c>
      <c r="AF346">
        <f t="shared" si="157"/>
        <v>130</v>
      </c>
      <c r="AG346">
        <f t="shared" si="158"/>
        <v>117</v>
      </c>
      <c r="AH346">
        <f t="shared" si="159"/>
        <v>103</v>
      </c>
      <c r="AI346">
        <f t="shared" si="160"/>
        <v>156</v>
      </c>
      <c r="AJ346">
        <f t="shared" si="161"/>
        <v>142</v>
      </c>
      <c r="AK346">
        <f t="shared" si="162"/>
        <v>110</v>
      </c>
      <c r="AL346">
        <f t="shared" si="163"/>
        <v>99</v>
      </c>
      <c r="AM346">
        <f t="shared" si="164"/>
        <v>85</v>
      </c>
      <c r="AN346">
        <f t="shared" si="165"/>
        <v>150</v>
      </c>
      <c r="AO346">
        <f t="shared" si="166"/>
        <v>137</v>
      </c>
      <c r="AP346">
        <f t="shared" si="167"/>
        <v>105</v>
      </c>
      <c r="AQ346">
        <f t="shared" si="168"/>
        <v>94</v>
      </c>
      <c r="AR346">
        <f t="shared" si="169"/>
        <v>81</v>
      </c>
      <c r="AS346">
        <f t="shared" si="170"/>
        <v>156</v>
      </c>
      <c r="AT346">
        <f t="shared" si="171"/>
        <v>142</v>
      </c>
      <c r="AU346">
        <f t="shared" si="172"/>
        <v>110</v>
      </c>
      <c r="AV346">
        <f t="shared" si="173"/>
        <v>99</v>
      </c>
      <c r="AW346">
        <f t="shared" si="174"/>
        <v>85</v>
      </c>
      <c r="AX346">
        <f t="shared" si="175"/>
        <v>123</v>
      </c>
      <c r="AY346">
        <f t="shared" si="176"/>
        <v>112</v>
      </c>
      <c r="AZ346">
        <f t="shared" si="177"/>
        <v>80</v>
      </c>
      <c r="BA346">
        <f t="shared" si="178"/>
        <v>72</v>
      </c>
      <c r="BB346">
        <f t="shared" si="179"/>
        <v>58</v>
      </c>
    </row>
    <row r="347" spans="1:54" x14ac:dyDescent="0.15">
      <c r="B347" t="s">
        <v>1286</v>
      </c>
      <c r="C347">
        <v>260</v>
      </c>
      <c r="D347">
        <v>1</v>
      </c>
      <c r="E347" t="s">
        <v>1284</v>
      </c>
      <c r="F347" t="s">
        <v>1287</v>
      </c>
      <c r="G347" t="s">
        <v>1287</v>
      </c>
      <c r="J347" t="s">
        <v>1279</v>
      </c>
      <c r="K347">
        <v>102</v>
      </c>
      <c r="L347">
        <v>1.9</v>
      </c>
      <c r="M347" t="s">
        <v>71</v>
      </c>
      <c r="N347" t="s">
        <v>196</v>
      </c>
      <c r="O347" t="s">
        <v>346</v>
      </c>
      <c r="P347" t="s">
        <v>289</v>
      </c>
      <c r="R347">
        <v>7</v>
      </c>
      <c r="S347">
        <v>100</v>
      </c>
      <c r="T347">
        <v>110</v>
      </c>
      <c r="U347">
        <v>90</v>
      </c>
      <c r="V347">
        <v>85</v>
      </c>
      <c r="W347">
        <v>90</v>
      </c>
      <c r="X347">
        <v>60</v>
      </c>
      <c r="Y347">
        <f t="shared" si="150"/>
        <v>207</v>
      </c>
      <c r="Z347">
        <f t="shared" si="151"/>
        <v>207</v>
      </c>
      <c r="AA347">
        <f t="shared" si="152"/>
        <v>175</v>
      </c>
      <c r="AB347">
        <f t="shared" si="153"/>
        <v>175</v>
      </c>
      <c r="AC347">
        <f t="shared" si="154"/>
        <v>160</v>
      </c>
      <c r="AD347">
        <f t="shared" si="155"/>
        <v>178</v>
      </c>
      <c r="AE347">
        <f t="shared" si="156"/>
        <v>162</v>
      </c>
      <c r="AF347">
        <f t="shared" si="157"/>
        <v>130</v>
      </c>
      <c r="AG347">
        <f t="shared" si="158"/>
        <v>117</v>
      </c>
      <c r="AH347">
        <f t="shared" si="159"/>
        <v>103</v>
      </c>
      <c r="AI347">
        <f t="shared" si="160"/>
        <v>156</v>
      </c>
      <c r="AJ347">
        <f t="shared" si="161"/>
        <v>142</v>
      </c>
      <c r="AK347">
        <f t="shared" si="162"/>
        <v>110</v>
      </c>
      <c r="AL347">
        <f t="shared" si="163"/>
        <v>99</v>
      </c>
      <c r="AM347">
        <f t="shared" si="164"/>
        <v>85</v>
      </c>
      <c r="AN347">
        <f t="shared" si="165"/>
        <v>150</v>
      </c>
      <c r="AO347">
        <f t="shared" si="166"/>
        <v>137</v>
      </c>
      <c r="AP347">
        <f t="shared" si="167"/>
        <v>105</v>
      </c>
      <c r="AQ347">
        <f t="shared" si="168"/>
        <v>94</v>
      </c>
      <c r="AR347">
        <f t="shared" si="169"/>
        <v>81</v>
      </c>
      <c r="AS347">
        <f t="shared" si="170"/>
        <v>156</v>
      </c>
      <c r="AT347">
        <f t="shared" si="171"/>
        <v>142</v>
      </c>
      <c r="AU347">
        <f t="shared" si="172"/>
        <v>110</v>
      </c>
      <c r="AV347">
        <f t="shared" si="173"/>
        <v>99</v>
      </c>
      <c r="AW347">
        <f t="shared" si="174"/>
        <v>85</v>
      </c>
      <c r="AX347">
        <f t="shared" si="175"/>
        <v>123</v>
      </c>
      <c r="AY347">
        <f t="shared" si="176"/>
        <v>112</v>
      </c>
      <c r="AZ347">
        <f t="shared" si="177"/>
        <v>80</v>
      </c>
      <c r="BA347">
        <f t="shared" si="178"/>
        <v>72</v>
      </c>
      <c r="BB347">
        <f t="shared" si="179"/>
        <v>58</v>
      </c>
    </row>
    <row r="348" spans="1:54" x14ac:dyDescent="0.15">
      <c r="A348">
        <v>238</v>
      </c>
      <c r="B348" t="s">
        <v>1288</v>
      </c>
      <c r="C348">
        <v>261</v>
      </c>
      <c r="D348">
        <v>0</v>
      </c>
      <c r="E348" t="s">
        <v>1289</v>
      </c>
      <c r="G348" t="s">
        <v>1289</v>
      </c>
      <c r="H348" t="s">
        <v>1290</v>
      </c>
      <c r="J348" t="s">
        <v>1291</v>
      </c>
      <c r="K348">
        <v>13.6</v>
      </c>
      <c r="L348">
        <v>0.5</v>
      </c>
      <c r="M348" t="s">
        <v>140</v>
      </c>
      <c r="O348" t="s">
        <v>92</v>
      </c>
      <c r="P348" t="s">
        <v>770</v>
      </c>
      <c r="Q348" t="s">
        <v>736</v>
      </c>
      <c r="R348">
        <v>9</v>
      </c>
      <c r="S348">
        <v>35</v>
      </c>
      <c r="T348">
        <v>55</v>
      </c>
      <c r="U348">
        <v>35</v>
      </c>
      <c r="V348">
        <v>30</v>
      </c>
      <c r="W348">
        <v>30</v>
      </c>
      <c r="X348">
        <v>35</v>
      </c>
      <c r="Y348">
        <f t="shared" si="150"/>
        <v>142</v>
      </c>
      <c r="Z348">
        <f t="shared" si="151"/>
        <v>142</v>
      </c>
      <c r="AA348">
        <f t="shared" si="152"/>
        <v>110</v>
      </c>
      <c r="AB348">
        <f t="shared" si="153"/>
        <v>110</v>
      </c>
      <c r="AC348">
        <f t="shared" si="154"/>
        <v>95</v>
      </c>
      <c r="AD348">
        <f t="shared" si="155"/>
        <v>117</v>
      </c>
      <c r="AE348">
        <f t="shared" si="156"/>
        <v>107</v>
      </c>
      <c r="AF348">
        <f t="shared" si="157"/>
        <v>75</v>
      </c>
      <c r="AG348">
        <f t="shared" si="158"/>
        <v>67</v>
      </c>
      <c r="AH348">
        <f t="shared" si="159"/>
        <v>54</v>
      </c>
      <c r="AI348">
        <f t="shared" si="160"/>
        <v>95</v>
      </c>
      <c r="AJ348">
        <f t="shared" si="161"/>
        <v>87</v>
      </c>
      <c r="AK348">
        <f t="shared" si="162"/>
        <v>55</v>
      </c>
      <c r="AL348">
        <f t="shared" si="163"/>
        <v>49</v>
      </c>
      <c r="AM348">
        <f t="shared" si="164"/>
        <v>36</v>
      </c>
      <c r="AN348">
        <f t="shared" si="165"/>
        <v>90</v>
      </c>
      <c r="AO348">
        <f t="shared" si="166"/>
        <v>82</v>
      </c>
      <c r="AP348">
        <f t="shared" si="167"/>
        <v>50</v>
      </c>
      <c r="AQ348">
        <f t="shared" si="168"/>
        <v>45</v>
      </c>
      <c r="AR348">
        <f t="shared" si="169"/>
        <v>31</v>
      </c>
      <c r="AS348">
        <f t="shared" si="170"/>
        <v>90</v>
      </c>
      <c r="AT348">
        <f t="shared" si="171"/>
        <v>82</v>
      </c>
      <c r="AU348">
        <f t="shared" si="172"/>
        <v>50</v>
      </c>
      <c r="AV348">
        <f t="shared" si="173"/>
        <v>45</v>
      </c>
      <c r="AW348">
        <f t="shared" si="174"/>
        <v>31</v>
      </c>
      <c r="AX348">
        <f t="shared" si="175"/>
        <v>95</v>
      </c>
      <c r="AY348">
        <f t="shared" si="176"/>
        <v>87</v>
      </c>
      <c r="AZ348">
        <f t="shared" si="177"/>
        <v>55</v>
      </c>
      <c r="BA348">
        <f t="shared" si="178"/>
        <v>49</v>
      </c>
      <c r="BB348">
        <f t="shared" si="179"/>
        <v>36</v>
      </c>
    </row>
    <row r="349" spans="1:54" x14ac:dyDescent="0.15">
      <c r="A349">
        <v>239</v>
      </c>
      <c r="B349" t="s">
        <v>1292</v>
      </c>
      <c r="C349">
        <v>262</v>
      </c>
      <c r="D349">
        <v>0</v>
      </c>
      <c r="E349" t="s">
        <v>1293</v>
      </c>
      <c r="G349" t="s">
        <v>1293</v>
      </c>
      <c r="H349" t="s">
        <v>1294</v>
      </c>
      <c r="J349" t="s">
        <v>1291</v>
      </c>
      <c r="K349">
        <v>37</v>
      </c>
      <c r="L349">
        <v>1</v>
      </c>
      <c r="M349" t="s">
        <v>140</v>
      </c>
      <c r="O349" t="s">
        <v>155</v>
      </c>
      <c r="P349" t="s">
        <v>770</v>
      </c>
      <c r="Q349" t="s">
        <v>714</v>
      </c>
      <c r="R349">
        <v>9</v>
      </c>
      <c r="S349">
        <v>70</v>
      </c>
      <c r="T349">
        <v>90</v>
      </c>
      <c r="U349">
        <v>70</v>
      </c>
      <c r="V349">
        <v>60</v>
      </c>
      <c r="W349">
        <v>60</v>
      </c>
      <c r="X349">
        <v>70</v>
      </c>
      <c r="Y349">
        <f t="shared" si="150"/>
        <v>177</v>
      </c>
      <c r="Z349">
        <f t="shared" si="151"/>
        <v>177</v>
      </c>
      <c r="AA349">
        <f t="shared" si="152"/>
        <v>145</v>
      </c>
      <c r="AB349">
        <f t="shared" si="153"/>
        <v>145</v>
      </c>
      <c r="AC349">
        <f t="shared" si="154"/>
        <v>130</v>
      </c>
      <c r="AD349">
        <f t="shared" si="155"/>
        <v>156</v>
      </c>
      <c r="AE349">
        <f t="shared" si="156"/>
        <v>142</v>
      </c>
      <c r="AF349">
        <f t="shared" si="157"/>
        <v>110</v>
      </c>
      <c r="AG349">
        <f t="shared" si="158"/>
        <v>99</v>
      </c>
      <c r="AH349">
        <f t="shared" si="159"/>
        <v>85</v>
      </c>
      <c r="AI349">
        <f t="shared" si="160"/>
        <v>134</v>
      </c>
      <c r="AJ349">
        <f t="shared" si="161"/>
        <v>122</v>
      </c>
      <c r="AK349">
        <f t="shared" si="162"/>
        <v>90</v>
      </c>
      <c r="AL349">
        <f t="shared" si="163"/>
        <v>81</v>
      </c>
      <c r="AM349">
        <f t="shared" si="164"/>
        <v>67</v>
      </c>
      <c r="AN349">
        <f t="shared" si="165"/>
        <v>123</v>
      </c>
      <c r="AO349">
        <f t="shared" si="166"/>
        <v>112</v>
      </c>
      <c r="AP349">
        <f t="shared" si="167"/>
        <v>80</v>
      </c>
      <c r="AQ349">
        <f t="shared" si="168"/>
        <v>72</v>
      </c>
      <c r="AR349">
        <f t="shared" si="169"/>
        <v>58</v>
      </c>
      <c r="AS349">
        <f t="shared" si="170"/>
        <v>123</v>
      </c>
      <c r="AT349">
        <f t="shared" si="171"/>
        <v>112</v>
      </c>
      <c r="AU349">
        <f t="shared" si="172"/>
        <v>80</v>
      </c>
      <c r="AV349">
        <f t="shared" si="173"/>
        <v>72</v>
      </c>
      <c r="AW349">
        <f t="shared" si="174"/>
        <v>58</v>
      </c>
      <c r="AX349">
        <f t="shared" si="175"/>
        <v>134</v>
      </c>
      <c r="AY349">
        <f t="shared" si="176"/>
        <v>122</v>
      </c>
      <c r="AZ349">
        <f t="shared" si="177"/>
        <v>90</v>
      </c>
      <c r="BA349">
        <f t="shared" si="178"/>
        <v>81</v>
      </c>
      <c r="BB349">
        <f t="shared" si="179"/>
        <v>67</v>
      </c>
    </row>
    <row r="350" spans="1:54" x14ac:dyDescent="0.15">
      <c r="B350" t="s">
        <v>1295</v>
      </c>
      <c r="C350">
        <v>263</v>
      </c>
      <c r="D350">
        <v>0</v>
      </c>
      <c r="E350" t="s">
        <v>1296</v>
      </c>
      <c r="G350" t="s">
        <v>1296</v>
      </c>
      <c r="J350" t="s">
        <v>1297</v>
      </c>
      <c r="K350">
        <v>17.5</v>
      </c>
      <c r="L350">
        <v>0.4</v>
      </c>
      <c r="M350" t="s">
        <v>120</v>
      </c>
      <c r="O350" t="s">
        <v>321</v>
      </c>
      <c r="P350" t="s">
        <v>141</v>
      </c>
      <c r="Q350" t="s">
        <v>770</v>
      </c>
      <c r="R350">
        <v>8</v>
      </c>
      <c r="S350">
        <v>38</v>
      </c>
      <c r="T350">
        <v>30</v>
      </c>
      <c r="U350">
        <v>41</v>
      </c>
      <c r="V350">
        <v>30</v>
      </c>
      <c r="W350">
        <v>41</v>
      </c>
      <c r="X350">
        <v>60</v>
      </c>
      <c r="Y350">
        <f t="shared" si="150"/>
        <v>145</v>
      </c>
      <c r="Z350">
        <f t="shared" si="151"/>
        <v>145</v>
      </c>
      <c r="AA350">
        <f t="shared" si="152"/>
        <v>113</v>
      </c>
      <c r="AB350">
        <f t="shared" si="153"/>
        <v>113</v>
      </c>
      <c r="AC350">
        <f t="shared" si="154"/>
        <v>98</v>
      </c>
      <c r="AD350">
        <f t="shared" si="155"/>
        <v>90</v>
      </c>
      <c r="AE350">
        <f t="shared" si="156"/>
        <v>82</v>
      </c>
      <c r="AF350">
        <f t="shared" si="157"/>
        <v>50</v>
      </c>
      <c r="AG350">
        <f t="shared" si="158"/>
        <v>45</v>
      </c>
      <c r="AH350">
        <f t="shared" si="159"/>
        <v>31</v>
      </c>
      <c r="AI350">
        <f t="shared" si="160"/>
        <v>102</v>
      </c>
      <c r="AJ350">
        <f t="shared" si="161"/>
        <v>93</v>
      </c>
      <c r="AK350">
        <f t="shared" si="162"/>
        <v>61</v>
      </c>
      <c r="AL350">
        <f t="shared" si="163"/>
        <v>54</v>
      </c>
      <c r="AM350">
        <f t="shared" si="164"/>
        <v>41</v>
      </c>
      <c r="AN350">
        <f t="shared" si="165"/>
        <v>90</v>
      </c>
      <c r="AO350">
        <f t="shared" si="166"/>
        <v>82</v>
      </c>
      <c r="AP350">
        <f t="shared" si="167"/>
        <v>50</v>
      </c>
      <c r="AQ350">
        <f t="shared" si="168"/>
        <v>45</v>
      </c>
      <c r="AR350">
        <f t="shared" si="169"/>
        <v>31</v>
      </c>
      <c r="AS350">
        <f t="shared" si="170"/>
        <v>102</v>
      </c>
      <c r="AT350">
        <f t="shared" si="171"/>
        <v>93</v>
      </c>
      <c r="AU350">
        <f t="shared" si="172"/>
        <v>61</v>
      </c>
      <c r="AV350">
        <f t="shared" si="173"/>
        <v>54</v>
      </c>
      <c r="AW350">
        <f t="shared" si="174"/>
        <v>41</v>
      </c>
      <c r="AX350">
        <f t="shared" si="175"/>
        <v>123</v>
      </c>
      <c r="AY350">
        <f t="shared" si="176"/>
        <v>112</v>
      </c>
      <c r="AZ350">
        <f t="shared" si="177"/>
        <v>80</v>
      </c>
      <c r="BA350">
        <f t="shared" si="178"/>
        <v>72</v>
      </c>
      <c r="BB350">
        <f t="shared" si="179"/>
        <v>58</v>
      </c>
    </row>
    <row r="351" spans="1:54" x14ac:dyDescent="0.15">
      <c r="B351" t="s">
        <v>1298</v>
      </c>
      <c r="C351">
        <v>263</v>
      </c>
      <c r="D351">
        <v>1</v>
      </c>
      <c r="E351" t="s">
        <v>1296</v>
      </c>
      <c r="F351" t="s">
        <v>327</v>
      </c>
      <c r="G351" t="s">
        <v>1299</v>
      </c>
      <c r="J351" t="s">
        <v>1297</v>
      </c>
      <c r="K351">
        <v>17.5</v>
      </c>
      <c r="L351">
        <v>0.4</v>
      </c>
      <c r="M351" t="s">
        <v>140</v>
      </c>
      <c r="N351" t="s">
        <v>120</v>
      </c>
      <c r="O351" t="s">
        <v>321</v>
      </c>
      <c r="P351" t="s">
        <v>141</v>
      </c>
      <c r="Q351" t="s">
        <v>770</v>
      </c>
      <c r="R351">
        <v>8</v>
      </c>
      <c r="S351">
        <v>38</v>
      </c>
      <c r="T351">
        <v>30</v>
      </c>
      <c r="U351">
        <v>41</v>
      </c>
      <c r="V351">
        <v>30</v>
      </c>
      <c r="W351">
        <v>41</v>
      </c>
      <c r="X351">
        <v>60</v>
      </c>
      <c r="Y351">
        <f t="shared" si="150"/>
        <v>145</v>
      </c>
      <c r="Z351">
        <f t="shared" si="151"/>
        <v>145</v>
      </c>
      <c r="AA351">
        <f t="shared" si="152"/>
        <v>113</v>
      </c>
      <c r="AB351">
        <f t="shared" si="153"/>
        <v>113</v>
      </c>
      <c r="AC351">
        <f t="shared" si="154"/>
        <v>98</v>
      </c>
      <c r="AD351">
        <f t="shared" si="155"/>
        <v>90</v>
      </c>
      <c r="AE351">
        <f t="shared" si="156"/>
        <v>82</v>
      </c>
      <c r="AF351">
        <f t="shared" si="157"/>
        <v>50</v>
      </c>
      <c r="AG351">
        <f t="shared" si="158"/>
        <v>45</v>
      </c>
      <c r="AH351">
        <f t="shared" si="159"/>
        <v>31</v>
      </c>
      <c r="AI351">
        <f t="shared" si="160"/>
        <v>102</v>
      </c>
      <c r="AJ351">
        <f t="shared" si="161"/>
        <v>93</v>
      </c>
      <c r="AK351">
        <f t="shared" si="162"/>
        <v>61</v>
      </c>
      <c r="AL351">
        <f t="shared" si="163"/>
        <v>54</v>
      </c>
      <c r="AM351">
        <f t="shared" si="164"/>
        <v>41</v>
      </c>
      <c r="AN351">
        <f t="shared" si="165"/>
        <v>90</v>
      </c>
      <c r="AO351">
        <f t="shared" si="166"/>
        <v>82</v>
      </c>
      <c r="AP351">
        <f t="shared" si="167"/>
        <v>50</v>
      </c>
      <c r="AQ351">
        <f t="shared" si="168"/>
        <v>45</v>
      </c>
      <c r="AR351">
        <f t="shared" si="169"/>
        <v>31</v>
      </c>
      <c r="AS351">
        <f t="shared" si="170"/>
        <v>102</v>
      </c>
      <c r="AT351">
        <f t="shared" si="171"/>
        <v>93</v>
      </c>
      <c r="AU351">
        <f t="shared" si="172"/>
        <v>61</v>
      </c>
      <c r="AV351">
        <f t="shared" si="173"/>
        <v>54</v>
      </c>
      <c r="AW351">
        <f t="shared" si="174"/>
        <v>41</v>
      </c>
      <c r="AX351">
        <f t="shared" si="175"/>
        <v>123</v>
      </c>
      <c r="AY351">
        <f t="shared" si="176"/>
        <v>112</v>
      </c>
      <c r="AZ351">
        <f t="shared" si="177"/>
        <v>80</v>
      </c>
      <c r="BA351">
        <f t="shared" si="178"/>
        <v>72</v>
      </c>
      <c r="BB351">
        <f t="shared" si="179"/>
        <v>58</v>
      </c>
    </row>
    <row r="352" spans="1:54" x14ac:dyDescent="0.15">
      <c r="B352" t="s">
        <v>1300</v>
      </c>
      <c r="C352">
        <v>264</v>
      </c>
      <c r="D352">
        <v>0</v>
      </c>
      <c r="E352" t="s">
        <v>1301</v>
      </c>
      <c r="G352" t="s">
        <v>1301</v>
      </c>
      <c r="J352" t="s">
        <v>1302</v>
      </c>
      <c r="K352">
        <v>32.5</v>
      </c>
      <c r="L352">
        <v>0.5</v>
      </c>
      <c r="M352" t="s">
        <v>120</v>
      </c>
      <c r="O352" t="s">
        <v>321</v>
      </c>
      <c r="P352" t="s">
        <v>141</v>
      </c>
      <c r="Q352" t="s">
        <v>770</v>
      </c>
      <c r="R352">
        <v>8</v>
      </c>
      <c r="S352">
        <v>78</v>
      </c>
      <c r="T352">
        <v>70</v>
      </c>
      <c r="U352">
        <v>61</v>
      </c>
      <c r="V352">
        <v>50</v>
      </c>
      <c r="W352">
        <v>61</v>
      </c>
      <c r="X352">
        <v>100</v>
      </c>
      <c r="Y352">
        <f t="shared" si="150"/>
        <v>185</v>
      </c>
      <c r="Z352">
        <f t="shared" si="151"/>
        <v>185</v>
      </c>
      <c r="AA352">
        <f t="shared" si="152"/>
        <v>153</v>
      </c>
      <c r="AB352">
        <f t="shared" si="153"/>
        <v>153</v>
      </c>
      <c r="AC352">
        <f t="shared" si="154"/>
        <v>138</v>
      </c>
      <c r="AD352">
        <f t="shared" si="155"/>
        <v>134</v>
      </c>
      <c r="AE352">
        <f t="shared" si="156"/>
        <v>122</v>
      </c>
      <c r="AF352">
        <f t="shared" si="157"/>
        <v>90</v>
      </c>
      <c r="AG352">
        <f t="shared" si="158"/>
        <v>81</v>
      </c>
      <c r="AH352">
        <f t="shared" si="159"/>
        <v>67</v>
      </c>
      <c r="AI352">
        <f t="shared" si="160"/>
        <v>124</v>
      </c>
      <c r="AJ352">
        <f t="shared" si="161"/>
        <v>113</v>
      </c>
      <c r="AK352">
        <f t="shared" si="162"/>
        <v>81</v>
      </c>
      <c r="AL352">
        <f t="shared" si="163"/>
        <v>72</v>
      </c>
      <c r="AM352">
        <f t="shared" si="164"/>
        <v>59</v>
      </c>
      <c r="AN352">
        <f t="shared" si="165"/>
        <v>112</v>
      </c>
      <c r="AO352">
        <f t="shared" si="166"/>
        <v>102</v>
      </c>
      <c r="AP352">
        <f t="shared" si="167"/>
        <v>70</v>
      </c>
      <c r="AQ352">
        <f t="shared" si="168"/>
        <v>63</v>
      </c>
      <c r="AR352">
        <f t="shared" si="169"/>
        <v>49</v>
      </c>
      <c r="AS352">
        <f t="shared" si="170"/>
        <v>124</v>
      </c>
      <c r="AT352">
        <f t="shared" si="171"/>
        <v>113</v>
      </c>
      <c r="AU352">
        <f t="shared" si="172"/>
        <v>81</v>
      </c>
      <c r="AV352">
        <f t="shared" si="173"/>
        <v>72</v>
      </c>
      <c r="AW352">
        <f t="shared" si="174"/>
        <v>59</v>
      </c>
      <c r="AX352">
        <f t="shared" si="175"/>
        <v>167</v>
      </c>
      <c r="AY352">
        <f t="shared" si="176"/>
        <v>152</v>
      </c>
      <c r="AZ352">
        <f t="shared" si="177"/>
        <v>120</v>
      </c>
      <c r="BA352">
        <f t="shared" si="178"/>
        <v>108</v>
      </c>
      <c r="BB352">
        <f t="shared" si="179"/>
        <v>94</v>
      </c>
    </row>
    <row r="353" spans="1:54" x14ac:dyDescent="0.15">
      <c r="B353" t="s">
        <v>1303</v>
      </c>
      <c r="C353">
        <v>264</v>
      </c>
      <c r="D353">
        <v>1</v>
      </c>
      <c r="E353" t="s">
        <v>1301</v>
      </c>
      <c r="F353" t="s">
        <v>327</v>
      </c>
      <c r="G353" t="s">
        <v>1304</v>
      </c>
      <c r="J353" t="s">
        <v>1302</v>
      </c>
      <c r="K353">
        <v>32.5</v>
      </c>
      <c r="L353">
        <v>0.5</v>
      </c>
      <c r="M353" t="s">
        <v>140</v>
      </c>
      <c r="N353" t="s">
        <v>120</v>
      </c>
      <c r="O353" t="s">
        <v>321</v>
      </c>
      <c r="P353" t="s">
        <v>141</v>
      </c>
      <c r="Q353" t="s">
        <v>770</v>
      </c>
      <c r="R353">
        <v>8</v>
      </c>
      <c r="S353">
        <v>78</v>
      </c>
      <c r="T353">
        <v>70</v>
      </c>
      <c r="U353">
        <v>61</v>
      </c>
      <c r="V353">
        <v>50</v>
      </c>
      <c r="W353">
        <v>61</v>
      </c>
      <c r="X353">
        <v>100</v>
      </c>
      <c r="Y353">
        <f t="shared" si="150"/>
        <v>185</v>
      </c>
      <c r="Z353">
        <f t="shared" si="151"/>
        <v>185</v>
      </c>
      <c r="AA353">
        <f t="shared" si="152"/>
        <v>153</v>
      </c>
      <c r="AB353">
        <f t="shared" si="153"/>
        <v>153</v>
      </c>
      <c r="AC353">
        <f t="shared" si="154"/>
        <v>138</v>
      </c>
      <c r="AD353">
        <f t="shared" si="155"/>
        <v>134</v>
      </c>
      <c r="AE353">
        <f t="shared" si="156"/>
        <v>122</v>
      </c>
      <c r="AF353">
        <f t="shared" si="157"/>
        <v>90</v>
      </c>
      <c r="AG353">
        <f t="shared" si="158"/>
        <v>81</v>
      </c>
      <c r="AH353">
        <f t="shared" si="159"/>
        <v>67</v>
      </c>
      <c r="AI353">
        <f t="shared" si="160"/>
        <v>124</v>
      </c>
      <c r="AJ353">
        <f t="shared" si="161"/>
        <v>113</v>
      </c>
      <c r="AK353">
        <f t="shared" si="162"/>
        <v>81</v>
      </c>
      <c r="AL353">
        <f t="shared" si="163"/>
        <v>72</v>
      </c>
      <c r="AM353">
        <f t="shared" si="164"/>
        <v>59</v>
      </c>
      <c r="AN353">
        <f t="shared" si="165"/>
        <v>112</v>
      </c>
      <c r="AO353">
        <f t="shared" si="166"/>
        <v>102</v>
      </c>
      <c r="AP353">
        <f t="shared" si="167"/>
        <v>70</v>
      </c>
      <c r="AQ353">
        <f t="shared" si="168"/>
        <v>63</v>
      </c>
      <c r="AR353">
        <f t="shared" si="169"/>
        <v>49</v>
      </c>
      <c r="AS353">
        <f t="shared" si="170"/>
        <v>124</v>
      </c>
      <c r="AT353">
        <f t="shared" si="171"/>
        <v>113</v>
      </c>
      <c r="AU353">
        <f t="shared" si="172"/>
        <v>81</v>
      </c>
      <c r="AV353">
        <f t="shared" si="173"/>
        <v>72</v>
      </c>
      <c r="AW353">
        <f t="shared" si="174"/>
        <v>59</v>
      </c>
      <c r="AX353">
        <f t="shared" si="175"/>
        <v>167</v>
      </c>
      <c r="AY353">
        <f t="shared" si="176"/>
        <v>152</v>
      </c>
      <c r="AZ353">
        <f t="shared" si="177"/>
        <v>120</v>
      </c>
      <c r="BA353">
        <f t="shared" si="178"/>
        <v>108</v>
      </c>
      <c r="BB353">
        <f t="shared" si="179"/>
        <v>94</v>
      </c>
    </row>
    <row r="354" spans="1:54" x14ac:dyDescent="0.15">
      <c r="B354" t="s">
        <v>1305</v>
      </c>
      <c r="C354">
        <v>265</v>
      </c>
      <c r="D354">
        <v>0</v>
      </c>
      <c r="E354" t="s">
        <v>1306</v>
      </c>
      <c r="G354" t="s">
        <v>1306</v>
      </c>
      <c r="J354" t="s">
        <v>89</v>
      </c>
      <c r="K354">
        <v>3.6</v>
      </c>
      <c r="L354">
        <v>0.3</v>
      </c>
      <c r="M354" t="s">
        <v>90</v>
      </c>
      <c r="O354" t="s">
        <v>91</v>
      </c>
      <c r="P354" t="s">
        <v>92</v>
      </c>
      <c r="R354">
        <v>8</v>
      </c>
      <c r="S354">
        <v>45</v>
      </c>
      <c r="T354">
        <v>45</v>
      </c>
      <c r="U354">
        <v>35</v>
      </c>
      <c r="V354">
        <v>20</v>
      </c>
      <c r="W354">
        <v>30</v>
      </c>
      <c r="X354">
        <v>20</v>
      </c>
      <c r="Y354">
        <f t="shared" si="150"/>
        <v>152</v>
      </c>
      <c r="Z354">
        <f t="shared" si="151"/>
        <v>152</v>
      </c>
      <c r="AA354">
        <f t="shared" si="152"/>
        <v>120</v>
      </c>
      <c r="AB354">
        <f t="shared" si="153"/>
        <v>120</v>
      </c>
      <c r="AC354">
        <f t="shared" si="154"/>
        <v>105</v>
      </c>
      <c r="AD354">
        <f t="shared" si="155"/>
        <v>106</v>
      </c>
      <c r="AE354">
        <f t="shared" si="156"/>
        <v>97</v>
      </c>
      <c r="AF354">
        <f t="shared" si="157"/>
        <v>65</v>
      </c>
      <c r="AG354">
        <f t="shared" si="158"/>
        <v>58</v>
      </c>
      <c r="AH354">
        <f t="shared" si="159"/>
        <v>45</v>
      </c>
      <c r="AI354">
        <f t="shared" si="160"/>
        <v>95</v>
      </c>
      <c r="AJ354">
        <f t="shared" si="161"/>
        <v>87</v>
      </c>
      <c r="AK354">
        <f t="shared" si="162"/>
        <v>55</v>
      </c>
      <c r="AL354">
        <f t="shared" si="163"/>
        <v>49</v>
      </c>
      <c r="AM354">
        <f t="shared" si="164"/>
        <v>36</v>
      </c>
      <c r="AN354">
        <f t="shared" si="165"/>
        <v>79</v>
      </c>
      <c r="AO354">
        <f t="shared" si="166"/>
        <v>72</v>
      </c>
      <c r="AP354">
        <f t="shared" si="167"/>
        <v>40</v>
      </c>
      <c r="AQ354">
        <f t="shared" si="168"/>
        <v>36</v>
      </c>
      <c r="AR354">
        <f t="shared" si="169"/>
        <v>22</v>
      </c>
      <c r="AS354">
        <f t="shared" si="170"/>
        <v>90</v>
      </c>
      <c r="AT354">
        <f t="shared" si="171"/>
        <v>82</v>
      </c>
      <c r="AU354">
        <f t="shared" si="172"/>
        <v>50</v>
      </c>
      <c r="AV354">
        <f t="shared" si="173"/>
        <v>45</v>
      </c>
      <c r="AW354">
        <f t="shared" si="174"/>
        <v>31</v>
      </c>
      <c r="AX354">
        <f t="shared" si="175"/>
        <v>79</v>
      </c>
      <c r="AY354">
        <f t="shared" si="176"/>
        <v>72</v>
      </c>
      <c r="AZ354">
        <f t="shared" si="177"/>
        <v>40</v>
      </c>
      <c r="BA354">
        <f t="shared" si="178"/>
        <v>36</v>
      </c>
      <c r="BB354">
        <f t="shared" si="179"/>
        <v>22</v>
      </c>
    </row>
    <row r="355" spans="1:54" x14ac:dyDescent="0.15">
      <c r="B355" t="s">
        <v>1307</v>
      </c>
      <c r="C355">
        <v>266</v>
      </c>
      <c r="D355">
        <v>0</v>
      </c>
      <c r="E355" t="s">
        <v>1308</v>
      </c>
      <c r="G355" t="s">
        <v>1308</v>
      </c>
      <c r="J355" t="s">
        <v>95</v>
      </c>
      <c r="K355">
        <v>10</v>
      </c>
      <c r="L355">
        <v>0.6</v>
      </c>
      <c r="M355" t="s">
        <v>90</v>
      </c>
      <c r="O355" t="s">
        <v>96</v>
      </c>
      <c r="R355">
        <v>8</v>
      </c>
      <c r="S355">
        <v>50</v>
      </c>
      <c r="T355">
        <v>35</v>
      </c>
      <c r="U355">
        <v>55</v>
      </c>
      <c r="V355">
        <v>25</v>
      </c>
      <c r="W355">
        <v>25</v>
      </c>
      <c r="X355">
        <v>15</v>
      </c>
      <c r="Y355">
        <f t="shared" si="150"/>
        <v>157</v>
      </c>
      <c r="Z355">
        <f t="shared" si="151"/>
        <v>157</v>
      </c>
      <c r="AA355">
        <f t="shared" si="152"/>
        <v>125</v>
      </c>
      <c r="AB355">
        <f t="shared" si="153"/>
        <v>125</v>
      </c>
      <c r="AC355">
        <f t="shared" si="154"/>
        <v>110</v>
      </c>
      <c r="AD355">
        <f t="shared" si="155"/>
        <v>95</v>
      </c>
      <c r="AE355">
        <f t="shared" si="156"/>
        <v>87</v>
      </c>
      <c r="AF355">
        <f t="shared" si="157"/>
        <v>55</v>
      </c>
      <c r="AG355">
        <f t="shared" si="158"/>
        <v>49</v>
      </c>
      <c r="AH355">
        <f t="shared" si="159"/>
        <v>36</v>
      </c>
      <c r="AI355">
        <f t="shared" si="160"/>
        <v>117</v>
      </c>
      <c r="AJ355">
        <f t="shared" si="161"/>
        <v>107</v>
      </c>
      <c r="AK355">
        <f t="shared" si="162"/>
        <v>75</v>
      </c>
      <c r="AL355">
        <f t="shared" si="163"/>
        <v>67</v>
      </c>
      <c r="AM355">
        <f t="shared" si="164"/>
        <v>54</v>
      </c>
      <c r="AN355">
        <f t="shared" si="165"/>
        <v>84</v>
      </c>
      <c r="AO355">
        <f t="shared" si="166"/>
        <v>77</v>
      </c>
      <c r="AP355">
        <f t="shared" si="167"/>
        <v>45</v>
      </c>
      <c r="AQ355">
        <f t="shared" si="168"/>
        <v>40</v>
      </c>
      <c r="AR355">
        <f t="shared" si="169"/>
        <v>27</v>
      </c>
      <c r="AS355">
        <f t="shared" si="170"/>
        <v>84</v>
      </c>
      <c r="AT355">
        <f t="shared" si="171"/>
        <v>77</v>
      </c>
      <c r="AU355">
        <f t="shared" si="172"/>
        <v>45</v>
      </c>
      <c r="AV355">
        <f t="shared" si="173"/>
        <v>40</v>
      </c>
      <c r="AW355">
        <f t="shared" si="174"/>
        <v>27</v>
      </c>
      <c r="AX355">
        <f t="shared" si="175"/>
        <v>73</v>
      </c>
      <c r="AY355">
        <f t="shared" si="176"/>
        <v>67</v>
      </c>
      <c r="AZ355">
        <f t="shared" si="177"/>
        <v>35</v>
      </c>
      <c r="BA355">
        <f t="shared" si="178"/>
        <v>31</v>
      </c>
      <c r="BB355">
        <f t="shared" si="179"/>
        <v>18</v>
      </c>
    </row>
    <row r="356" spans="1:54" x14ac:dyDescent="0.15">
      <c r="B356" t="s">
        <v>1309</v>
      </c>
      <c r="C356">
        <v>267</v>
      </c>
      <c r="D356">
        <v>0</v>
      </c>
      <c r="E356" t="s">
        <v>1310</v>
      </c>
      <c r="G356" t="s">
        <v>1310</v>
      </c>
      <c r="J356" t="s">
        <v>99</v>
      </c>
      <c r="K356">
        <v>28.4</v>
      </c>
      <c r="L356">
        <v>1</v>
      </c>
      <c r="M356" t="s">
        <v>90</v>
      </c>
      <c r="N356" t="s">
        <v>57</v>
      </c>
      <c r="O356" t="s">
        <v>112</v>
      </c>
      <c r="P356" t="s">
        <v>216</v>
      </c>
      <c r="R356">
        <v>8</v>
      </c>
      <c r="S356">
        <v>60</v>
      </c>
      <c r="T356">
        <v>70</v>
      </c>
      <c r="U356">
        <v>50</v>
      </c>
      <c r="V356">
        <v>100</v>
      </c>
      <c r="W356">
        <v>50</v>
      </c>
      <c r="X356">
        <v>65</v>
      </c>
      <c r="Y356">
        <f t="shared" si="150"/>
        <v>167</v>
      </c>
      <c r="Z356">
        <f t="shared" si="151"/>
        <v>167</v>
      </c>
      <c r="AA356">
        <f t="shared" si="152"/>
        <v>135</v>
      </c>
      <c r="AB356">
        <f t="shared" si="153"/>
        <v>135</v>
      </c>
      <c r="AC356">
        <f t="shared" si="154"/>
        <v>120</v>
      </c>
      <c r="AD356">
        <f t="shared" si="155"/>
        <v>134</v>
      </c>
      <c r="AE356">
        <f t="shared" si="156"/>
        <v>122</v>
      </c>
      <c r="AF356">
        <f t="shared" si="157"/>
        <v>90</v>
      </c>
      <c r="AG356">
        <f t="shared" si="158"/>
        <v>81</v>
      </c>
      <c r="AH356">
        <f t="shared" si="159"/>
        <v>67</v>
      </c>
      <c r="AI356">
        <f t="shared" si="160"/>
        <v>112</v>
      </c>
      <c r="AJ356">
        <f t="shared" si="161"/>
        <v>102</v>
      </c>
      <c r="AK356">
        <f t="shared" si="162"/>
        <v>70</v>
      </c>
      <c r="AL356">
        <f t="shared" si="163"/>
        <v>63</v>
      </c>
      <c r="AM356">
        <f t="shared" si="164"/>
        <v>49</v>
      </c>
      <c r="AN356">
        <f t="shared" si="165"/>
        <v>167</v>
      </c>
      <c r="AO356">
        <f t="shared" si="166"/>
        <v>152</v>
      </c>
      <c r="AP356">
        <f t="shared" si="167"/>
        <v>120</v>
      </c>
      <c r="AQ356">
        <f t="shared" si="168"/>
        <v>108</v>
      </c>
      <c r="AR356">
        <f t="shared" si="169"/>
        <v>94</v>
      </c>
      <c r="AS356">
        <f t="shared" si="170"/>
        <v>112</v>
      </c>
      <c r="AT356">
        <f t="shared" si="171"/>
        <v>102</v>
      </c>
      <c r="AU356">
        <f t="shared" si="172"/>
        <v>70</v>
      </c>
      <c r="AV356">
        <f t="shared" si="173"/>
        <v>63</v>
      </c>
      <c r="AW356">
        <f t="shared" si="174"/>
        <v>49</v>
      </c>
      <c r="AX356">
        <f t="shared" si="175"/>
        <v>128</v>
      </c>
      <c r="AY356">
        <f t="shared" si="176"/>
        <v>117</v>
      </c>
      <c r="AZ356">
        <f t="shared" si="177"/>
        <v>85</v>
      </c>
      <c r="BA356">
        <f t="shared" si="178"/>
        <v>76</v>
      </c>
      <c r="BB356">
        <f t="shared" si="179"/>
        <v>63</v>
      </c>
    </row>
    <row r="357" spans="1:54" x14ac:dyDescent="0.15">
      <c r="B357" t="s">
        <v>1311</v>
      </c>
      <c r="C357">
        <v>268</v>
      </c>
      <c r="D357">
        <v>0</v>
      </c>
      <c r="E357" t="s">
        <v>1312</v>
      </c>
      <c r="G357" t="s">
        <v>1312</v>
      </c>
      <c r="J357" t="s">
        <v>95</v>
      </c>
      <c r="K357">
        <v>11.5</v>
      </c>
      <c r="L357">
        <v>0.7</v>
      </c>
      <c r="M357" t="s">
        <v>90</v>
      </c>
      <c r="O357" t="s">
        <v>96</v>
      </c>
      <c r="R357">
        <v>8</v>
      </c>
      <c r="S357">
        <v>50</v>
      </c>
      <c r="T357">
        <v>35</v>
      </c>
      <c r="U357">
        <v>55</v>
      </c>
      <c r="V357">
        <v>25</v>
      </c>
      <c r="W357">
        <v>25</v>
      </c>
      <c r="X357">
        <v>15</v>
      </c>
      <c r="Y357">
        <f t="shared" si="150"/>
        <v>157</v>
      </c>
      <c r="Z357">
        <f t="shared" si="151"/>
        <v>157</v>
      </c>
      <c r="AA357">
        <f t="shared" si="152"/>
        <v>125</v>
      </c>
      <c r="AB357">
        <f t="shared" si="153"/>
        <v>125</v>
      </c>
      <c r="AC357">
        <f t="shared" si="154"/>
        <v>110</v>
      </c>
      <c r="AD357">
        <f t="shared" si="155"/>
        <v>95</v>
      </c>
      <c r="AE357">
        <f t="shared" si="156"/>
        <v>87</v>
      </c>
      <c r="AF357">
        <f t="shared" si="157"/>
        <v>55</v>
      </c>
      <c r="AG357">
        <f t="shared" si="158"/>
        <v>49</v>
      </c>
      <c r="AH357">
        <f t="shared" si="159"/>
        <v>36</v>
      </c>
      <c r="AI357">
        <f t="shared" si="160"/>
        <v>117</v>
      </c>
      <c r="AJ357">
        <f t="shared" si="161"/>
        <v>107</v>
      </c>
      <c r="AK357">
        <f t="shared" si="162"/>
        <v>75</v>
      </c>
      <c r="AL357">
        <f t="shared" si="163"/>
        <v>67</v>
      </c>
      <c r="AM357">
        <f t="shared" si="164"/>
        <v>54</v>
      </c>
      <c r="AN357">
        <f t="shared" si="165"/>
        <v>84</v>
      </c>
      <c r="AO357">
        <f t="shared" si="166"/>
        <v>77</v>
      </c>
      <c r="AP357">
        <f t="shared" si="167"/>
        <v>45</v>
      </c>
      <c r="AQ357">
        <f t="shared" si="168"/>
        <v>40</v>
      </c>
      <c r="AR357">
        <f t="shared" si="169"/>
        <v>27</v>
      </c>
      <c r="AS357">
        <f t="shared" si="170"/>
        <v>84</v>
      </c>
      <c r="AT357">
        <f t="shared" si="171"/>
        <v>77</v>
      </c>
      <c r="AU357">
        <f t="shared" si="172"/>
        <v>45</v>
      </c>
      <c r="AV357">
        <f t="shared" si="173"/>
        <v>40</v>
      </c>
      <c r="AW357">
        <f t="shared" si="174"/>
        <v>27</v>
      </c>
      <c r="AX357">
        <f t="shared" si="175"/>
        <v>73</v>
      </c>
      <c r="AY357">
        <f t="shared" si="176"/>
        <v>67</v>
      </c>
      <c r="AZ357">
        <f t="shared" si="177"/>
        <v>35</v>
      </c>
      <c r="BA357">
        <f t="shared" si="178"/>
        <v>31</v>
      </c>
      <c r="BB357">
        <f t="shared" si="179"/>
        <v>18</v>
      </c>
    </row>
    <row r="358" spans="1:54" x14ac:dyDescent="0.15">
      <c r="B358" t="s">
        <v>1313</v>
      </c>
      <c r="C358">
        <v>269</v>
      </c>
      <c r="D358">
        <v>0</v>
      </c>
      <c r="E358" t="s">
        <v>1314</v>
      </c>
      <c r="G358" t="s">
        <v>1314</v>
      </c>
      <c r="J358" t="s">
        <v>299</v>
      </c>
      <c r="K358">
        <v>31.6</v>
      </c>
      <c r="L358">
        <v>1.2</v>
      </c>
      <c r="M358" t="s">
        <v>90</v>
      </c>
      <c r="N358" t="s">
        <v>27</v>
      </c>
      <c r="O358" t="s">
        <v>91</v>
      </c>
      <c r="P358" t="s">
        <v>100</v>
      </c>
      <c r="R358">
        <v>8</v>
      </c>
      <c r="S358">
        <v>60</v>
      </c>
      <c r="T358">
        <v>50</v>
      </c>
      <c r="U358">
        <v>70</v>
      </c>
      <c r="V358">
        <v>50</v>
      </c>
      <c r="W358">
        <v>90</v>
      </c>
      <c r="X358">
        <v>65</v>
      </c>
      <c r="Y358">
        <f t="shared" si="150"/>
        <v>167</v>
      </c>
      <c r="Z358">
        <f t="shared" si="151"/>
        <v>167</v>
      </c>
      <c r="AA358">
        <f t="shared" si="152"/>
        <v>135</v>
      </c>
      <c r="AB358">
        <f t="shared" si="153"/>
        <v>135</v>
      </c>
      <c r="AC358">
        <f t="shared" si="154"/>
        <v>120</v>
      </c>
      <c r="AD358">
        <f t="shared" si="155"/>
        <v>112</v>
      </c>
      <c r="AE358">
        <f t="shared" si="156"/>
        <v>102</v>
      </c>
      <c r="AF358">
        <f t="shared" si="157"/>
        <v>70</v>
      </c>
      <c r="AG358">
        <f t="shared" si="158"/>
        <v>63</v>
      </c>
      <c r="AH358">
        <f t="shared" si="159"/>
        <v>49</v>
      </c>
      <c r="AI358">
        <f t="shared" si="160"/>
        <v>134</v>
      </c>
      <c r="AJ358">
        <f t="shared" si="161"/>
        <v>122</v>
      </c>
      <c r="AK358">
        <f t="shared" si="162"/>
        <v>90</v>
      </c>
      <c r="AL358">
        <f t="shared" si="163"/>
        <v>81</v>
      </c>
      <c r="AM358">
        <f t="shared" si="164"/>
        <v>67</v>
      </c>
      <c r="AN358">
        <f t="shared" si="165"/>
        <v>112</v>
      </c>
      <c r="AO358">
        <f t="shared" si="166"/>
        <v>102</v>
      </c>
      <c r="AP358">
        <f t="shared" si="167"/>
        <v>70</v>
      </c>
      <c r="AQ358">
        <f t="shared" si="168"/>
        <v>63</v>
      </c>
      <c r="AR358">
        <f t="shared" si="169"/>
        <v>49</v>
      </c>
      <c r="AS358">
        <f t="shared" si="170"/>
        <v>156</v>
      </c>
      <c r="AT358">
        <f t="shared" si="171"/>
        <v>142</v>
      </c>
      <c r="AU358">
        <f t="shared" si="172"/>
        <v>110</v>
      </c>
      <c r="AV358">
        <f t="shared" si="173"/>
        <v>99</v>
      </c>
      <c r="AW358">
        <f t="shared" si="174"/>
        <v>85</v>
      </c>
      <c r="AX358">
        <f t="shared" si="175"/>
        <v>128</v>
      </c>
      <c r="AY358">
        <f t="shared" si="176"/>
        <v>117</v>
      </c>
      <c r="AZ358">
        <f t="shared" si="177"/>
        <v>85</v>
      </c>
      <c r="BA358">
        <f t="shared" si="178"/>
        <v>76</v>
      </c>
      <c r="BB358">
        <f t="shared" si="179"/>
        <v>63</v>
      </c>
    </row>
    <row r="359" spans="1:54" x14ac:dyDescent="0.15">
      <c r="A359">
        <v>240</v>
      </c>
      <c r="B359" t="s">
        <v>1315</v>
      </c>
      <c r="C359">
        <v>270</v>
      </c>
      <c r="D359">
        <v>0</v>
      </c>
      <c r="E359" t="s">
        <v>1316</v>
      </c>
      <c r="G359" t="s">
        <v>1316</v>
      </c>
      <c r="H359" t="s">
        <v>1317</v>
      </c>
      <c r="J359" t="s">
        <v>1318</v>
      </c>
      <c r="K359">
        <v>2.6</v>
      </c>
      <c r="L359">
        <v>0.5</v>
      </c>
      <c r="M359" t="s">
        <v>71</v>
      </c>
      <c r="N359" t="s">
        <v>26</v>
      </c>
      <c r="O359" t="s">
        <v>346</v>
      </c>
      <c r="P359" t="s">
        <v>73</v>
      </c>
      <c r="Q359" t="s">
        <v>470</v>
      </c>
      <c r="R359">
        <v>9</v>
      </c>
      <c r="S359">
        <v>40</v>
      </c>
      <c r="T359">
        <v>30</v>
      </c>
      <c r="U359">
        <v>30</v>
      </c>
      <c r="V359">
        <v>40</v>
      </c>
      <c r="W359">
        <v>50</v>
      </c>
      <c r="X359">
        <v>30</v>
      </c>
      <c r="Y359">
        <f t="shared" si="150"/>
        <v>147</v>
      </c>
      <c r="Z359">
        <f t="shared" si="151"/>
        <v>147</v>
      </c>
      <c r="AA359">
        <f t="shared" si="152"/>
        <v>115</v>
      </c>
      <c r="AB359">
        <f t="shared" si="153"/>
        <v>115</v>
      </c>
      <c r="AC359">
        <f t="shared" si="154"/>
        <v>100</v>
      </c>
      <c r="AD359">
        <f t="shared" si="155"/>
        <v>90</v>
      </c>
      <c r="AE359">
        <f t="shared" si="156"/>
        <v>82</v>
      </c>
      <c r="AF359">
        <f t="shared" si="157"/>
        <v>50</v>
      </c>
      <c r="AG359">
        <f t="shared" si="158"/>
        <v>45</v>
      </c>
      <c r="AH359">
        <f t="shared" si="159"/>
        <v>31</v>
      </c>
      <c r="AI359">
        <f t="shared" si="160"/>
        <v>90</v>
      </c>
      <c r="AJ359">
        <f t="shared" si="161"/>
        <v>82</v>
      </c>
      <c r="AK359">
        <f t="shared" si="162"/>
        <v>50</v>
      </c>
      <c r="AL359">
        <f t="shared" si="163"/>
        <v>45</v>
      </c>
      <c r="AM359">
        <f t="shared" si="164"/>
        <v>31</v>
      </c>
      <c r="AN359">
        <f t="shared" si="165"/>
        <v>101</v>
      </c>
      <c r="AO359">
        <f t="shared" si="166"/>
        <v>92</v>
      </c>
      <c r="AP359">
        <f t="shared" si="167"/>
        <v>60</v>
      </c>
      <c r="AQ359">
        <f t="shared" si="168"/>
        <v>54</v>
      </c>
      <c r="AR359">
        <f t="shared" si="169"/>
        <v>40</v>
      </c>
      <c r="AS359">
        <f t="shared" si="170"/>
        <v>112</v>
      </c>
      <c r="AT359">
        <f t="shared" si="171"/>
        <v>102</v>
      </c>
      <c r="AU359">
        <f t="shared" si="172"/>
        <v>70</v>
      </c>
      <c r="AV359">
        <f t="shared" si="173"/>
        <v>63</v>
      </c>
      <c r="AW359">
        <f t="shared" si="174"/>
        <v>49</v>
      </c>
      <c r="AX359">
        <f t="shared" si="175"/>
        <v>90</v>
      </c>
      <c r="AY359">
        <f t="shared" si="176"/>
        <v>82</v>
      </c>
      <c r="AZ359">
        <f t="shared" si="177"/>
        <v>50</v>
      </c>
      <c r="BA359">
        <f t="shared" si="178"/>
        <v>45</v>
      </c>
      <c r="BB359">
        <f t="shared" si="179"/>
        <v>31</v>
      </c>
    </row>
    <row r="360" spans="1:54" x14ac:dyDescent="0.15">
      <c r="A360">
        <v>241</v>
      </c>
      <c r="B360" t="s">
        <v>1319</v>
      </c>
      <c r="C360">
        <v>271</v>
      </c>
      <c r="D360">
        <v>0</v>
      </c>
      <c r="E360" t="s">
        <v>1320</v>
      </c>
      <c r="G360" t="s">
        <v>1320</v>
      </c>
      <c r="H360" t="s">
        <v>1321</v>
      </c>
      <c r="J360" t="s">
        <v>1322</v>
      </c>
      <c r="K360">
        <v>32.5</v>
      </c>
      <c r="L360">
        <v>1.2</v>
      </c>
      <c r="M360" t="s">
        <v>71</v>
      </c>
      <c r="N360" t="s">
        <v>26</v>
      </c>
      <c r="O360" t="s">
        <v>346</v>
      </c>
      <c r="P360" t="s">
        <v>73</v>
      </c>
      <c r="Q360" t="s">
        <v>470</v>
      </c>
      <c r="R360">
        <v>9</v>
      </c>
      <c r="S360">
        <v>60</v>
      </c>
      <c r="T360">
        <v>50</v>
      </c>
      <c r="U360">
        <v>50</v>
      </c>
      <c r="V360">
        <v>60</v>
      </c>
      <c r="W360">
        <v>70</v>
      </c>
      <c r="X360">
        <v>50</v>
      </c>
      <c r="Y360">
        <f t="shared" si="150"/>
        <v>167</v>
      </c>
      <c r="Z360">
        <f t="shared" si="151"/>
        <v>167</v>
      </c>
      <c r="AA360">
        <f t="shared" si="152"/>
        <v>135</v>
      </c>
      <c r="AB360">
        <f t="shared" si="153"/>
        <v>135</v>
      </c>
      <c r="AC360">
        <f t="shared" si="154"/>
        <v>120</v>
      </c>
      <c r="AD360">
        <f t="shared" si="155"/>
        <v>112</v>
      </c>
      <c r="AE360">
        <f t="shared" si="156"/>
        <v>102</v>
      </c>
      <c r="AF360">
        <f t="shared" si="157"/>
        <v>70</v>
      </c>
      <c r="AG360">
        <f t="shared" si="158"/>
        <v>63</v>
      </c>
      <c r="AH360">
        <f t="shared" si="159"/>
        <v>49</v>
      </c>
      <c r="AI360">
        <f t="shared" si="160"/>
        <v>112</v>
      </c>
      <c r="AJ360">
        <f t="shared" si="161"/>
        <v>102</v>
      </c>
      <c r="AK360">
        <f t="shared" si="162"/>
        <v>70</v>
      </c>
      <c r="AL360">
        <f t="shared" si="163"/>
        <v>63</v>
      </c>
      <c r="AM360">
        <f t="shared" si="164"/>
        <v>49</v>
      </c>
      <c r="AN360">
        <f t="shared" si="165"/>
        <v>123</v>
      </c>
      <c r="AO360">
        <f t="shared" si="166"/>
        <v>112</v>
      </c>
      <c r="AP360">
        <f t="shared" si="167"/>
        <v>80</v>
      </c>
      <c r="AQ360">
        <f t="shared" si="168"/>
        <v>72</v>
      </c>
      <c r="AR360">
        <f t="shared" si="169"/>
        <v>58</v>
      </c>
      <c r="AS360">
        <f t="shared" si="170"/>
        <v>134</v>
      </c>
      <c r="AT360">
        <f t="shared" si="171"/>
        <v>122</v>
      </c>
      <c r="AU360">
        <f t="shared" si="172"/>
        <v>90</v>
      </c>
      <c r="AV360">
        <f t="shared" si="173"/>
        <v>81</v>
      </c>
      <c r="AW360">
        <f t="shared" si="174"/>
        <v>67</v>
      </c>
      <c r="AX360">
        <f t="shared" si="175"/>
        <v>112</v>
      </c>
      <c r="AY360">
        <f t="shared" si="176"/>
        <v>102</v>
      </c>
      <c r="AZ360">
        <f t="shared" si="177"/>
        <v>70</v>
      </c>
      <c r="BA360">
        <f t="shared" si="178"/>
        <v>63</v>
      </c>
      <c r="BB360">
        <f t="shared" si="179"/>
        <v>49</v>
      </c>
    </row>
    <row r="361" spans="1:54" x14ac:dyDescent="0.15">
      <c r="A361">
        <v>242</v>
      </c>
      <c r="B361" t="s">
        <v>1323</v>
      </c>
      <c r="C361">
        <v>272</v>
      </c>
      <c r="D361">
        <v>0</v>
      </c>
      <c r="E361" t="s">
        <v>1324</v>
      </c>
      <c r="G361" t="s">
        <v>1324</v>
      </c>
      <c r="H361" t="s">
        <v>1325</v>
      </c>
      <c r="J361" t="s">
        <v>1326</v>
      </c>
      <c r="K361">
        <v>55</v>
      </c>
      <c r="L361">
        <v>1.5</v>
      </c>
      <c r="M361" t="s">
        <v>71</v>
      </c>
      <c r="N361" t="s">
        <v>26</v>
      </c>
      <c r="O361" t="s">
        <v>346</v>
      </c>
      <c r="P361" t="s">
        <v>73</v>
      </c>
      <c r="Q361" t="s">
        <v>470</v>
      </c>
      <c r="R361">
        <v>9</v>
      </c>
      <c r="S361">
        <v>80</v>
      </c>
      <c r="T361">
        <v>70</v>
      </c>
      <c r="U361">
        <v>70</v>
      </c>
      <c r="V361">
        <v>90</v>
      </c>
      <c r="W361">
        <v>100</v>
      </c>
      <c r="X361">
        <v>70</v>
      </c>
      <c r="Y361">
        <f t="shared" si="150"/>
        <v>187</v>
      </c>
      <c r="Z361">
        <f t="shared" si="151"/>
        <v>187</v>
      </c>
      <c r="AA361">
        <f t="shared" si="152"/>
        <v>155</v>
      </c>
      <c r="AB361">
        <f t="shared" si="153"/>
        <v>155</v>
      </c>
      <c r="AC361">
        <f t="shared" si="154"/>
        <v>140</v>
      </c>
      <c r="AD361">
        <f t="shared" si="155"/>
        <v>134</v>
      </c>
      <c r="AE361">
        <f t="shared" si="156"/>
        <v>122</v>
      </c>
      <c r="AF361">
        <f t="shared" si="157"/>
        <v>90</v>
      </c>
      <c r="AG361">
        <f t="shared" si="158"/>
        <v>81</v>
      </c>
      <c r="AH361">
        <f t="shared" si="159"/>
        <v>67</v>
      </c>
      <c r="AI361">
        <f t="shared" si="160"/>
        <v>134</v>
      </c>
      <c r="AJ361">
        <f t="shared" si="161"/>
        <v>122</v>
      </c>
      <c r="AK361">
        <f t="shared" si="162"/>
        <v>90</v>
      </c>
      <c r="AL361">
        <f t="shared" si="163"/>
        <v>81</v>
      </c>
      <c r="AM361">
        <f t="shared" si="164"/>
        <v>67</v>
      </c>
      <c r="AN361">
        <f t="shared" si="165"/>
        <v>156</v>
      </c>
      <c r="AO361">
        <f t="shared" si="166"/>
        <v>142</v>
      </c>
      <c r="AP361">
        <f t="shared" si="167"/>
        <v>110</v>
      </c>
      <c r="AQ361">
        <f t="shared" si="168"/>
        <v>99</v>
      </c>
      <c r="AR361">
        <f t="shared" si="169"/>
        <v>85</v>
      </c>
      <c r="AS361">
        <f t="shared" si="170"/>
        <v>167</v>
      </c>
      <c r="AT361">
        <f t="shared" si="171"/>
        <v>152</v>
      </c>
      <c r="AU361">
        <f t="shared" si="172"/>
        <v>120</v>
      </c>
      <c r="AV361">
        <f t="shared" si="173"/>
        <v>108</v>
      </c>
      <c r="AW361">
        <f t="shared" si="174"/>
        <v>94</v>
      </c>
      <c r="AX361">
        <f t="shared" si="175"/>
        <v>134</v>
      </c>
      <c r="AY361">
        <f t="shared" si="176"/>
        <v>122</v>
      </c>
      <c r="AZ361">
        <f t="shared" si="177"/>
        <v>90</v>
      </c>
      <c r="BA361">
        <f t="shared" si="178"/>
        <v>81</v>
      </c>
      <c r="BB361">
        <f t="shared" si="179"/>
        <v>67</v>
      </c>
    </row>
    <row r="362" spans="1:54" x14ac:dyDescent="0.15">
      <c r="A362">
        <v>243</v>
      </c>
      <c r="B362" t="s">
        <v>1327</v>
      </c>
      <c r="C362">
        <v>273</v>
      </c>
      <c r="D362">
        <v>0</v>
      </c>
      <c r="E362" t="s">
        <v>1328</v>
      </c>
      <c r="G362" t="s">
        <v>1328</v>
      </c>
      <c r="H362" t="s">
        <v>1329</v>
      </c>
      <c r="J362" t="s">
        <v>1330</v>
      </c>
      <c r="K362">
        <v>4</v>
      </c>
      <c r="L362">
        <v>0.5</v>
      </c>
      <c r="M362" t="s">
        <v>26</v>
      </c>
      <c r="O362" t="s">
        <v>29</v>
      </c>
      <c r="P362" t="s">
        <v>504</v>
      </c>
      <c r="Q362" t="s">
        <v>1105</v>
      </c>
      <c r="R362">
        <v>9</v>
      </c>
      <c r="S362">
        <v>40</v>
      </c>
      <c r="T362">
        <v>40</v>
      </c>
      <c r="U362">
        <v>50</v>
      </c>
      <c r="V362">
        <v>30</v>
      </c>
      <c r="W362">
        <v>30</v>
      </c>
      <c r="X362">
        <v>30</v>
      </c>
      <c r="Y362">
        <f t="shared" si="150"/>
        <v>147</v>
      </c>
      <c r="Z362">
        <f t="shared" si="151"/>
        <v>147</v>
      </c>
      <c r="AA362">
        <f t="shared" si="152"/>
        <v>115</v>
      </c>
      <c r="AB362">
        <f t="shared" si="153"/>
        <v>115</v>
      </c>
      <c r="AC362">
        <f t="shared" si="154"/>
        <v>100</v>
      </c>
      <c r="AD362">
        <f t="shared" si="155"/>
        <v>101</v>
      </c>
      <c r="AE362">
        <f t="shared" si="156"/>
        <v>92</v>
      </c>
      <c r="AF362">
        <f t="shared" si="157"/>
        <v>60</v>
      </c>
      <c r="AG362">
        <f t="shared" si="158"/>
        <v>54</v>
      </c>
      <c r="AH362">
        <f t="shared" si="159"/>
        <v>40</v>
      </c>
      <c r="AI362">
        <f t="shared" si="160"/>
        <v>112</v>
      </c>
      <c r="AJ362">
        <f t="shared" si="161"/>
        <v>102</v>
      </c>
      <c r="AK362">
        <f t="shared" si="162"/>
        <v>70</v>
      </c>
      <c r="AL362">
        <f t="shared" si="163"/>
        <v>63</v>
      </c>
      <c r="AM362">
        <f t="shared" si="164"/>
        <v>49</v>
      </c>
      <c r="AN362">
        <f t="shared" si="165"/>
        <v>90</v>
      </c>
      <c r="AO362">
        <f t="shared" si="166"/>
        <v>82</v>
      </c>
      <c r="AP362">
        <f t="shared" si="167"/>
        <v>50</v>
      </c>
      <c r="AQ362">
        <f t="shared" si="168"/>
        <v>45</v>
      </c>
      <c r="AR362">
        <f t="shared" si="169"/>
        <v>31</v>
      </c>
      <c r="AS362">
        <f t="shared" si="170"/>
        <v>90</v>
      </c>
      <c r="AT362">
        <f t="shared" si="171"/>
        <v>82</v>
      </c>
      <c r="AU362">
        <f t="shared" si="172"/>
        <v>50</v>
      </c>
      <c r="AV362">
        <f t="shared" si="173"/>
        <v>45</v>
      </c>
      <c r="AW362">
        <f t="shared" si="174"/>
        <v>31</v>
      </c>
      <c r="AX362">
        <f t="shared" si="175"/>
        <v>90</v>
      </c>
      <c r="AY362">
        <f t="shared" si="176"/>
        <v>82</v>
      </c>
      <c r="AZ362">
        <f t="shared" si="177"/>
        <v>50</v>
      </c>
      <c r="BA362">
        <f t="shared" si="178"/>
        <v>45</v>
      </c>
      <c r="BB362">
        <f t="shared" si="179"/>
        <v>31</v>
      </c>
    </row>
    <row r="363" spans="1:54" x14ac:dyDescent="0.15">
      <c r="A363">
        <v>245</v>
      </c>
      <c r="B363" t="s">
        <v>1331</v>
      </c>
      <c r="C363">
        <v>274</v>
      </c>
      <c r="D363">
        <v>0</v>
      </c>
      <c r="E363" t="s">
        <v>1332</v>
      </c>
      <c r="G363" t="s">
        <v>1332</v>
      </c>
      <c r="H363" t="s">
        <v>1333</v>
      </c>
      <c r="J363" t="s">
        <v>1334</v>
      </c>
      <c r="K363">
        <v>28</v>
      </c>
      <c r="L363">
        <v>1</v>
      </c>
      <c r="M363" t="s">
        <v>26</v>
      </c>
      <c r="N363" t="s">
        <v>140</v>
      </c>
      <c r="O363" t="s">
        <v>29</v>
      </c>
      <c r="P363" t="s">
        <v>504</v>
      </c>
      <c r="Q363" t="s">
        <v>1105</v>
      </c>
      <c r="R363">
        <v>9</v>
      </c>
      <c r="S363">
        <v>70</v>
      </c>
      <c r="T363">
        <v>70</v>
      </c>
      <c r="U363">
        <v>40</v>
      </c>
      <c r="V363">
        <v>60</v>
      </c>
      <c r="W363">
        <v>40</v>
      </c>
      <c r="X363">
        <v>60</v>
      </c>
      <c r="Y363">
        <f t="shared" si="150"/>
        <v>177</v>
      </c>
      <c r="Z363">
        <f t="shared" si="151"/>
        <v>177</v>
      </c>
      <c r="AA363">
        <f t="shared" si="152"/>
        <v>145</v>
      </c>
      <c r="AB363">
        <f t="shared" si="153"/>
        <v>145</v>
      </c>
      <c r="AC363">
        <f t="shared" si="154"/>
        <v>130</v>
      </c>
      <c r="AD363">
        <f t="shared" si="155"/>
        <v>134</v>
      </c>
      <c r="AE363">
        <f t="shared" si="156"/>
        <v>122</v>
      </c>
      <c r="AF363">
        <f t="shared" si="157"/>
        <v>90</v>
      </c>
      <c r="AG363">
        <f t="shared" si="158"/>
        <v>81</v>
      </c>
      <c r="AH363">
        <f t="shared" si="159"/>
        <v>67</v>
      </c>
      <c r="AI363">
        <f t="shared" si="160"/>
        <v>101</v>
      </c>
      <c r="AJ363">
        <f t="shared" si="161"/>
        <v>92</v>
      </c>
      <c r="AK363">
        <f t="shared" si="162"/>
        <v>60</v>
      </c>
      <c r="AL363">
        <f t="shared" si="163"/>
        <v>54</v>
      </c>
      <c r="AM363">
        <f t="shared" si="164"/>
        <v>40</v>
      </c>
      <c r="AN363">
        <f t="shared" si="165"/>
        <v>123</v>
      </c>
      <c r="AO363">
        <f t="shared" si="166"/>
        <v>112</v>
      </c>
      <c r="AP363">
        <f t="shared" si="167"/>
        <v>80</v>
      </c>
      <c r="AQ363">
        <f t="shared" si="168"/>
        <v>72</v>
      </c>
      <c r="AR363">
        <f t="shared" si="169"/>
        <v>58</v>
      </c>
      <c r="AS363">
        <f t="shared" si="170"/>
        <v>101</v>
      </c>
      <c r="AT363">
        <f t="shared" si="171"/>
        <v>92</v>
      </c>
      <c r="AU363">
        <f t="shared" si="172"/>
        <v>60</v>
      </c>
      <c r="AV363">
        <f t="shared" si="173"/>
        <v>54</v>
      </c>
      <c r="AW363">
        <f t="shared" si="174"/>
        <v>40</v>
      </c>
      <c r="AX363">
        <f t="shared" si="175"/>
        <v>123</v>
      </c>
      <c r="AY363">
        <f t="shared" si="176"/>
        <v>112</v>
      </c>
      <c r="AZ363">
        <f t="shared" si="177"/>
        <v>80</v>
      </c>
      <c r="BA363">
        <f t="shared" si="178"/>
        <v>72</v>
      </c>
      <c r="BB363">
        <f t="shared" si="179"/>
        <v>58</v>
      </c>
    </row>
    <row r="364" spans="1:54" x14ac:dyDescent="0.15">
      <c r="A364">
        <v>246</v>
      </c>
      <c r="B364" t="s">
        <v>1335</v>
      </c>
      <c r="C364">
        <v>275</v>
      </c>
      <c r="D364">
        <v>0</v>
      </c>
      <c r="E364" t="s">
        <v>1336</v>
      </c>
      <c r="G364" t="s">
        <v>1336</v>
      </c>
      <c r="H364" t="s">
        <v>1337</v>
      </c>
      <c r="J364" t="s">
        <v>1338</v>
      </c>
      <c r="K364">
        <v>59.6</v>
      </c>
      <c r="L364">
        <v>1.3</v>
      </c>
      <c r="M364" t="s">
        <v>26</v>
      </c>
      <c r="N364" t="s">
        <v>140</v>
      </c>
      <c r="O364" t="s">
        <v>29</v>
      </c>
      <c r="P364" t="s">
        <v>1339</v>
      </c>
      <c r="Q364" t="s">
        <v>1105</v>
      </c>
      <c r="R364">
        <v>9</v>
      </c>
      <c r="S364">
        <v>90</v>
      </c>
      <c r="T364">
        <v>100</v>
      </c>
      <c r="U364">
        <v>60</v>
      </c>
      <c r="V364">
        <v>90</v>
      </c>
      <c r="W364">
        <v>60</v>
      </c>
      <c r="X364">
        <v>80</v>
      </c>
      <c r="Y364">
        <f t="shared" si="150"/>
        <v>197</v>
      </c>
      <c r="Z364">
        <f t="shared" si="151"/>
        <v>197</v>
      </c>
      <c r="AA364">
        <f t="shared" si="152"/>
        <v>165</v>
      </c>
      <c r="AB364">
        <f t="shared" si="153"/>
        <v>165</v>
      </c>
      <c r="AC364">
        <f t="shared" si="154"/>
        <v>150</v>
      </c>
      <c r="AD364">
        <f t="shared" si="155"/>
        <v>167</v>
      </c>
      <c r="AE364">
        <f t="shared" si="156"/>
        <v>152</v>
      </c>
      <c r="AF364">
        <f t="shared" si="157"/>
        <v>120</v>
      </c>
      <c r="AG364">
        <f t="shared" si="158"/>
        <v>108</v>
      </c>
      <c r="AH364">
        <f t="shared" si="159"/>
        <v>94</v>
      </c>
      <c r="AI364">
        <f t="shared" si="160"/>
        <v>123</v>
      </c>
      <c r="AJ364">
        <f t="shared" si="161"/>
        <v>112</v>
      </c>
      <c r="AK364">
        <f t="shared" si="162"/>
        <v>80</v>
      </c>
      <c r="AL364">
        <f t="shared" si="163"/>
        <v>72</v>
      </c>
      <c r="AM364">
        <f t="shared" si="164"/>
        <v>58</v>
      </c>
      <c r="AN364">
        <f t="shared" si="165"/>
        <v>156</v>
      </c>
      <c r="AO364">
        <f t="shared" si="166"/>
        <v>142</v>
      </c>
      <c r="AP364">
        <f t="shared" si="167"/>
        <v>110</v>
      </c>
      <c r="AQ364">
        <f t="shared" si="168"/>
        <v>99</v>
      </c>
      <c r="AR364">
        <f t="shared" si="169"/>
        <v>85</v>
      </c>
      <c r="AS364">
        <f t="shared" si="170"/>
        <v>123</v>
      </c>
      <c r="AT364">
        <f t="shared" si="171"/>
        <v>112</v>
      </c>
      <c r="AU364">
        <f t="shared" si="172"/>
        <v>80</v>
      </c>
      <c r="AV364">
        <f t="shared" si="173"/>
        <v>72</v>
      </c>
      <c r="AW364">
        <f t="shared" si="174"/>
        <v>58</v>
      </c>
      <c r="AX364">
        <f t="shared" si="175"/>
        <v>145</v>
      </c>
      <c r="AY364">
        <f t="shared" si="176"/>
        <v>132</v>
      </c>
      <c r="AZ364">
        <f t="shared" si="177"/>
        <v>100</v>
      </c>
      <c r="BA364">
        <f t="shared" si="178"/>
        <v>90</v>
      </c>
      <c r="BB364">
        <f t="shared" si="179"/>
        <v>76</v>
      </c>
    </row>
    <row r="365" spans="1:54" x14ac:dyDescent="0.15">
      <c r="B365" t="s">
        <v>1340</v>
      </c>
      <c r="C365">
        <v>276</v>
      </c>
      <c r="D365">
        <v>0</v>
      </c>
      <c r="E365" t="s">
        <v>1341</v>
      </c>
      <c r="G365" t="s">
        <v>1341</v>
      </c>
      <c r="J365" t="s">
        <v>1342</v>
      </c>
      <c r="K365">
        <v>2.2999999999999998</v>
      </c>
      <c r="L365">
        <v>0.3</v>
      </c>
      <c r="M365" t="s">
        <v>120</v>
      </c>
      <c r="N365" t="s">
        <v>57</v>
      </c>
      <c r="O365" t="s">
        <v>135</v>
      </c>
      <c r="P365" t="s">
        <v>499</v>
      </c>
      <c r="R365">
        <v>8</v>
      </c>
      <c r="S365">
        <v>40</v>
      </c>
      <c r="T365">
        <v>55</v>
      </c>
      <c r="U365">
        <v>30</v>
      </c>
      <c r="V365">
        <v>30</v>
      </c>
      <c r="W365">
        <v>30</v>
      </c>
      <c r="X365">
        <v>85</v>
      </c>
      <c r="Y365">
        <f t="shared" si="150"/>
        <v>147</v>
      </c>
      <c r="Z365">
        <f t="shared" si="151"/>
        <v>147</v>
      </c>
      <c r="AA365">
        <f t="shared" si="152"/>
        <v>115</v>
      </c>
      <c r="AB365">
        <f t="shared" si="153"/>
        <v>115</v>
      </c>
      <c r="AC365">
        <f t="shared" si="154"/>
        <v>100</v>
      </c>
      <c r="AD365">
        <f t="shared" si="155"/>
        <v>117</v>
      </c>
      <c r="AE365">
        <f t="shared" si="156"/>
        <v>107</v>
      </c>
      <c r="AF365">
        <f t="shared" si="157"/>
        <v>75</v>
      </c>
      <c r="AG365">
        <f t="shared" si="158"/>
        <v>67</v>
      </c>
      <c r="AH365">
        <f t="shared" si="159"/>
        <v>54</v>
      </c>
      <c r="AI365">
        <f t="shared" si="160"/>
        <v>90</v>
      </c>
      <c r="AJ365">
        <f t="shared" si="161"/>
        <v>82</v>
      </c>
      <c r="AK365">
        <f t="shared" si="162"/>
        <v>50</v>
      </c>
      <c r="AL365">
        <f t="shared" si="163"/>
        <v>45</v>
      </c>
      <c r="AM365">
        <f t="shared" si="164"/>
        <v>31</v>
      </c>
      <c r="AN365">
        <f t="shared" si="165"/>
        <v>90</v>
      </c>
      <c r="AO365">
        <f t="shared" si="166"/>
        <v>82</v>
      </c>
      <c r="AP365">
        <f t="shared" si="167"/>
        <v>50</v>
      </c>
      <c r="AQ365">
        <f t="shared" si="168"/>
        <v>45</v>
      </c>
      <c r="AR365">
        <f t="shared" si="169"/>
        <v>31</v>
      </c>
      <c r="AS365">
        <f t="shared" si="170"/>
        <v>90</v>
      </c>
      <c r="AT365">
        <f t="shared" si="171"/>
        <v>82</v>
      </c>
      <c r="AU365">
        <f t="shared" si="172"/>
        <v>50</v>
      </c>
      <c r="AV365">
        <f t="shared" si="173"/>
        <v>45</v>
      </c>
      <c r="AW365">
        <f t="shared" si="174"/>
        <v>31</v>
      </c>
      <c r="AX365">
        <f t="shared" si="175"/>
        <v>150</v>
      </c>
      <c r="AY365">
        <f t="shared" si="176"/>
        <v>137</v>
      </c>
      <c r="AZ365">
        <f t="shared" si="177"/>
        <v>105</v>
      </c>
      <c r="BA365">
        <f t="shared" si="178"/>
        <v>94</v>
      </c>
      <c r="BB365">
        <f t="shared" si="179"/>
        <v>81</v>
      </c>
    </row>
    <row r="366" spans="1:54" x14ac:dyDescent="0.15">
      <c r="B366" t="s">
        <v>1343</v>
      </c>
      <c r="C366">
        <v>277</v>
      </c>
      <c r="D366">
        <v>0</v>
      </c>
      <c r="E366" t="s">
        <v>1344</v>
      </c>
      <c r="G366" t="s">
        <v>1344</v>
      </c>
      <c r="J366" t="s">
        <v>1345</v>
      </c>
      <c r="K366">
        <v>19.8</v>
      </c>
      <c r="L366">
        <v>0.7</v>
      </c>
      <c r="M366" t="s">
        <v>120</v>
      </c>
      <c r="N366" t="s">
        <v>57</v>
      </c>
      <c r="O366" t="s">
        <v>135</v>
      </c>
      <c r="P366" t="s">
        <v>499</v>
      </c>
      <c r="R366">
        <v>8</v>
      </c>
      <c r="S366">
        <v>60</v>
      </c>
      <c r="T366">
        <v>85</v>
      </c>
      <c r="U366">
        <v>60</v>
      </c>
      <c r="V366">
        <v>75</v>
      </c>
      <c r="W366">
        <v>50</v>
      </c>
      <c r="X366">
        <v>125</v>
      </c>
      <c r="Y366">
        <f t="shared" si="150"/>
        <v>167</v>
      </c>
      <c r="Z366">
        <f t="shared" si="151"/>
        <v>167</v>
      </c>
      <c r="AA366">
        <f t="shared" si="152"/>
        <v>135</v>
      </c>
      <c r="AB366">
        <f t="shared" si="153"/>
        <v>135</v>
      </c>
      <c r="AC366">
        <f t="shared" si="154"/>
        <v>120</v>
      </c>
      <c r="AD366">
        <f t="shared" si="155"/>
        <v>150</v>
      </c>
      <c r="AE366">
        <f t="shared" si="156"/>
        <v>137</v>
      </c>
      <c r="AF366">
        <f t="shared" si="157"/>
        <v>105</v>
      </c>
      <c r="AG366">
        <f t="shared" si="158"/>
        <v>94</v>
      </c>
      <c r="AH366">
        <f t="shared" si="159"/>
        <v>81</v>
      </c>
      <c r="AI366">
        <f t="shared" si="160"/>
        <v>123</v>
      </c>
      <c r="AJ366">
        <f t="shared" si="161"/>
        <v>112</v>
      </c>
      <c r="AK366">
        <f t="shared" si="162"/>
        <v>80</v>
      </c>
      <c r="AL366">
        <f t="shared" si="163"/>
        <v>72</v>
      </c>
      <c r="AM366">
        <f t="shared" si="164"/>
        <v>58</v>
      </c>
      <c r="AN366">
        <f t="shared" si="165"/>
        <v>139</v>
      </c>
      <c r="AO366">
        <f t="shared" si="166"/>
        <v>127</v>
      </c>
      <c r="AP366">
        <f t="shared" si="167"/>
        <v>95</v>
      </c>
      <c r="AQ366">
        <f t="shared" si="168"/>
        <v>85</v>
      </c>
      <c r="AR366">
        <f t="shared" si="169"/>
        <v>72</v>
      </c>
      <c r="AS366">
        <f t="shared" si="170"/>
        <v>112</v>
      </c>
      <c r="AT366">
        <f t="shared" si="171"/>
        <v>102</v>
      </c>
      <c r="AU366">
        <f t="shared" si="172"/>
        <v>70</v>
      </c>
      <c r="AV366">
        <f t="shared" si="173"/>
        <v>63</v>
      </c>
      <c r="AW366">
        <f t="shared" si="174"/>
        <v>49</v>
      </c>
      <c r="AX366">
        <f t="shared" si="175"/>
        <v>194</v>
      </c>
      <c r="AY366">
        <f t="shared" si="176"/>
        <v>177</v>
      </c>
      <c r="AZ366">
        <f t="shared" si="177"/>
        <v>145</v>
      </c>
      <c r="BA366">
        <f t="shared" si="178"/>
        <v>130</v>
      </c>
      <c r="BB366">
        <f t="shared" si="179"/>
        <v>117</v>
      </c>
    </row>
    <row r="367" spans="1:54" x14ac:dyDescent="0.15">
      <c r="A367">
        <v>247</v>
      </c>
      <c r="B367" t="s">
        <v>1346</v>
      </c>
      <c r="C367">
        <v>278</v>
      </c>
      <c r="D367">
        <v>0</v>
      </c>
      <c r="E367" t="s">
        <v>1347</v>
      </c>
      <c r="G367" t="s">
        <v>1347</v>
      </c>
      <c r="H367" t="s">
        <v>1348</v>
      </c>
      <c r="J367" t="s">
        <v>1349</v>
      </c>
      <c r="K367">
        <v>9.5</v>
      </c>
      <c r="L367">
        <v>0.6</v>
      </c>
      <c r="M367" t="s">
        <v>71</v>
      </c>
      <c r="N367" t="s">
        <v>57</v>
      </c>
      <c r="O367" t="s">
        <v>121</v>
      </c>
      <c r="P367" t="s">
        <v>513</v>
      </c>
      <c r="Q367" t="s">
        <v>73</v>
      </c>
      <c r="R367">
        <v>9</v>
      </c>
      <c r="S367">
        <v>40</v>
      </c>
      <c r="T367">
        <v>30</v>
      </c>
      <c r="U367">
        <v>30</v>
      </c>
      <c r="V367">
        <v>55</v>
      </c>
      <c r="W367">
        <v>30</v>
      </c>
      <c r="X367">
        <v>85</v>
      </c>
      <c r="Y367">
        <f t="shared" si="150"/>
        <v>147</v>
      </c>
      <c r="Z367">
        <f t="shared" si="151"/>
        <v>147</v>
      </c>
      <c r="AA367">
        <f t="shared" si="152"/>
        <v>115</v>
      </c>
      <c r="AB367">
        <f t="shared" si="153"/>
        <v>115</v>
      </c>
      <c r="AC367">
        <f t="shared" si="154"/>
        <v>100</v>
      </c>
      <c r="AD367">
        <f t="shared" si="155"/>
        <v>90</v>
      </c>
      <c r="AE367">
        <f t="shared" si="156"/>
        <v>82</v>
      </c>
      <c r="AF367">
        <f t="shared" si="157"/>
        <v>50</v>
      </c>
      <c r="AG367">
        <f t="shared" si="158"/>
        <v>45</v>
      </c>
      <c r="AH367">
        <f t="shared" si="159"/>
        <v>31</v>
      </c>
      <c r="AI367">
        <f t="shared" si="160"/>
        <v>90</v>
      </c>
      <c r="AJ367">
        <f t="shared" si="161"/>
        <v>82</v>
      </c>
      <c r="AK367">
        <f t="shared" si="162"/>
        <v>50</v>
      </c>
      <c r="AL367">
        <f t="shared" si="163"/>
        <v>45</v>
      </c>
      <c r="AM367">
        <f t="shared" si="164"/>
        <v>31</v>
      </c>
      <c r="AN367">
        <f t="shared" si="165"/>
        <v>117</v>
      </c>
      <c r="AO367">
        <f t="shared" si="166"/>
        <v>107</v>
      </c>
      <c r="AP367">
        <f t="shared" si="167"/>
        <v>75</v>
      </c>
      <c r="AQ367">
        <f t="shared" si="168"/>
        <v>67</v>
      </c>
      <c r="AR367">
        <f t="shared" si="169"/>
        <v>54</v>
      </c>
      <c r="AS367">
        <f t="shared" si="170"/>
        <v>90</v>
      </c>
      <c r="AT367">
        <f t="shared" si="171"/>
        <v>82</v>
      </c>
      <c r="AU367">
        <f t="shared" si="172"/>
        <v>50</v>
      </c>
      <c r="AV367">
        <f t="shared" si="173"/>
        <v>45</v>
      </c>
      <c r="AW367">
        <f t="shared" si="174"/>
        <v>31</v>
      </c>
      <c r="AX367">
        <f t="shared" si="175"/>
        <v>150</v>
      </c>
      <c r="AY367">
        <f t="shared" si="176"/>
        <v>137</v>
      </c>
      <c r="AZ367">
        <f t="shared" si="177"/>
        <v>105</v>
      </c>
      <c r="BA367">
        <f t="shared" si="178"/>
        <v>94</v>
      </c>
      <c r="BB367">
        <f t="shared" si="179"/>
        <v>81</v>
      </c>
    </row>
    <row r="368" spans="1:54" x14ac:dyDescent="0.15">
      <c r="A368">
        <v>248</v>
      </c>
      <c r="B368" t="s">
        <v>1350</v>
      </c>
      <c r="C368">
        <v>279</v>
      </c>
      <c r="D368">
        <v>0</v>
      </c>
      <c r="E368" t="s">
        <v>1351</v>
      </c>
      <c r="G368" t="s">
        <v>1351</v>
      </c>
      <c r="H368" t="s">
        <v>1352</v>
      </c>
      <c r="J368" t="s">
        <v>1353</v>
      </c>
      <c r="K368">
        <v>28</v>
      </c>
      <c r="L368">
        <v>1.2</v>
      </c>
      <c r="M368" t="s">
        <v>71</v>
      </c>
      <c r="N368" t="s">
        <v>57</v>
      </c>
      <c r="O368" t="s">
        <v>121</v>
      </c>
      <c r="P368" t="s">
        <v>978</v>
      </c>
      <c r="Q368" t="s">
        <v>73</v>
      </c>
      <c r="R368">
        <v>9</v>
      </c>
      <c r="S368">
        <v>60</v>
      </c>
      <c r="T368">
        <v>50</v>
      </c>
      <c r="U368">
        <v>100</v>
      </c>
      <c r="V368">
        <v>95</v>
      </c>
      <c r="W368">
        <v>70</v>
      </c>
      <c r="X368">
        <v>65</v>
      </c>
      <c r="Y368">
        <f t="shared" si="150"/>
        <v>167</v>
      </c>
      <c r="Z368">
        <f t="shared" si="151"/>
        <v>167</v>
      </c>
      <c r="AA368">
        <f t="shared" si="152"/>
        <v>135</v>
      </c>
      <c r="AB368">
        <f t="shared" si="153"/>
        <v>135</v>
      </c>
      <c r="AC368">
        <f t="shared" si="154"/>
        <v>120</v>
      </c>
      <c r="AD368">
        <f t="shared" si="155"/>
        <v>112</v>
      </c>
      <c r="AE368">
        <f t="shared" si="156"/>
        <v>102</v>
      </c>
      <c r="AF368">
        <f t="shared" si="157"/>
        <v>70</v>
      </c>
      <c r="AG368">
        <f t="shared" si="158"/>
        <v>63</v>
      </c>
      <c r="AH368">
        <f t="shared" si="159"/>
        <v>49</v>
      </c>
      <c r="AI368">
        <f t="shared" si="160"/>
        <v>167</v>
      </c>
      <c r="AJ368">
        <f t="shared" si="161"/>
        <v>152</v>
      </c>
      <c r="AK368">
        <f t="shared" si="162"/>
        <v>120</v>
      </c>
      <c r="AL368">
        <f t="shared" si="163"/>
        <v>108</v>
      </c>
      <c r="AM368">
        <f t="shared" si="164"/>
        <v>94</v>
      </c>
      <c r="AN368">
        <f t="shared" si="165"/>
        <v>161</v>
      </c>
      <c r="AO368">
        <f t="shared" si="166"/>
        <v>147</v>
      </c>
      <c r="AP368">
        <f t="shared" si="167"/>
        <v>115</v>
      </c>
      <c r="AQ368">
        <f t="shared" si="168"/>
        <v>103</v>
      </c>
      <c r="AR368">
        <f t="shared" si="169"/>
        <v>90</v>
      </c>
      <c r="AS368">
        <f t="shared" si="170"/>
        <v>134</v>
      </c>
      <c r="AT368">
        <f t="shared" si="171"/>
        <v>122</v>
      </c>
      <c r="AU368">
        <f t="shared" si="172"/>
        <v>90</v>
      </c>
      <c r="AV368">
        <f t="shared" si="173"/>
        <v>81</v>
      </c>
      <c r="AW368">
        <f t="shared" si="174"/>
        <v>67</v>
      </c>
      <c r="AX368">
        <f t="shared" si="175"/>
        <v>128</v>
      </c>
      <c r="AY368">
        <f t="shared" si="176"/>
        <v>117</v>
      </c>
      <c r="AZ368">
        <f t="shared" si="177"/>
        <v>85</v>
      </c>
      <c r="BA368">
        <f t="shared" si="178"/>
        <v>76</v>
      </c>
      <c r="BB368">
        <f t="shared" si="179"/>
        <v>63</v>
      </c>
    </row>
    <row r="369" spans="1:54" x14ac:dyDescent="0.15">
      <c r="A369">
        <v>249</v>
      </c>
      <c r="B369" t="s">
        <v>1354</v>
      </c>
      <c r="C369">
        <v>280</v>
      </c>
      <c r="D369">
        <v>0</v>
      </c>
      <c r="E369" t="s">
        <v>1355</v>
      </c>
      <c r="G369" t="s">
        <v>1355</v>
      </c>
      <c r="H369" t="s">
        <v>1356</v>
      </c>
      <c r="J369" t="s">
        <v>1357</v>
      </c>
      <c r="K369">
        <v>6.6</v>
      </c>
      <c r="L369">
        <v>0.4</v>
      </c>
      <c r="M369" t="s">
        <v>191</v>
      </c>
      <c r="N369" t="s">
        <v>233</v>
      </c>
      <c r="O369" t="s">
        <v>393</v>
      </c>
      <c r="P369" t="s">
        <v>400</v>
      </c>
      <c r="Q369" t="s">
        <v>1048</v>
      </c>
      <c r="R369">
        <v>9</v>
      </c>
      <c r="S369">
        <v>28</v>
      </c>
      <c r="T369">
        <v>25</v>
      </c>
      <c r="U369">
        <v>25</v>
      </c>
      <c r="V369">
        <v>45</v>
      </c>
      <c r="W369">
        <v>35</v>
      </c>
      <c r="X369">
        <v>40</v>
      </c>
      <c r="Y369">
        <f t="shared" si="150"/>
        <v>135</v>
      </c>
      <c r="Z369">
        <f t="shared" si="151"/>
        <v>135</v>
      </c>
      <c r="AA369">
        <f t="shared" si="152"/>
        <v>103</v>
      </c>
      <c r="AB369">
        <f t="shared" si="153"/>
        <v>103</v>
      </c>
      <c r="AC369">
        <f t="shared" si="154"/>
        <v>88</v>
      </c>
      <c r="AD369">
        <f t="shared" si="155"/>
        <v>84</v>
      </c>
      <c r="AE369">
        <f t="shared" si="156"/>
        <v>77</v>
      </c>
      <c r="AF369">
        <f t="shared" si="157"/>
        <v>45</v>
      </c>
      <c r="AG369">
        <f t="shared" si="158"/>
        <v>40</v>
      </c>
      <c r="AH369">
        <f t="shared" si="159"/>
        <v>27</v>
      </c>
      <c r="AI369">
        <f t="shared" si="160"/>
        <v>84</v>
      </c>
      <c r="AJ369">
        <f t="shared" si="161"/>
        <v>77</v>
      </c>
      <c r="AK369">
        <f t="shared" si="162"/>
        <v>45</v>
      </c>
      <c r="AL369">
        <f t="shared" si="163"/>
        <v>40</v>
      </c>
      <c r="AM369">
        <f t="shared" si="164"/>
        <v>27</v>
      </c>
      <c r="AN369">
        <f t="shared" si="165"/>
        <v>106</v>
      </c>
      <c r="AO369">
        <f t="shared" si="166"/>
        <v>97</v>
      </c>
      <c r="AP369">
        <f t="shared" si="167"/>
        <v>65</v>
      </c>
      <c r="AQ369">
        <f t="shared" si="168"/>
        <v>58</v>
      </c>
      <c r="AR369">
        <f t="shared" si="169"/>
        <v>45</v>
      </c>
      <c r="AS369">
        <f t="shared" si="170"/>
        <v>95</v>
      </c>
      <c r="AT369">
        <f t="shared" si="171"/>
        <v>87</v>
      </c>
      <c r="AU369">
        <f t="shared" si="172"/>
        <v>55</v>
      </c>
      <c r="AV369">
        <f t="shared" si="173"/>
        <v>49</v>
      </c>
      <c r="AW369">
        <f t="shared" si="174"/>
        <v>36</v>
      </c>
      <c r="AX369">
        <f t="shared" si="175"/>
        <v>101</v>
      </c>
      <c r="AY369">
        <f t="shared" si="176"/>
        <v>92</v>
      </c>
      <c r="AZ369">
        <f t="shared" si="177"/>
        <v>60</v>
      </c>
      <c r="BA369">
        <f t="shared" si="178"/>
        <v>54</v>
      </c>
      <c r="BB369">
        <f t="shared" si="179"/>
        <v>40</v>
      </c>
    </row>
    <row r="370" spans="1:54" x14ac:dyDescent="0.15">
      <c r="A370">
        <v>250</v>
      </c>
      <c r="B370" t="s">
        <v>1358</v>
      </c>
      <c r="C370">
        <v>281</v>
      </c>
      <c r="D370">
        <v>0</v>
      </c>
      <c r="E370" t="s">
        <v>1359</v>
      </c>
      <c r="G370" t="s">
        <v>1359</v>
      </c>
      <c r="H370" t="s">
        <v>1360</v>
      </c>
      <c r="J370" t="s">
        <v>1361</v>
      </c>
      <c r="K370">
        <v>20.2</v>
      </c>
      <c r="L370">
        <v>0.8</v>
      </c>
      <c r="M370" t="s">
        <v>191</v>
      </c>
      <c r="N370" t="s">
        <v>233</v>
      </c>
      <c r="O370" t="s">
        <v>393</v>
      </c>
      <c r="P370" t="s">
        <v>400</v>
      </c>
      <c r="Q370" t="s">
        <v>1048</v>
      </c>
      <c r="R370">
        <v>9</v>
      </c>
      <c r="S370">
        <v>38</v>
      </c>
      <c r="T370">
        <v>35</v>
      </c>
      <c r="U370">
        <v>35</v>
      </c>
      <c r="V370">
        <v>65</v>
      </c>
      <c r="W370">
        <v>55</v>
      </c>
      <c r="X370">
        <v>50</v>
      </c>
      <c r="Y370">
        <f t="shared" si="150"/>
        <v>145</v>
      </c>
      <c r="Z370">
        <f t="shared" si="151"/>
        <v>145</v>
      </c>
      <c r="AA370">
        <f t="shared" si="152"/>
        <v>113</v>
      </c>
      <c r="AB370">
        <f t="shared" si="153"/>
        <v>113</v>
      </c>
      <c r="AC370">
        <f t="shared" si="154"/>
        <v>98</v>
      </c>
      <c r="AD370">
        <f t="shared" si="155"/>
        <v>95</v>
      </c>
      <c r="AE370">
        <f t="shared" si="156"/>
        <v>87</v>
      </c>
      <c r="AF370">
        <f t="shared" si="157"/>
        <v>55</v>
      </c>
      <c r="AG370">
        <f t="shared" si="158"/>
        <v>49</v>
      </c>
      <c r="AH370">
        <f t="shared" si="159"/>
        <v>36</v>
      </c>
      <c r="AI370">
        <f t="shared" si="160"/>
        <v>95</v>
      </c>
      <c r="AJ370">
        <f t="shared" si="161"/>
        <v>87</v>
      </c>
      <c r="AK370">
        <f t="shared" si="162"/>
        <v>55</v>
      </c>
      <c r="AL370">
        <f t="shared" si="163"/>
        <v>49</v>
      </c>
      <c r="AM370">
        <f t="shared" si="164"/>
        <v>36</v>
      </c>
      <c r="AN370">
        <f t="shared" si="165"/>
        <v>128</v>
      </c>
      <c r="AO370">
        <f t="shared" si="166"/>
        <v>117</v>
      </c>
      <c r="AP370">
        <f t="shared" si="167"/>
        <v>85</v>
      </c>
      <c r="AQ370">
        <f t="shared" si="168"/>
        <v>76</v>
      </c>
      <c r="AR370">
        <f t="shared" si="169"/>
        <v>63</v>
      </c>
      <c r="AS370">
        <f t="shared" si="170"/>
        <v>117</v>
      </c>
      <c r="AT370">
        <f t="shared" si="171"/>
        <v>107</v>
      </c>
      <c r="AU370">
        <f t="shared" si="172"/>
        <v>75</v>
      </c>
      <c r="AV370">
        <f t="shared" si="173"/>
        <v>67</v>
      </c>
      <c r="AW370">
        <f t="shared" si="174"/>
        <v>54</v>
      </c>
      <c r="AX370">
        <f t="shared" si="175"/>
        <v>112</v>
      </c>
      <c r="AY370">
        <f t="shared" si="176"/>
        <v>102</v>
      </c>
      <c r="AZ370">
        <f t="shared" si="177"/>
        <v>70</v>
      </c>
      <c r="BA370">
        <f t="shared" si="178"/>
        <v>63</v>
      </c>
      <c r="BB370">
        <f t="shared" si="179"/>
        <v>49</v>
      </c>
    </row>
    <row r="371" spans="1:54" x14ac:dyDescent="0.15">
      <c r="A371">
        <v>251</v>
      </c>
      <c r="B371" t="s">
        <v>1362</v>
      </c>
      <c r="C371">
        <v>282</v>
      </c>
      <c r="D371">
        <v>0</v>
      </c>
      <c r="E371" t="s">
        <v>1363</v>
      </c>
      <c r="G371" t="s">
        <v>1363</v>
      </c>
      <c r="H371" t="s">
        <v>1364</v>
      </c>
      <c r="J371" t="s">
        <v>1365</v>
      </c>
      <c r="K371">
        <v>48.4</v>
      </c>
      <c r="L371">
        <v>1.6</v>
      </c>
      <c r="M371" t="s">
        <v>191</v>
      </c>
      <c r="N371" t="s">
        <v>233</v>
      </c>
      <c r="O371" t="s">
        <v>393</v>
      </c>
      <c r="P371" t="s">
        <v>400</v>
      </c>
      <c r="Q371" t="s">
        <v>1048</v>
      </c>
      <c r="R371">
        <v>9</v>
      </c>
      <c r="S371">
        <v>68</v>
      </c>
      <c r="T371">
        <v>65</v>
      </c>
      <c r="U371">
        <v>65</v>
      </c>
      <c r="V371">
        <v>125</v>
      </c>
      <c r="W371">
        <v>115</v>
      </c>
      <c r="X371">
        <v>80</v>
      </c>
      <c r="Y371">
        <f t="shared" si="150"/>
        <v>175</v>
      </c>
      <c r="Z371">
        <f t="shared" si="151"/>
        <v>175</v>
      </c>
      <c r="AA371">
        <f t="shared" si="152"/>
        <v>143</v>
      </c>
      <c r="AB371">
        <f t="shared" si="153"/>
        <v>143</v>
      </c>
      <c r="AC371">
        <f t="shared" si="154"/>
        <v>128</v>
      </c>
      <c r="AD371">
        <f t="shared" si="155"/>
        <v>128</v>
      </c>
      <c r="AE371">
        <f t="shared" si="156"/>
        <v>117</v>
      </c>
      <c r="AF371">
        <f t="shared" si="157"/>
        <v>85</v>
      </c>
      <c r="AG371">
        <f t="shared" si="158"/>
        <v>76</v>
      </c>
      <c r="AH371">
        <f t="shared" si="159"/>
        <v>63</v>
      </c>
      <c r="AI371">
        <f t="shared" si="160"/>
        <v>128</v>
      </c>
      <c r="AJ371">
        <f t="shared" si="161"/>
        <v>117</v>
      </c>
      <c r="AK371">
        <f t="shared" si="162"/>
        <v>85</v>
      </c>
      <c r="AL371">
        <f t="shared" si="163"/>
        <v>76</v>
      </c>
      <c r="AM371">
        <f t="shared" si="164"/>
        <v>63</v>
      </c>
      <c r="AN371">
        <f t="shared" si="165"/>
        <v>194</v>
      </c>
      <c r="AO371">
        <f t="shared" si="166"/>
        <v>177</v>
      </c>
      <c r="AP371">
        <f t="shared" si="167"/>
        <v>145</v>
      </c>
      <c r="AQ371">
        <f t="shared" si="168"/>
        <v>130</v>
      </c>
      <c r="AR371">
        <f t="shared" si="169"/>
        <v>117</v>
      </c>
      <c r="AS371">
        <f t="shared" si="170"/>
        <v>183</v>
      </c>
      <c r="AT371">
        <f t="shared" si="171"/>
        <v>167</v>
      </c>
      <c r="AU371">
        <f t="shared" si="172"/>
        <v>135</v>
      </c>
      <c r="AV371">
        <f t="shared" si="173"/>
        <v>121</v>
      </c>
      <c r="AW371">
        <f t="shared" si="174"/>
        <v>108</v>
      </c>
      <c r="AX371">
        <f t="shared" si="175"/>
        <v>145</v>
      </c>
      <c r="AY371">
        <f t="shared" si="176"/>
        <v>132</v>
      </c>
      <c r="AZ371">
        <f t="shared" si="177"/>
        <v>100</v>
      </c>
      <c r="BA371">
        <f t="shared" si="178"/>
        <v>90</v>
      </c>
      <c r="BB371">
        <f t="shared" si="179"/>
        <v>76</v>
      </c>
    </row>
    <row r="372" spans="1:54" x14ac:dyDescent="0.15">
      <c r="B372" t="s">
        <v>1366</v>
      </c>
      <c r="C372">
        <v>282</v>
      </c>
      <c r="D372">
        <v>1</v>
      </c>
      <c r="E372" t="s">
        <v>1363</v>
      </c>
      <c r="F372" t="s">
        <v>1367</v>
      </c>
      <c r="G372" t="s">
        <v>1367</v>
      </c>
      <c r="J372" t="s">
        <v>1365</v>
      </c>
      <c r="K372">
        <v>48.4</v>
      </c>
      <c r="L372">
        <v>1.6</v>
      </c>
      <c r="M372" t="s">
        <v>191</v>
      </c>
      <c r="N372" t="s">
        <v>233</v>
      </c>
      <c r="O372" t="s">
        <v>1368</v>
      </c>
      <c r="P372" t="s">
        <v>1048</v>
      </c>
      <c r="R372">
        <v>7</v>
      </c>
      <c r="S372">
        <v>68</v>
      </c>
      <c r="T372">
        <v>65</v>
      </c>
      <c r="U372">
        <v>65</v>
      </c>
      <c r="V372">
        <v>125</v>
      </c>
      <c r="W372">
        <v>115</v>
      </c>
      <c r="X372">
        <v>80</v>
      </c>
      <c r="Y372">
        <f t="shared" si="150"/>
        <v>175</v>
      </c>
      <c r="Z372">
        <f t="shared" si="151"/>
        <v>175</v>
      </c>
      <c r="AA372">
        <f t="shared" si="152"/>
        <v>143</v>
      </c>
      <c r="AB372">
        <f t="shared" si="153"/>
        <v>143</v>
      </c>
      <c r="AC372">
        <f t="shared" si="154"/>
        <v>128</v>
      </c>
      <c r="AD372">
        <f t="shared" si="155"/>
        <v>128</v>
      </c>
      <c r="AE372">
        <f t="shared" si="156"/>
        <v>117</v>
      </c>
      <c r="AF372">
        <f t="shared" si="157"/>
        <v>85</v>
      </c>
      <c r="AG372">
        <f t="shared" si="158"/>
        <v>76</v>
      </c>
      <c r="AH372">
        <f t="shared" si="159"/>
        <v>63</v>
      </c>
      <c r="AI372">
        <f t="shared" si="160"/>
        <v>128</v>
      </c>
      <c r="AJ372">
        <f t="shared" si="161"/>
        <v>117</v>
      </c>
      <c r="AK372">
        <f t="shared" si="162"/>
        <v>85</v>
      </c>
      <c r="AL372">
        <f t="shared" si="163"/>
        <v>76</v>
      </c>
      <c r="AM372">
        <f t="shared" si="164"/>
        <v>63</v>
      </c>
      <c r="AN372">
        <f t="shared" si="165"/>
        <v>194</v>
      </c>
      <c r="AO372">
        <f t="shared" si="166"/>
        <v>177</v>
      </c>
      <c r="AP372">
        <f t="shared" si="167"/>
        <v>145</v>
      </c>
      <c r="AQ372">
        <f t="shared" si="168"/>
        <v>130</v>
      </c>
      <c r="AR372">
        <f t="shared" si="169"/>
        <v>117</v>
      </c>
      <c r="AS372">
        <f t="shared" si="170"/>
        <v>183</v>
      </c>
      <c r="AT372">
        <f t="shared" si="171"/>
        <v>167</v>
      </c>
      <c r="AU372">
        <f t="shared" si="172"/>
        <v>135</v>
      </c>
      <c r="AV372">
        <f t="shared" si="173"/>
        <v>121</v>
      </c>
      <c r="AW372">
        <f t="shared" si="174"/>
        <v>108</v>
      </c>
      <c r="AX372">
        <f t="shared" si="175"/>
        <v>145</v>
      </c>
      <c r="AY372">
        <f t="shared" si="176"/>
        <v>132</v>
      </c>
      <c r="AZ372">
        <f t="shared" si="177"/>
        <v>100</v>
      </c>
      <c r="BA372">
        <f t="shared" si="178"/>
        <v>90</v>
      </c>
      <c r="BB372">
        <f t="shared" si="179"/>
        <v>76</v>
      </c>
    </row>
    <row r="373" spans="1:54" x14ac:dyDescent="0.15">
      <c r="A373">
        <v>252</v>
      </c>
      <c r="B373" t="s">
        <v>1369</v>
      </c>
      <c r="C373">
        <v>283</v>
      </c>
      <c r="D373">
        <v>0</v>
      </c>
      <c r="E373" t="s">
        <v>1370</v>
      </c>
      <c r="G373" t="s">
        <v>1370</v>
      </c>
      <c r="H373" t="s">
        <v>1371</v>
      </c>
      <c r="J373" t="s">
        <v>1372</v>
      </c>
      <c r="K373">
        <v>1.7</v>
      </c>
      <c r="L373">
        <v>0.5</v>
      </c>
      <c r="M373" t="s">
        <v>90</v>
      </c>
      <c r="N373" t="s">
        <v>71</v>
      </c>
      <c r="O373" t="s">
        <v>346</v>
      </c>
      <c r="P373" t="s">
        <v>73</v>
      </c>
      <c r="R373">
        <v>9</v>
      </c>
      <c r="S373">
        <v>40</v>
      </c>
      <c r="T373">
        <v>30</v>
      </c>
      <c r="U373">
        <v>32</v>
      </c>
      <c r="V373">
        <v>50</v>
      </c>
      <c r="W373">
        <v>52</v>
      </c>
      <c r="X373">
        <v>65</v>
      </c>
      <c r="Y373">
        <f t="shared" si="150"/>
        <v>147</v>
      </c>
      <c r="Z373">
        <f t="shared" si="151"/>
        <v>147</v>
      </c>
      <c r="AA373">
        <f t="shared" si="152"/>
        <v>115</v>
      </c>
      <c r="AB373">
        <f t="shared" si="153"/>
        <v>115</v>
      </c>
      <c r="AC373">
        <f t="shared" si="154"/>
        <v>100</v>
      </c>
      <c r="AD373">
        <f t="shared" si="155"/>
        <v>90</v>
      </c>
      <c r="AE373">
        <f t="shared" si="156"/>
        <v>82</v>
      </c>
      <c r="AF373">
        <f t="shared" si="157"/>
        <v>50</v>
      </c>
      <c r="AG373">
        <f t="shared" si="158"/>
        <v>45</v>
      </c>
      <c r="AH373">
        <f t="shared" si="159"/>
        <v>31</v>
      </c>
      <c r="AI373">
        <f t="shared" si="160"/>
        <v>92</v>
      </c>
      <c r="AJ373">
        <f t="shared" si="161"/>
        <v>84</v>
      </c>
      <c r="AK373">
        <f t="shared" si="162"/>
        <v>52</v>
      </c>
      <c r="AL373">
        <f t="shared" si="163"/>
        <v>46</v>
      </c>
      <c r="AM373">
        <f t="shared" si="164"/>
        <v>33</v>
      </c>
      <c r="AN373">
        <f t="shared" si="165"/>
        <v>112</v>
      </c>
      <c r="AO373">
        <f t="shared" si="166"/>
        <v>102</v>
      </c>
      <c r="AP373">
        <f t="shared" si="167"/>
        <v>70</v>
      </c>
      <c r="AQ373">
        <f t="shared" si="168"/>
        <v>63</v>
      </c>
      <c r="AR373">
        <f t="shared" si="169"/>
        <v>49</v>
      </c>
      <c r="AS373">
        <f t="shared" si="170"/>
        <v>114</v>
      </c>
      <c r="AT373">
        <f t="shared" si="171"/>
        <v>104</v>
      </c>
      <c r="AU373">
        <f t="shared" si="172"/>
        <v>72</v>
      </c>
      <c r="AV373">
        <f t="shared" si="173"/>
        <v>64</v>
      </c>
      <c r="AW373">
        <f t="shared" si="174"/>
        <v>51</v>
      </c>
      <c r="AX373">
        <f t="shared" si="175"/>
        <v>128</v>
      </c>
      <c r="AY373">
        <f t="shared" si="176"/>
        <v>117</v>
      </c>
      <c r="AZ373">
        <f t="shared" si="177"/>
        <v>85</v>
      </c>
      <c r="BA373">
        <f t="shared" si="178"/>
        <v>76</v>
      </c>
      <c r="BB373">
        <f t="shared" si="179"/>
        <v>63</v>
      </c>
    </row>
    <row r="374" spans="1:54" x14ac:dyDescent="0.15">
      <c r="A374">
        <v>253</v>
      </c>
      <c r="B374" t="s">
        <v>1373</v>
      </c>
      <c r="C374">
        <v>284</v>
      </c>
      <c r="D374">
        <v>0</v>
      </c>
      <c r="E374" t="s">
        <v>1374</v>
      </c>
      <c r="G374" t="s">
        <v>1374</v>
      </c>
      <c r="H374" t="s">
        <v>1375</v>
      </c>
      <c r="J374" t="s">
        <v>1376</v>
      </c>
      <c r="K374">
        <v>3.6</v>
      </c>
      <c r="L374">
        <v>0.8</v>
      </c>
      <c r="M374" t="s">
        <v>90</v>
      </c>
      <c r="N374" t="s">
        <v>57</v>
      </c>
      <c r="O374" t="s">
        <v>155</v>
      </c>
      <c r="P374" t="s">
        <v>156</v>
      </c>
      <c r="R374">
        <v>9</v>
      </c>
      <c r="S374">
        <v>70</v>
      </c>
      <c r="T374">
        <v>60</v>
      </c>
      <c r="U374">
        <v>62</v>
      </c>
      <c r="V374">
        <v>100</v>
      </c>
      <c r="W374">
        <v>82</v>
      </c>
      <c r="X374">
        <v>80</v>
      </c>
      <c r="Y374">
        <f t="shared" si="150"/>
        <v>177</v>
      </c>
      <c r="Z374">
        <f t="shared" si="151"/>
        <v>177</v>
      </c>
      <c r="AA374">
        <f t="shared" si="152"/>
        <v>145</v>
      </c>
      <c r="AB374">
        <f t="shared" si="153"/>
        <v>145</v>
      </c>
      <c r="AC374">
        <f t="shared" si="154"/>
        <v>130</v>
      </c>
      <c r="AD374">
        <f t="shared" si="155"/>
        <v>123</v>
      </c>
      <c r="AE374">
        <f t="shared" si="156"/>
        <v>112</v>
      </c>
      <c r="AF374">
        <f t="shared" si="157"/>
        <v>80</v>
      </c>
      <c r="AG374">
        <f t="shared" si="158"/>
        <v>72</v>
      </c>
      <c r="AH374">
        <f t="shared" si="159"/>
        <v>58</v>
      </c>
      <c r="AI374">
        <f t="shared" si="160"/>
        <v>125</v>
      </c>
      <c r="AJ374">
        <f t="shared" si="161"/>
        <v>114</v>
      </c>
      <c r="AK374">
        <f t="shared" si="162"/>
        <v>82</v>
      </c>
      <c r="AL374">
        <f t="shared" si="163"/>
        <v>73</v>
      </c>
      <c r="AM374">
        <f t="shared" si="164"/>
        <v>60</v>
      </c>
      <c r="AN374">
        <f t="shared" si="165"/>
        <v>167</v>
      </c>
      <c r="AO374">
        <f t="shared" si="166"/>
        <v>152</v>
      </c>
      <c r="AP374">
        <f t="shared" si="167"/>
        <v>120</v>
      </c>
      <c r="AQ374">
        <f t="shared" si="168"/>
        <v>108</v>
      </c>
      <c r="AR374">
        <f t="shared" si="169"/>
        <v>94</v>
      </c>
      <c r="AS374">
        <f t="shared" si="170"/>
        <v>147</v>
      </c>
      <c r="AT374">
        <f t="shared" si="171"/>
        <v>134</v>
      </c>
      <c r="AU374">
        <f t="shared" si="172"/>
        <v>102</v>
      </c>
      <c r="AV374">
        <f t="shared" si="173"/>
        <v>91</v>
      </c>
      <c r="AW374">
        <f t="shared" si="174"/>
        <v>78</v>
      </c>
      <c r="AX374">
        <f t="shared" si="175"/>
        <v>145</v>
      </c>
      <c r="AY374">
        <f t="shared" si="176"/>
        <v>132</v>
      </c>
      <c r="AZ374">
        <f t="shared" si="177"/>
        <v>100</v>
      </c>
      <c r="BA374">
        <f t="shared" si="178"/>
        <v>90</v>
      </c>
      <c r="BB374">
        <f t="shared" si="179"/>
        <v>76</v>
      </c>
    </row>
    <row r="375" spans="1:54" x14ac:dyDescent="0.15">
      <c r="A375">
        <v>254</v>
      </c>
      <c r="B375" t="s">
        <v>1377</v>
      </c>
      <c r="C375">
        <v>285</v>
      </c>
      <c r="D375">
        <v>0</v>
      </c>
      <c r="E375" t="s">
        <v>1378</v>
      </c>
      <c r="G375" t="s">
        <v>1378</v>
      </c>
      <c r="H375" t="s">
        <v>1379</v>
      </c>
      <c r="J375" t="s">
        <v>287</v>
      </c>
      <c r="K375">
        <v>4.5</v>
      </c>
      <c r="L375">
        <v>0.4</v>
      </c>
      <c r="M375" t="s">
        <v>26</v>
      </c>
      <c r="O375" t="s">
        <v>284</v>
      </c>
      <c r="P375" t="s">
        <v>1380</v>
      </c>
      <c r="Q375" t="s">
        <v>770</v>
      </c>
      <c r="R375">
        <v>9</v>
      </c>
      <c r="S375">
        <v>60</v>
      </c>
      <c r="T375">
        <v>40</v>
      </c>
      <c r="U375">
        <v>60</v>
      </c>
      <c r="V375">
        <v>40</v>
      </c>
      <c r="W375">
        <v>60</v>
      </c>
      <c r="X375">
        <v>35</v>
      </c>
      <c r="Y375">
        <f t="shared" si="150"/>
        <v>167</v>
      </c>
      <c r="Z375">
        <f t="shared" si="151"/>
        <v>167</v>
      </c>
      <c r="AA375">
        <f t="shared" si="152"/>
        <v>135</v>
      </c>
      <c r="AB375">
        <f t="shared" si="153"/>
        <v>135</v>
      </c>
      <c r="AC375">
        <f t="shared" si="154"/>
        <v>120</v>
      </c>
      <c r="AD375">
        <f t="shared" si="155"/>
        <v>101</v>
      </c>
      <c r="AE375">
        <f t="shared" si="156"/>
        <v>92</v>
      </c>
      <c r="AF375">
        <f t="shared" si="157"/>
        <v>60</v>
      </c>
      <c r="AG375">
        <f t="shared" si="158"/>
        <v>54</v>
      </c>
      <c r="AH375">
        <f t="shared" si="159"/>
        <v>40</v>
      </c>
      <c r="AI375">
        <f t="shared" si="160"/>
        <v>123</v>
      </c>
      <c r="AJ375">
        <f t="shared" si="161"/>
        <v>112</v>
      </c>
      <c r="AK375">
        <f t="shared" si="162"/>
        <v>80</v>
      </c>
      <c r="AL375">
        <f t="shared" si="163"/>
        <v>72</v>
      </c>
      <c r="AM375">
        <f t="shared" si="164"/>
        <v>58</v>
      </c>
      <c r="AN375">
        <f t="shared" si="165"/>
        <v>101</v>
      </c>
      <c r="AO375">
        <f t="shared" si="166"/>
        <v>92</v>
      </c>
      <c r="AP375">
        <f t="shared" si="167"/>
        <v>60</v>
      </c>
      <c r="AQ375">
        <f t="shared" si="168"/>
        <v>54</v>
      </c>
      <c r="AR375">
        <f t="shared" si="169"/>
        <v>40</v>
      </c>
      <c r="AS375">
        <f t="shared" si="170"/>
        <v>123</v>
      </c>
      <c r="AT375">
        <f t="shared" si="171"/>
        <v>112</v>
      </c>
      <c r="AU375">
        <f t="shared" si="172"/>
        <v>80</v>
      </c>
      <c r="AV375">
        <f t="shared" si="173"/>
        <v>72</v>
      </c>
      <c r="AW375">
        <f t="shared" si="174"/>
        <v>58</v>
      </c>
      <c r="AX375">
        <f t="shared" si="175"/>
        <v>95</v>
      </c>
      <c r="AY375">
        <f t="shared" si="176"/>
        <v>87</v>
      </c>
      <c r="AZ375">
        <f t="shared" si="177"/>
        <v>55</v>
      </c>
      <c r="BA375">
        <f t="shared" si="178"/>
        <v>49</v>
      </c>
      <c r="BB375">
        <f t="shared" si="179"/>
        <v>36</v>
      </c>
    </row>
    <row r="376" spans="1:54" x14ac:dyDescent="0.15">
      <c r="A376">
        <v>255</v>
      </c>
      <c r="B376" t="s">
        <v>1381</v>
      </c>
      <c r="C376">
        <v>286</v>
      </c>
      <c r="D376">
        <v>0</v>
      </c>
      <c r="E376" t="s">
        <v>1382</v>
      </c>
      <c r="G376" t="s">
        <v>1382</v>
      </c>
      <c r="H376" t="s">
        <v>1383</v>
      </c>
      <c r="J376" t="s">
        <v>287</v>
      </c>
      <c r="K376">
        <v>39.200000000000003</v>
      </c>
      <c r="L376">
        <v>1.2</v>
      </c>
      <c r="M376" t="s">
        <v>26</v>
      </c>
      <c r="N376" t="s">
        <v>354</v>
      </c>
      <c r="O376" t="s">
        <v>284</v>
      </c>
      <c r="P376" t="s">
        <v>1380</v>
      </c>
      <c r="Q376" t="s">
        <v>322</v>
      </c>
      <c r="R376">
        <v>9</v>
      </c>
      <c r="S376">
        <v>60</v>
      </c>
      <c r="T376">
        <v>130</v>
      </c>
      <c r="U376">
        <v>80</v>
      </c>
      <c r="V376">
        <v>60</v>
      </c>
      <c r="W376">
        <v>60</v>
      </c>
      <c r="X376">
        <v>70</v>
      </c>
      <c r="Y376">
        <f t="shared" si="150"/>
        <v>167</v>
      </c>
      <c r="Z376">
        <f t="shared" si="151"/>
        <v>167</v>
      </c>
      <c r="AA376">
        <f t="shared" si="152"/>
        <v>135</v>
      </c>
      <c r="AB376">
        <f t="shared" si="153"/>
        <v>135</v>
      </c>
      <c r="AC376">
        <f t="shared" si="154"/>
        <v>120</v>
      </c>
      <c r="AD376">
        <f t="shared" si="155"/>
        <v>200</v>
      </c>
      <c r="AE376">
        <f t="shared" si="156"/>
        <v>182</v>
      </c>
      <c r="AF376">
        <f t="shared" si="157"/>
        <v>150</v>
      </c>
      <c r="AG376">
        <f t="shared" si="158"/>
        <v>135</v>
      </c>
      <c r="AH376">
        <f t="shared" si="159"/>
        <v>121</v>
      </c>
      <c r="AI376">
        <f t="shared" si="160"/>
        <v>145</v>
      </c>
      <c r="AJ376">
        <f t="shared" si="161"/>
        <v>132</v>
      </c>
      <c r="AK376">
        <f t="shared" si="162"/>
        <v>100</v>
      </c>
      <c r="AL376">
        <f t="shared" si="163"/>
        <v>90</v>
      </c>
      <c r="AM376">
        <f t="shared" si="164"/>
        <v>76</v>
      </c>
      <c r="AN376">
        <f t="shared" si="165"/>
        <v>123</v>
      </c>
      <c r="AO376">
        <f t="shared" si="166"/>
        <v>112</v>
      </c>
      <c r="AP376">
        <f t="shared" si="167"/>
        <v>80</v>
      </c>
      <c r="AQ376">
        <f t="shared" si="168"/>
        <v>72</v>
      </c>
      <c r="AR376">
        <f t="shared" si="169"/>
        <v>58</v>
      </c>
      <c r="AS376">
        <f t="shared" si="170"/>
        <v>123</v>
      </c>
      <c r="AT376">
        <f t="shared" si="171"/>
        <v>112</v>
      </c>
      <c r="AU376">
        <f t="shared" si="172"/>
        <v>80</v>
      </c>
      <c r="AV376">
        <f t="shared" si="173"/>
        <v>72</v>
      </c>
      <c r="AW376">
        <f t="shared" si="174"/>
        <v>58</v>
      </c>
      <c r="AX376">
        <f t="shared" si="175"/>
        <v>134</v>
      </c>
      <c r="AY376">
        <f t="shared" si="176"/>
        <v>122</v>
      </c>
      <c r="AZ376">
        <f t="shared" si="177"/>
        <v>90</v>
      </c>
      <c r="BA376">
        <f t="shared" si="178"/>
        <v>81</v>
      </c>
      <c r="BB376">
        <f t="shared" si="179"/>
        <v>67</v>
      </c>
    </row>
    <row r="377" spans="1:54" x14ac:dyDescent="0.15">
      <c r="A377">
        <v>256</v>
      </c>
      <c r="B377" t="s">
        <v>1384</v>
      </c>
      <c r="C377">
        <v>287</v>
      </c>
      <c r="D377">
        <v>0</v>
      </c>
      <c r="E377" t="s">
        <v>1385</v>
      </c>
      <c r="G377" t="s">
        <v>1385</v>
      </c>
      <c r="H377" t="s">
        <v>1386</v>
      </c>
      <c r="J377" t="s">
        <v>1387</v>
      </c>
      <c r="K377">
        <v>24</v>
      </c>
      <c r="L377">
        <v>0.8</v>
      </c>
      <c r="M377" t="s">
        <v>120</v>
      </c>
      <c r="O377" t="s">
        <v>1388</v>
      </c>
      <c r="R377">
        <v>9</v>
      </c>
      <c r="S377">
        <v>60</v>
      </c>
      <c r="T377">
        <v>60</v>
      </c>
      <c r="U377">
        <v>60</v>
      </c>
      <c r="V377">
        <v>35</v>
      </c>
      <c r="W377">
        <v>35</v>
      </c>
      <c r="X377">
        <v>30</v>
      </c>
      <c r="Y377">
        <f t="shared" si="150"/>
        <v>167</v>
      </c>
      <c r="Z377">
        <f t="shared" si="151"/>
        <v>167</v>
      </c>
      <c r="AA377">
        <f t="shared" si="152"/>
        <v>135</v>
      </c>
      <c r="AB377">
        <f t="shared" si="153"/>
        <v>135</v>
      </c>
      <c r="AC377">
        <f t="shared" si="154"/>
        <v>120</v>
      </c>
      <c r="AD377">
        <f t="shared" si="155"/>
        <v>123</v>
      </c>
      <c r="AE377">
        <f t="shared" si="156"/>
        <v>112</v>
      </c>
      <c r="AF377">
        <f t="shared" si="157"/>
        <v>80</v>
      </c>
      <c r="AG377">
        <f t="shared" si="158"/>
        <v>72</v>
      </c>
      <c r="AH377">
        <f t="shared" si="159"/>
        <v>58</v>
      </c>
      <c r="AI377">
        <f t="shared" si="160"/>
        <v>123</v>
      </c>
      <c r="AJ377">
        <f t="shared" si="161"/>
        <v>112</v>
      </c>
      <c r="AK377">
        <f t="shared" si="162"/>
        <v>80</v>
      </c>
      <c r="AL377">
        <f t="shared" si="163"/>
        <v>72</v>
      </c>
      <c r="AM377">
        <f t="shared" si="164"/>
        <v>58</v>
      </c>
      <c r="AN377">
        <f t="shared" si="165"/>
        <v>95</v>
      </c>
      <c r="AO377">
        <f t="shared" si="166"/>
        <v>87</v>
      </c>
      <c r="AP377">
        <f t="shared" si="167"/>
        <v>55</v>
      </c>
      <c r="AQ377">
        <f t="shared" si="168"/>
        <v>49</v>
      </c>
      <c r="AR377">
        <f t="shared" si="169"/>
        <v>36</v>
      </c>
      <c r="AS377">
        <f t="shared" si="170"/>
        <v>95</v>
      </c>
      <c r="AT377">
        <f t="shared" si="171"/>
        <v>87</v>
      </c>
      <c r="AU377">
        <f t="shared" si="172"/>
        <v>55</v>
      </c>
      <c r="AV377">
        <f t="shared" si="173"/>
        <v>49</v>
      </c>
      <c r="AW377">
        <f t="shared" si="174"/>
        <v>36</v>
      </c>
      <c r="AX377">
        <f t="shared" si="175"/>
        <v>90</v>
      </c>
      <c r="AY377">
        <f t="shared" si="176"/>
        <v>82</v>
      </c>
      <c r="AZ377">
        <f t="shared" si="177"/>
        <v>50</v>
      </c>
      <c r="BA377">
        <f t="shared" si="178"/>
        <v>45</v>
      </c>
      <c r="BB377">
        <f t="shared" si="179"/>
        <v>31</v>
      </c>
    </row>
    <row r="378" spans="1:54" x14ac:dyDescent="0.15">
      <c r="A378">
        <v>257</v>
      </c>
      <c r="B378" t="s">
        <v>1389</v>
      </c>
      <c r="C378">
        <v>288</v>
      </c>
      <c r="D378">
        <v>0</v>
      </c>
      <c r="E378" t="s">
        <v>1390</v>
      </c>
      <c r="G378" t="s">
        <v>1390</v>
      </c>
      <c r="H378" t="s">
        <v>1391</v>
      </c>
      <c r="J378" t="s">
        <v>1392</v>
      </c>
      <c r="K378">
        <v>46.5</v>
      </c>
      <c r="L378">
        <v>1.4</v>
      </c>
      <c r="M378" t="s">
        <v>120</v>
      </c>
      <c r="O378" t="s">
        <v>355</v>
      </c>
      <c r="R378">
        <v>9</v>
      </c>
      <c r="S378">
        <v>80</v>
      </c>
      <c r="T378">
        <v>80</v>
      </c>
      <c r="U378">
        <v>80</v>
      </c>
      <c r="V378">
        <v>55</v>
      </c>
      <c r="W378">
        <v>55</v>
      </c>
      <c r="X378">
        <v>90</v>
      </c>
      <c r="Y378">
        <f t="shared" si="150"/>
        <v>187</v>
      </c>
      <c r="Z378">
        <f t="shared" si="151"/>
        <v>187</v>
      </c>
      <c r="AA378">
        <f t="shared" si="152"/>
        <v>155</v>
      </c>
      <c r="AB378">
        <f t="shared" si="153"/>
        <v>155</v>
      </c>
      <c r="AC378">
        <f t="shared" si="154"/>
        <v>140</v>
      </c>
      <c r="AD378">
        <f t="shared" si="155"/>
        <v>145</v>
      </c>
      <c r="AE378">
        <f t="shared" si="156"/>
        <v>132</v>
      </c>
      <c r="AF378">
        <f t="shared" si="157"/>
        <v>100</v>
      </c>
      <c r="AG378">
        <f t="shared" si="158"/>
        <v>90</v>
      </c>
      <c r="AH378">
        <f t="shared" si="159"/>
        <v>76</v>
      </c>
      <c r="AI378">
        <f t="shared" si="160"/>
        <v>145</v>
      </c>
      <c r="AJ378">
        <f t="shared" si="161"/>
        <v>132</v>
      </c>
      <c r="AK378">
        <f t="shared" si="162"/>
        <v>100</v>
      </c>
      <c r="AL378">
        <f t="shared" si="163"/>
        <v>90</v>
      </c>
      <c r="AM378">
        <f t="shared" si="164"/>
        <v>76</v>
      </c>
      <c r="AN378">
        <f t="shared" si="165"/>
        <v>117</v>
      </c>
      <c r="AO378">
        <f t="shared" si="166"/>
        <v>107</v>
      </c>
      <c r="AP378">
        <f t="shared" si="167"/>
        <v>75</v>
      </c>
      <c r="AQ378">
        <f t="shared" si="168"/>
        <v>67</v>
      </c>
      <c r="AR378">
        <f t="shared" si="169"/>
        <v>54</v>
      </c>
      <c r="AS378">
        <f t="shared" si="170"/>
        <v>117</v>
      </c>
      <c r="AT378">
        <f t="shared" si="171"/>
        <v>107</v>
      </c>
      <c r="AU378">
        <f t="shared" si="172"/>
        <v>75</v>
      </c>
      <c r="AV378">
        <f t="shared" si="173"/>
        <v>67</v>
      </c>
      <c r="AW378">
        <f t="shared" si="174"/>
        <v>54</v>
      </c>
      <c r="AX378">
        <f t="shared" si="175"/>
        <v>156</v>
      </c>
      <c r="AY378">
        <f t="shared" si="176"/>
        <v>142</v>
      </c>
      <c r="AZ378">
        <f t="shared" si="177"/>
        <v>110</v>
      </c>
      <c r="BA378">
        <f t="shared" si="178"/>
        <v>99</v>
      </c>
      <c r="BB378">
        <f t="shared" si="179"/>
        <v>85</v>
      </c>
    </row>
    <row r="379" spans="1:54" x14ac:dyDescent="0.15">
      <c r="A379">
        <v>258</v>
      </c>
      <c r="B379" t="s">
        <v>1393</v>
      </c>
      <c r="C379">
        <v>289</v>
      </c>
      <c r="D379">
        <v>0</v>
      </c>
      <c r="E379" t="s">
        <v>1394</v>
      </c>
      <c r="G379" t="s">
        <v>1394</v>
      </c>
      <c r="H379" t="s">
        <v>1395</v>
      </c>
      <c r="J379" t="s">
        <v>1396</v>
      </c>
      <c r="K379">
        <v>130.5</v>
      </c>
      <c r="L379">
        <v>2</v>
      </c>
      <c r="M379" t="s">
        <v>120</v>
      </c>
      <c r="O379" t="s">
        <v>1388</v>
      </c>
      <c r="R379">
        <v>9</v>
      </c>
      <c r="S379">
        <v>150</v>
      </c>
      <c r="T379">
        <v>160</v>
      </c>
      <c r="U379">
        <v>100</v>
      </c>
      <c r="V379">
        <v>95</v>
      </c>
      <c r="W379">
        <v>65</v>
      </c>
      <c r="X379">
        <v>100</v>
      </c>
      <c r="Y379">
        <f t="shared" si="150"/>
        <v>257</v>
      </c>
      <c r="Z379">
        <f t="shared" si="151"/>
        <v>257</v>
      </c>
      <c r="AA379">
        <f t="shared" si="152"/>
        <v>225</v>
      </c>
      <c r="AB379">
        <f t="shared" si="153"/>
        <v>225</v>
      </c>
      <c r="AC379">
        <f t="shared" si="154"/>
        <v>210</v>
      </c>
      <c r="AD379">
        <f t="shared" si="155"/>
        <v>233</v>
      </c>
      <c r="AE379">
        <f t="shared" si="156"/>
        <v>212</v>
      </c>
      <c r="AF379">
        <f t="shared" si="157"/>
        <v>180</v>
      </c>
      <c r="AG379">
        <f t="shared" si="158"/>
        <v>162</v>
      </c>
      <c r="AH379">
        <f t="shared" si="159"/>
        <v>148</v>
      </c>
      <c r="AI379">
        <f t="shared" si="160"/>
        <v>167</v>
      </c>
      <c r="AJ379">
        <f t="shared" si="161"/>
        <v>152</v>
      </c>
      <c r="AK379">
        <f t="shared" si="162"/>
        <v>120</v>
      </c>
      <c r="AL379">
        <f t="shared" si="163"/>
        <v>108</v>
      </c>
      <c r="AM379">
        <f t="shared" si="164"/>
        <v>94</v>
      </c>
      <c r="AN379">
        <f t="shared" si="165"/>
        <v>161</v>
      </c>
      <c r="AO379">
        <f t="shared" si="166"/>
        <v>147</v>
      </c>
      <c r="AP379">
        <f t="shared" si="167"/>
        <v>115</v>
      </c>
      <c r="AQ379">
        <f t="shared" si="168"/>
        <v>103</v>
      </c>
      <c r="AR379">
        <f t="shared" si="169"/>
        <v>90</v>
      </c>
      <c r="AS379">
        <f t="shared" si="170"/>
        <v>128</v>
      </c>
      <c r="AT379">
        <f t="shared" si="171"/>
        <v>117</v>
      </c>
      <c r="AU379">
        <f t="shared" si="172"/>
        <v>85</v>
      </c>
      <c r="AV379">
        <f t="shared" si="173"/>
        <v>76</v>
      </c>
      <c r="AW379">
        <f t="shared" si="174"/>
        <v>63</v>
      </c>
      <c r="AX379">
        <f t="shared" si="175"/>
        <v>167</v>
      </c>
      <c r="AY379">
        <f t="shared" si="176"/>
        <v>152</v>
      </c>
      <c r="AZ379">
        <f t="shared" si="177"/>
        <v>120</v>
      </c>
      <c r="BA379">
        <f t="shared" si="178"/>
        <v>108</v>
      </c>
      <c r="BB379">
        <f t="shared" si="179"/>
        <v>94</v>
      </c>
    </row>
    <row r="380" spans="1:54" x14ac:dyDescent="0.15">
      <c r="B380" t="s">
        <v>1397</v>
      </c>
      <c r="C380">
        <v>290</v>
      </c>
      <c r="D380">
        <v>0</v>
      </c>
      <c r="E380" t="s">
        <v>1398</v>
      </c>
      <c r="G380" t="s">
        <v>1398</v>
      </c>
      <c r="J380" t="s">
        <v>1399</v>
      </c>
      <c r="K380">
        <v>5.5</v>
      </c>
      <c r="L380">
        <v>0.5</v>
      </c>
      <c r="M380" t="s">
        <v>90</v>
      </c>
      <c r="N380" t="s">
        <v>196</v>
      </c>
      <c r="O380" t="s">
        <v>100</v>
      </c>
      <c r="P380" t="s">
        <v>92</v>
      </c>
      <c r="R380">
        <v>8</v>
      </c>
      <c r="S380">
        <v>31</v>
      </c>
      <c r="T380">
        <v>45</v>
      </c>
      <c r="U380">
        <v>90</v>
      </c>
      <c r="V380">
        <v>30</v>
      </c>
      <c r="W380">
        <v>30</v>
      </c>
      <c r="X380">
        <v>40</v>
      </c>
      <c r="Y380">
        <f t="shared" si="150"/>
        <v>138</v>
      </c>
      <c r="Z380">
        <f t="shared" si="151"/>
        <v>138</v>
      </c>
      <c r="AA380">
        <f t="shared" si="152"/>
        <v>106</v>
      </c>
      <c r="AB380">
        <f t="shared" si="153"/>
        <v>106</v>
      </c>
      <c r="AC380">
        <f t="shared" si="154"/>
        <v>91</v>
      </c>
      <c r="AD380">
        <f t="shared" si="155"/>
        <v>106</v>
      </c>
      <c r="AE380">
        <f t="shared" si="156"/>
        <v>97</v>
      </c>
      <c r="AF380">
        <f t="shared" si="157"/>
        <v>65</v>
      </c>
      <c r="AG380">
        <f t="shared" si="158"/>
        <v>58</v>
      </c>
      <c r="AH380">
        <f t="shared" si="159"/>
        <v>45</v>
      </c>
      <c r="AI380">
        <f t="shared" si="160"/>
        <v>156</v>
      </c>
      <c r="AJ380">
        <f t="shared" si="161"/>
        <v>142</v>
      </c>
      <c r="AK380">
        <f t="shared" si="162"/>
        <v>110</v>
      </c>
      <c r="AL380">
        <f t="shared" si="163"/>
        <v>99</v>
      </c>
      <c r="AM380">
        <f t="shared" si="164"/>
        <v>85</v>
      </c>
      <c r="AN380">
        <f t="shared" si="165"/>
        <v>90</v>
      </c>
      <c r="AO380">
        <f t="shared" si="166"/>
        <v>82</v>
      </c>
      <c r="AP380">
        <f t="shared" si="167"/>
        <v>50</v>
      </c>
      <c r="AQ380">
        <f t="shared" si="168"/>
        <v>45</v>
      </c>
      <c r="AR380">
        <f t="shared" si="169"/>
        <v>31</v>
      </c>
      <c r="AS380">
        <f t="shared" si="170"/>
        <v>90</v>
      </c>
      <c r="AT380">
        <f t="shared" si="171"/>
        <v>82</v>
      </c>
      <c r="AU380">
        <f t="shared" si="172"/>
        <v>50</v>
      </c>
      <c r="AV380">
        <f t="shared" si="173"/>
        <v>45</v>
      </c>
      <c r="AW380">
        <f t="shared" si="174"/>
        <v>31</v>
      </c>
      <c r="AX380">
        <f t="shared" si="175"/>
        <v>101</v>
      </c>
      <c r="AY380">
        <f t="shared" si="176"/>
        <v>92</v>
      </c>
      <c r="AZ380">
        <f t="shared" si="177"/>
        <v>60</v>
      </c>
      <c r="BA380">
        <f t="shared" si="178"/>
        <v>54</v>
      </c>
      <c r="BB380">
        <f t="shared" si="179"/>
        <v>40</v>
      </c>
    </row>
    <row r="381" spans="1:54" x14ac:dyDescent="0.15">
      <c r="B381" t="s">
        <v>1400</v>
      </c>
      <c r="C381">
        <v>291</v>
      </c>
      <c r="D381">
        <v>0</v>
      </c>
      <c r="E381" t="s">
        <v>1401</v>
      </c>
      <c r="G381" t="s">
        <v>1401</v>
      </c>
      <c r="J381" t="s">
        <v>1402</v>
      </c>
      <c r="K381">
        <v>12</v>
      </c>
      <c r="L381">
        <v>0.8</v>
      </c>
      <c r="M381" t="s">
        <v>90</v>
      </c>
      <c r="N381" t="s">
        <v>57</v>
      </c>
      <c r="O381" t="s">
        <v>1004</v>
      </c>
      <c r="P381" t="s">
        <v>269</v>
      </c>
      <c r="R381">
        <v>8</v>
      </c>
      <c r="S381">
        <v>61</v>
      </c>
      <c r="T381">
        <v>90</v>
      </c>
      <c r="U381">
        <v>45</v>
      </c>
      <c r="V381">
        <v>50</v>
      </c>
      <c r="W381">
        <v>50</v>
      </c>
      <c r="X381">
        <v>160</v>
      </c>
      <c r="Y381">
        <f t="shared" si="150"/>
        <v>168</v>
      </c>
      <c r="Z381">
        <f t="shared" si="151"/>
        <v>168</v>
      </c>
      <c r="AA381">
        <f t="shared" si="152"/>
        <v>136</v>
      </c>
      <c r="AB381">
        <f t="shared" si="153"/>
        <v>136</v>
      </c>
      <c r="AC381">
        <f t="shared" si="154"/>
        <v>121</v>
      </c>
      <c r="AD381">
        <f t="shared" si="155"/>
        <v>156</v>
      </c>
      <c r="AE381">
        <f t="shared" si="156"/>
        <v>142</v>
      </c>
      <c r="AF381">
        <f t="shared" si="157"/>
        <v>110</v>
      </c>
      <c r="AG381">
        <f t="shared" si="158"/>
        <v>99</v>
      </c>
      <c r="AH381">
        <f t="shared" si="159"/>
        <v>85</v>
      </c>
      <c r="AI381">
        <f t="shared" si="160"/>
        <v>106</v>
      </c>
      <c r="AJ381">
        <f t="shared" si="161"/>
        <v>97</v>
      </c>
      <c r="AK381">
        <f t="shared" si="162"/>
        <v>65</v>
      </c>
      <c r="AL381">
        <f t="shared" si="163"/>
        <v>58</v>
      </c>
      <c r="AM381">
        <f t="shared" si="164"/>
        <v>45</v>
      </c>
      <c r="AN381">
        <f t="shared" si="165"/>
        <v>112</v>
      </c>
      <c r="AO381">
        <f t="shared" si="166"/>
        <v>102</v>
      </c>
      <c r="AP381">
        <f t="shared" si="167"/>
        <v>70</v>
      </c>
      <c r="AQ381">
        <f t="shared" si="168"/>
        <v>63</v>
      </c>
      <c r="AR381">
        <f t="shared" si="169"/>
        <v>49</v>
      </c>
      <c r="AS381">
        <f t="shared" si="170"/>
        <v>112</v>
      </c>
      <c r="AT381">
        <f t="shared" si="171"/>
        <v>102</v>
      </c>
      <c r="AU381">
        <f t="shared" si="172"/>
        <v>70</v>
      </c>
      <c r="AV381">
        <f t="shared" si="173"/>
        <v>63</v>
      </c>
      <c r="AW381">
        <f t="shared" si="174"/>
        <v>49</v>
      </c>
      <c r="AX381">
        <f t="shared" si="175"/>
        <v>233</v>
      </c>
      <c r="AY381">
        <f t="shared" si="176"/>
        <v>212</v>
      </c>
      <c r="AZ381">
        <f t="shared" si="177"/>
        <v>180</v>
      </c>
      <c r="BA381">
        <f t="shared" si="178"/>
        <v>162</v>
      </c>
      <c r="BB381">
        <f t="shared" si="179"/>
        <v>148</v>
      </c>
    </row>
    <row r="382" spans="1:54" x14ac:dyDescent="0.15">
      <c r="B382" t="s">
        <v>1403</v>
      </c>
      <c r="C382">
        <v>292</v>
      </c>
      <c r="D382">
        <v>0</v>
      </c>
      <c r="E382" t="s">
        <v>1404</v>
      </c>
      <c r="G382" t="s">
        <v>1404</v>
      </c>
      <c r="J382" t="s">
        <v>1405</v>
      </c>
      <c r="K382">
        <v>1.2</v>
      </c>
      <c r="L382">
        <v>0.8</v>
      </c>
      <c r="M382" t="s">
        <v>90</v>
      </c>
      <c r="N382" t="s">
        <v>546</v>
      </c>
      <c r="O382" t="s">
        <v>1406</v>
      </c>
      <c r="R382">
        <v>8</v>
      </c>
      <c r="S382">
        <v>1</v>
      </c>
      <c r="T382">
        <v>90</v>
      </c>
      <c r="U382">
        <v>45</v>
      </c>
      <c r="V382">
        <v>30</v>
      </c>
      <c r="W382">
        <v>30</v>
      </c>
      <c r="X382">
        <v>40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f t="shared" si="155"/>
        <v>156</v>
      </c>
      <c r="AE382">
        <f t="shared" si="156"/>
        <v>142</v>
      </c>
      <c r="AF382">
        <f t="shared" si="157"/>
        <v>110</v>
      </c>
      <c r="AG382">
        <f t="shared" si="158"/>
        <v>99</v>
      </c>
      <c r="AH382">
        <f t="shared" si="159"/>
        <v>85</v>
      </c>
      <c r="AI382">
        <f t="shared" si="160"/>
        <v>106</v>
      </c>
      <c r="AJ382">
        <f t="shared" si="161"/>
        <v>97</v>
      </c>
      <c r="AK382">
        <f t="shared" si="162"/>
        <v>65</v>
      </c>
      <c r="AL382">
        <f t="shared" si="163"/>
        <v>58</v>
      </c>
      <c r="AM382">
        <f t="shared" si="164"/>
        <v>45</v>
      </c>
      <c r="AN382">
        <f t="shared" si="165"/>
        <v>90</v>
      </c>
      <c r="AO382">
        <f t="shared" si="166"/>
        <v>82</v>
      </c>
      <c r="AP382">
        <f t="shared" si="167"/>
        <v>50</v>
      </c>
      <c r="AQ382">
        <f t="shared" si="168"/>
        <v>45</v>
      </c>
      <c r="AR382">
        <f t="shared" si="169"/>
        <v>31</v>
      </c>
      <c r="AS382">
        <f t="shared" si="170"/>
        <v>90</v>
      </c>
      <c r="AT382">
        <f t="shared" si="171"/>
        <v>82</v>
      </c>
      <c r="AU382">
        <f t="shared" si="172"/>
        <v>50</v>
      </c>
      <c r="AV382">
        <f t="shared" si="173"/>
        <v>45</v>
      </c>
      <c r="AW382">
        <f t="shared" si="174"/>
        <v>31</v>
      </c>
      <c r="AX382">
        <f t="shared" si="175"/>
        <v>101</v>
      </c>
      <c r="AY382">
        <f t="shared" si="176"/>
        <v>92</v>
      </c>
      <c r="AZ382">
        <f t="shared" si="177"/>
        <v>60</v>
      </c>
      <c r="BA382">
        <f t="shared" si="178"/>
        <v>54</v>
      </c>
      <c r="BB382">
        <f t="shared" si="179"/>
        <v>40</v>
      </c>
    </row>
    <row r="383" spans="1:54" x14ac:dyDescent="0.15">
      <c r="B383" t="s">
        <v>1407</v>
      </c>
      <c r="C383">
        <v>293</v>
      </c>
      <c r="D383">
        <v>0</v>
      </c>
      <c r="E383" t="s">
        <v>1408</v>
      </c>
      <c r="G383" t="s">
        <v>1408</v>
      </c>
      <c r="J383" t="s">
        <v>1409</v>
      </c>
      <c r="K383">
        <v>16.3</v>
      </c>
      <c r="L383">
        <v>0.6</v>
      </c>
      <c r="M383" t="s">
        <v>120</v>
      </c>
      <c r="O383" t="s">
        <v>586</v>
      </c>
      <c r="P383" t="s">
        <v>736</v>
      </c>
      <c r="R383">
        <v>8</v>
      </c>
      <c r="S383">
        <v>64</v>
      </c>
      <c r="T383">
        <v>51</v>
      </c>
      <c r="U383">
        <v>23</v>
      </c>
      <c r="V383">
        <v>51</v>
      </c>
      <c r="W383">
        <v>23</v>
      </c>
      <c r="X383">
        <v>28</v>
      </c>
      <c r="Y383">
        <f t="shared" si="150"/>
        <v>171</v>
      </c>
      <c r="Z383">
        <f t="shared" si="151"/>
        <v>171</v>
      </c>
      <c r="AA383">
        <f t="shared" si="152"/>
        <v>139</v>
      </c>
      <c r="AB383">
        <f t="shared" si="153"/>
        <v>139</v>
      </c>
      <c r="AC383">
        <f t="shared" si="154"/>
        <v>124</v>
      </c>
      <c r="AD383">
        <f t="shared" si="155"/>
        <v>113</v>
      </c>
      <c r="AE383">
        <f t="shared" si="156"/>
        <v>103</v>
      </c>
      <c r="AF383">
        <f t="shared" si="157"/>
        <v>71</v>
      </c>
      <c r="AG383">
        <f t="shared" si="158"/>
        <v>63</v>
      </c>
      <c r="AH383">
        <f t="shared" si="159"/>
        <v>50</v>
      </c>
      <c r="AI383">
        <f t="shared" si="160"/>
        <v>82</v>
      </c>
      <c r="AJ383">
        <f t="shared" si="161"/>
        <v>75</v>
      </c>
      <c r="AK383">
        <f t="shared" si="162"/>
        <v>43</v>
      </c>
      <c r="AL383">
        <f t="shared" si="163"/>
        <v>38</v>
      </c>
      <c r="AM383">
        <f t="shared" si="164"/>
        <v>25</v>
      </c>
      <c r="AN383">
        <f t="shared" si="165"/>
        <v>113</v>
      </c>
      <c r="AO383">
        <f t="shared" si="166"/>
        <v>103</v>
      </c>
      <c r="AP383">
        <f t="shared" si="167"/>
        <v>71</v>
      </c>
      <c r="AQ383">
        <f t="shared" si="168"/>
        <v>63</v>
      </c>
      <c r="AR383">
        <f t="shared" si="169"/>
        <v>50</v>
      </c>
      <c r="AS383">
        <f t="shared" si="170"/>
        <v>82</v>
      </c>
      <c r="AT383">
        <f t="shared" si="171"/>
        <v>75</v>
      </c>
      <c r="AU383">
        <f t="shared" si="172"/>
        <v>43</v>
      </c>
      <c r="AV383">
        <f t="shared" si="173"/>
        <v>38</v>
      </c>
      <c r="AW383">
        <f t="shared" si="174"/>
        <v>25</v>
      </c>
      <c r="AX383">
        <f t="shared" si="175"/>
        <v>88</v>
      </c>
      <c r="AY383">
        <f t="shared" si="176"/>
        <v>80</v>
      </c>
      <c r="AZ383">
        <f t="shared" si="177"/>
        <v>48</v>
      </c>
      <c r="BA383">
        <f t="shared" si="178"/>
        <v>43</v>
      </c>
      <c r="BB383">
        <f t="shared" si="179"/>
        <v>29</v>
      </c>
    </row>
    <row r="384" spans="1:54" x14ac:dyDescent="0.15">
      <c r="B384" t="s">
        <v>1410</v>
      </c>
      <c r="C384">
        <v>294</v>
      </c>
      <c r="D384">
        <v>0</v>
      </c>
      <c r="E384" t="s">
        <v>1411</v>
      </c>
      <c r="G384" t="s">
        <v>1411</v>
      </c>
      <c r="J384" t="s">
        <v>1412</v>
      </c>
      <c r="K384">
        <v>40.5</v>
      </c>
      <c r="L384">
        <v>1</v>
      </c>
      <c r="M384" t="s">
        <v>120</v>
      </c>
      <c r="O384" t="s">
        <v>586</v>
      </c>
      <c r="P384" t="s">
        <v>499</v>
      </c>
      <c r="R384">
        <v>8</v>
      </c>
      <c r="S384">
        <v>84</v>
      </c>
      <c r="T384">
        <v>71</v>
      </c>
      <c r="U384">
        <v>43</v>
      </c>
      <c r="V384">
        <v>71</v>
      </c>
      <c r="W384">
        <v>43</v>
      </c>
      <c r="X384">
        <v>48</v>
      </c>
      <c r="Y384">
        <f t="shared" si="150"/>
        <v>191</v>
      </c>
      <c r="Z384">
        <f t="shared" si="151"/>
        <v>191</v>
      </c>
      <c r="AA384">
        <f t="shared" si="152"/>
        <v>159</v>
      </c>
      <c r="AB384">
        <f t="shared" si="153"/>
        <v>159</v>
      </c>
      <c r="AC384">
        <f t="shared" si="154"/>
        <v>144</v>
      </c>
      <c r="AD384">
        <f t="shared" si="155"/>
        <v>135</v>
      </c>
      <c r="AE384">
        <f t="shared" si="156"/>
        <v>123</v>
      </c>
      <c r="AF384">
        <f t="shared" si="157"/>
        <v>91</v>
      </c>
      <c r="AG384">
        <f t="shared" si="158"/>
        <v>81</v>
      </c>
      <c r="AH384">
        <f t="shared" si="159"/>
        <v>68</v>
      </c>
      <c r="AI384">
        <f t="shared" si="160"/>
        <v>104</v>
      </c>
      <c r="AJ384">
        <f t="shared" si="161"/>
        <v>95</v>
      </c>
      <c r="AK384">
        <f t="shared" si="162"/>
        <v>63</v>
      </c>
      <c r="AL384">
        <f t="shared" si="163"/>
        <v>56</v>
      </c>
      <c r="AM384">
        <f t="shared" si="164"/>
        <v>43</v>
      </c>
      <c r="AN384">
        <f t="shared" si="165"/>
        <v>135</v>
      </c>
      <c r="AO384">
        <f t="shared" si="166"/>
        <v>123</v>
      </c>
      <c r="AP384">
        <f t="shared" si="167"/>
        <v>91</v>
      </c>
      <c r="AQ384">
        <f t="shared" si="168"/>
        <v>81</v>
      </c>
      <c r="AR384">
        <f t="shared" si="169"/>
        <v>68</v>
      </c>
      <c r="AS384">
        <f t="shared" si="170"/>
        <v>104</v>
      </c>
      <c r="AT384">
        <f t="shared" si="171"/>
        <v>95</v>
      </c>
      <c r="AU384">
        <f t="shared" si="172"/>
        <v>63</v>
      </c>
      <c r="AV384">
        <f t="shared" si="173"/>
        <v>56</v>
      </c>
      <c r="AW384">
        <f t="shared" si="174"/>
        <v>43</v>
      </c>
      <c r="AX384">
        <f t="shared" si="175"/>
        <v>110</v>
      </c>
      <c r="AY384">
        <f t="shared" si="176"/>
        <v>100</v>
      </c>
      <c r="AZ384">
        <f t="shared" si="177"/>
        <v>68</v>
      </c>
      <c r="BA384">
        <f t="shared" si="178"/>
        <v>61</v>
      </c>
      <c r="BB384">
        <f t="shared" si="179"/>
        <v>47</v>
      </c>
    </row>
    <row r="385" spans="1:54" x14ac:dyDescent="0.15">
      <c r="B385" t="s">
        <v>1413</v>
      </c>
      <c r="C385">
        <v>295</v>
      </c>
      <c r="D385">
        <v>0</v>
      </c>
      <c r="E385" t="s">
        <v>1414</v>
      </c>
      <c r="G385" t="s">
        <v>1414</v>
      </c>
      <c r="J385" t="s">
        <v>1415</v>
      </c>
      <c r="K385">
        <v>84</v>
      </c>
      <c r="L385">
        <v>1.5</v>
      </c>
      <c r="M385" t="s">
        <v>120</v>
      </c>
      <c r="O385" t="s">
        <v>586</v>
      </c>
      <c r="P385" t="s">
        <v>499</v>
      </c>
      <c r="R385">
        <v>8</v>
      </c>
      <c r="S385">
        <v>104</v>
      </c>
      <c r="T385">
        <v>91</v>
      </c>
      <c r="U385">
        <v>63</v>
      </c>
      <c r="V385">
        <v>91</v>
      </c>
      <c r="W385">
        <v>73</v>
      </c>
      <c r="X385">
        <v>68</v>
      </c>
      <c r="Y385">
        <f t="shared" si="150"/>
        <v>211</v>
      </c>
      <c r="Z385">
        <f t="shared" si="151"/>
        <v>211</v>
      </c>
      <c r="AA385">
        <f t="shared" si="152"/>
        <v>179</v>
      </c>
      <c r="AB385">
        <f t="shared" si="153"/>
        <v>179</v>
      </c>
      <c r="AC385">
        <f t="shared" si="154"/>
        <v>164</v>
      </c>
      <c r="AD385">
        <f t="shared" si="155"/>
        <v>157</v>
      </c>
      <c r="AE385">
        <f t="shared" si="156"/>
        <v>143</v>
      </c>
      <c r="AF385">
        <f t="shared" si="157"/>
        <v>111</v>
      </c>
      <c r="AG385">
        <f t="shared" si="158"/>
        <v>99</v>
      </c>
      <c r="AH385">
        <f t="shared" si="159"/>
        <v>86</v>
      </c>
      <c r="AI385">
        <f t="shared" si="160"/>
        <v>126</v>
      </c>
      <c r="AJ385">
        <f t="shared" si="161"/>
        <v>115</v>
      </c>
      <c r="AK385">
        <f t="shared" si="162"/>
        <v>83</v>
      </c>
      <c r="AL385">
        <f t="shared" si="163"/>
        <v>74</v>
      </c>
      <c r="AM385">
        <f t="shared" si="164"/>
        <v>61</v>
      </c>
      <c r="AN385">
        <f t="shared" si="165"/>
        <v>157</v>
      </c>
      <c r="AO385">
        <f t="shared" si="166"/>
        <v>143</v>
      </c>
      <c r="AP385">
        <f t="shared" si="167"/>
        <v>111</v>
      </c>
      <c r="AQ385">
        <f t="shared" si="168"/>
        <v>99</v>
      </c>
      <c r="AR385">
        <f t="shared" si="169"/>
        <v>86</v>
      </c>
      <c r="AS385">
        <f t="shared" si="170"/>
        <v>137</v>
      </c>
      <c r="AT385">
        <f t="shared" si="171"/>
        <v>125</v>
      </c>
      <c r="AU385">
        <f t="shared" si="172"/>
        <v>93</v>
      </c>
      <c r="AV385">
        <f t="shared" si="173"/>
        <v>83</v>
      </c>
      <c r="AW385">
        <f t="shared" si="174"/>
        <v>70</v>
      </c>
      <c r="AX385">
        <f t="shared" si="175"/>
        <v>132</v>
      </c>
      <c r="AY385">
        <f t="shared" si="176"/>
        <v>120</v>
      </c>
      <c r="AZ385">
        <f t="shared" si="177"/>
        <v>88</v>
      </c>
      <c r="BA385">
        <f t="shared" si="178"/>
        <v>79</v>
      </c>
      <c r="BB385">
        <f t="shared" si="179"/>
        <v>65</v>
      </c>
    </row>
    <row r="386" spans="1:54" x14ac:dyDescent="0.15">
      <c r="A386">
        <v>259</v>
      </c>
      <c r="B386" t="s">
        <v>1416</v>
      </c>
      <c r="C386">
        <v>296</v>
      </c>
      <c r="D386">
        <v>0</v>
      </c>
      <c r="E386" t="s">
        <v>1417</v>
      </c>
      <c r="G386" t="s">
        <v>1417</v>
      </c>
      <c r="H386" t="s">
        <v>1418</v>
      </c>
      <c r="J386" t="s">
        <v>1419</v>
      </c>
      <c r="K386">
        <v>86.4</v>
      </c>
      <c r="L386">
        <v>1</v>
      </c>
      <c r="M386" t="s">
        <v>354</v>
      </c>
      <c r="O386" t="s">
        <v>38</v>
      </c>
      <c r="P386" t="s">
        <v>135</v>
      </c>
      <c r="Q386" t="s">
        <v>222</v>
      </c>
      <c r="R386">
        <v>9</v>
      </c>
      <c r="S386">
        <v>72</v>
      </c>
      <c r="T386">
        <v>60</v>
      </c>
      <c r="U386">
        <v>30</v>
      </c>
      <c r="V386">
        <v>20</v>
      </c>
      <c r="W386">
        <v>30</v>
      </c>
      <c r="X386">
        <v>25</v>
      </c>
      <c r="Y386">
        <f t="shared" ref="Y386:Y449" si="180">IF(S386="", "", S386+107)</f>
        <v>179</v>
      </c>
      <c r="Z386">
        <f t="shared" ref="Z386:Z449" si="181">IF(S386="", "", S386+107)</f>
        <v>179</v>
      </c>
      <c r="AA386">
        <f t="shared" ref="AA386:AA449" si="182">IF(S386="", "", INT(INT(S386*2 + 31)/2) + 60)</f>
        <v>147</v>
      </c>
      <c r="AB386">
        <f t="shared" ref="AB386:AB449" si="183">IF(S386="", "", INT(INT(S386*2 + 31)/2) + 60)</f>
        <v>147</v>
      </c>
      <c r="AC386">
        <f t="shared" ref="AC386:AC449" si="184">IF(S386="", "", S386 + 60)</f>
        <v>132</v>
      </c>
      <c r="AD386">
        <f t="shared" ref="AD386:AD449" si="185">IF(T386="","",INT((T386+52)*1.1))</f>
        <v>123</v>
      </c>
      <c r="AE386">
        <f t="shared" ref="AE386:AE449" si="186">IF(T386="","",T386+52)</f>
        <v>112</v>
      </c>
      <c r="AF386">
        <f t="shared" ref="AF386:AF449" si="187">IF(T386="", "", INT((T386*2 + 31)/2) + 5)</f>
        <v>80</v>
      </c>
      <c r="AG386">
        <f t="shared" ref="AG386:AG449" si="188">IF(T386="", "", INT((INT((T386*2 + 31)/2) + 5)*0.9) )</f>
        <v>72</v>
      </c>
      <c r="AH386">
        <f t="shared" ref="AH386:AH449" si="189">IF(T386="", "", INT((T386 + 5) * 0.9))</f>
        <v>58</v>
      </c>
      <c r="AI386">
        <f t="shared" ref="AI386:AI449" si="190">IF(U386="","",INT((U386+52)*1.1))</f>
        <v>90</v>
      </c>
      <c r="AJ386">
        <f t="shared" ref="AJ386:AJ449" si="191">IF(U386="","",U386+52)</f>
        <v>82</v>
      </c>
      <c r="AK386">
        <f t="shared" ref="AK386:AK449" si="192">IF(U386="", "", INT((U386*2 + 31)/2) + 5)</f>
        <v>50</v>
      </c>
      <c r="AL386">
        <f t="shared" ref="AL386:AL449" si="193">IF(U386="", "", INT((INT((U386*2 + 31)/2) + 5)*0.9) )</f>
        <v>45</v>
      </c>
      <c r="AM386">
        <f t="shared" ref="AM386:AM449" si="194">IF(U386="", "", INT((U386 + 5) * 0.9))</f>
        <v>31</v>
      </c>
      <c r="AN386">
        <f t="shared" ref="AN386:AN449" si="195">IF(V386="","",INT((V386+52)*1.1))</f>
        <v>79</v>
      </c>
      <c r="AO386">
        <f t="shared" ref="AO386:AO449" si="196">IF(V386="","",V386+52)</f>
        <v>72</v>
      </c>
      <c r="AP386">
        <f t="shared" ref="AP386:AP449" si="197">IF(V386="", "", INT((V386*2 + 31)/2) + 5)</f>
        <v>40</v>
      </c>
      <c r="AQ386">
        <f t="shared" ref="AQ386:AQ449" si="198">IF(V386="", "", INT((INT((V386*2 + 31)/2) + 5)*0.9) )</f>
        <v>36</v>
      </c>
      <c r="AR386">
        <f t="shared" ref="AR386:AR449" si="199">IF(V386="", "", INT((V386 + 5) * 0.9))</f>
        <v>22</v>
      </c>
      <c r="AS386">
        <f t="shared" ref="AS386:AS449" si="200">IF(W386="","",INT((W386+52)*1.1))</f>
        <v>90</v>
      </c>
      <c r="AT386">
        <f t="shared" ref="AT386:AT449" si="201">IF(W386="","",W386+52)</f>
        <v>82</v>
      </c>
      <c r="AU386">
        <f t="shared" ref="AU386:AU449" si="202">IF(W386="", "", INT((W386*2 + 31)/2) + 5)</f>
        <v>50</v>
      </c>
      <c r="AV386">
        <f t="shared" ref="AV386:AV449" si="203">IF(W386="", "", INT((INT((W386*2 + 31)/2) + 5)*0.9) )</f>
        <v>45</v>
      </c>
      <c r="AW386">
        <f t="shared" ref="AW386:AW449" si="204">IF(W386="", "", INT((W386 + 5) * 0.9))</f>
        <v>31</v>
      </c>
      <c r="AX386">
        <f t="shared" ref="AX386:AX449" si="205">IF(X386="","",INT((X386+52)*1.1))</f>
        <v>84</v>
      </c>
      <c r="AY386">
        <f t="shared" ref="AY386:AY449" si="206">IF(X386="","",X386+52)</f>
        <v>77</v>
      </c>
      <c r="AZ386">
        <f t="shared" ref="AZ386:AZ449" si="207">IF(X386="", "", INT((X386*2 + 31)/2) + 5)</f>
        <v>45</v>
      </c>
      <c r="BA386">
        <f t="shared" ref="BA386:BA449" si="208">IF(X386="", "", INT((INT((X386*2 + 31)/2) + 5)*0.9) )</f>
        <v>40</v>
      </c>
      <c r="BB386">
        <f t="shared" ref="BB386:BB449" si="209">IF(X386="", "", INT((X386 + 5) * 0.9))</f>
        <v>27</v>
      </c>
    </row>
    <row r="387" spans="1:54" x14ac:dyDescent="0.15">
      <c r="A387">
        <v>260</v>
      </c>
      <c r="B387" t="s">
        <v>1420</v>
      </c>
      <c r="C387">
        <v>297</v>
      </c>
      <c r="D387">
        <v>0</v>
      </c>
      <c r="E387" t="s">
        <v>1421</v>
      </c>
      <c r="G387" t="s">
        <v>1421</v>
      </c>
      <c r="H387" t="s">
        <v>1422</v>
      </c>
      <c r="J387" t="s">
        <v>1423</v>
      </c>
      <c r="K387">
        <v>253.8</v>
      </c>
      <c r="L387">
        <v>2.2999999999999998</v>
      </c>
      <c r="M387" t="s">
        <v>354</v>
      </c>
      <c r="O387" t="s">
        <v>38</v>
      </c>
      <c r="P387" t="s">
        <v>135</v>
      </c>
      <c r="Q387" t="s">
        <v>222</v>
      </c>
      <c r="R387">
        <v>9</v>
      </c>
      <c r="S387">
        <v>144</v>
      </c>
      <c r="T387">
        <v>120</v>
      </c>
      <c r="U387">
        <v>60</v>
      </c>
      <c r="V387">
        <v>40</v>
      </c>
      <c r="W387">
        <v>60</v>
      </c>
      <c r="X387">
        <v>50</v>
      </c>
      <c r="Y387">
        <f t="shared" si="180"/>
        <v>251</v>
      </c>
      <c r="Z387">
        <f t="shared" si="181"/>
        <v>251</v>
      </c>
      <c r="AA387">
        <f t="shared" si="182"/>
        <v>219</v>
      </c>
      <c r="AB387">
        <f t="shared" si="183"/>
        <v>219</v>
      </c>
      <c r="AC387">
        <f t="shared" si="184"/>
        <v>204</v>
      </c>
      <c r="AD387">
        <f t="shared" si="185"/>
        <v>189</v>
      </c>
      <c r="AE387">
        <f t="shared" si="186"/>
        <v>172</v>
      </c>
      <c r="AF387">
        <f t="shared" si="187"/>
        <v>140</v>
      </c>
      <c r="AG387">
        <f t="shared" si="188"/>
        <v>126</v>
      </c>
      <c r="AH387">
        <f t="shared" si="189"/>
        <v>112</v>
      </c>
      <c r="AI387">
        <f t="shared" si="190"/>
        <v>123</v>
      </c>
      <c r="AJ387">
        <f t="shared" si="191"/>
        <v>112</v>
      </c>
      <c r="AK387">
        <f t="shared" si="192"/>
        <v>80</v>
      </c>
      <c r="AL387">
        <f t="shared" si="193"/>
        <v>72</v>
      </c>
      <c r="AM387">
        <f t="shared" si="194"/>
        <v>58</v>
      </c>
      <c r="AN387">
        <f t="shared" si="195"/>
        <v>101</v>
      </c>
      <c r="AO387">
        <f t="shared" si="196"/>
        <v>92</v>
      </c>
      <c r="AP387">
        <f t="shared" si="197"/>
        <v>60</v>
      </c>
      <c r="AQ387">
        <f t="shared" si="198"/>
        <v>54</v>
      </c>
      <c r="AR387">
        <f t="shared" si="199"/>
        <v>40</v>
      </c>
      <c r="AS387">
        <f t="shared" si="200"/>
        <v>123</v>
      </c>
      <c r="AT387">
        <f t="shared" si="201"/>
        <v>112</v>
      </c>
      <c r="AU387">
        <f t="shared" si="202"/>
        <v>80</v>
      </c>
      <c r="AV387">
        <f t="shared" si="203"/>
        <v>72</v>
      </c>
      <c r="AW387">
        <f t="shared" si="204"/>
        <v>58</v>
      </c>
      <c r="AX387">
        <f t="shared" si="205"/>
        <v>112</v>
      </c>
      <c r="AY387">
        <f t="shared" si="206"/>
        <v>102</v>
      </c>
      <c r="AZ387">
        <f t="shared" si="207"/>
        <v>70</v>
      </c>
      <c r="BA387">
        <f t="shared" si="208"/>
        <v>63</v>
      </c>
      <c r="BB387">
        <f t="shared" si="209"/>
        <v>49</v>
      </c>
    </row>
    <row r="388" spans="1:54" x14ac:dyDescent="0.15">
      <c r="A388">
        <v>261</v>
      </c>
      <c r="B388" t="s">
        <v>1424</v>
      </c>
      <c r="C388">
        <v>298</v>
      </c>
      <c r="D388">
        <v>0</v>
      </c>
      <c r="E388" t="s">
        <v>1425</v>
      </c>
      <c r="G388" t="s">
        <v>1425</v>
      </c>
      <c r="H388" t="s">
        <v>1426</v>
      </c>
      <c r="J388" t="s">
        <v>1427</v>
      </c>
      <c r="K388">
        <v>2</v>
      </c>
      <c r="L388">
        <v>0.2</v>
      </c>
      <c r="M388" t="s">
        <v>120</v>
      </c>
      <c r="N388" t="s">
        <v>233</v>
      </c>
      <c r="O388" t="s">
        <v>38</v>
      </c>
      <c r="P388" t="s">
        <v>964</v>
      </c>
      <c r="Q388" t="s">
        <v>965</v>
      </c>
      <c r="R388">
        <v>9</v>
      </c>
      <c r="S388">
        <v>50</v>
      </c>
      <c r="T388">
        <v>20</v>
      </c>
      <c r="U388">
        <v>40</v>
      </c>
      <c r="V388">
        <v>20</v>
      </c>
      <c r="W388">
        <v>40</v>
      </c>
      <c r="X388">
        <v>20</v>
      </c>
      <c r="Y388">
        <f t="shared" si="180"/>
        <v>157</v>
      </c>
      <c r="Z388">
        <f t="shared" si="181"/>
        <v>157</v>
      </c>
      <c r="AA388">
        <f t="shared" si="182"/>
        <v>125</v>
      </c>
      <c r="AB388">
        <f t="shared" si="183"/>
        <v>125</v>
      </c>
      <c r="AC388">
        <f t="shared" si="184"/>
        <v>110</v>
      </c>
      <c r="AD388">
        <f t="shared" si="185"/>
        <v>79</v>
      </c>
      <c r="AE388">
        <f t="shared" si="186"/>
        <v>72</v>
      </c>
      <c r="AF388">
        <f t="shared" si="187"/>
        <v>40</v>
      </c>
      <c r="AG388">
        <f t="shared" si="188"/>
        <v>36</v>
      </c>
      <c r="AH388">
        <f t="shared" si="189"/>
        <v>22</v>
      </c>
      <c r="AI388">
        <f t="shared" si="190"/>
        <v>101</v>
      </c>
      <c r="AJ388">
        <f t="shared" si="191"/>
        <v>92</v>
      </c>
      <c r="AK388">
        <f t="shared" si="192"/>
        <v>60</v>
      </c>
      <c r="AL388">
        <f t="shared" si="193"/>
        <v>54</v>
      </c>
      <c r="AM388">
        <f t="shared" si="194"/>
        <v>40</v>
      </c>
      <c r="AN388">
        <f t="shared" si="195"/>
        <v>79</v>
      </c>
      <c r="AO388">
        <f t="shared" si="196"/>
        <v>72</v>
      </c>
      <c r="AP388">
        <f t="shared" si="197"/>
        <v>40</v>
      </c>
      <c r="AQ388">
        <f t="shared" si="198"/>
        <v>36</v>
      </c>
      <c r="AR388">
        <f t="shared" si="199"/>
        <v>22</v>
      </c>
      <c r="AS388">
        <f t="shared" si="200"/>
        <v>101</v>
      </c>
      <c r="AT388">
        <f t="shared" si="201"/>
        <v>92</v>
      </c>
      <c r="AU388">
        <f t="shared" si="202"/>
        <v>60</v>
      </c>
      <c r="AV388">
        <f t="shared" si="203"/>
        <v>54</v>
      </c>
      <c r="AW388">
        <f t="shared" si="204"/>
        <v>40</v>
      </c>
      <c r="AX388">
        <f t="shared" si="205"/>
        <v>79</v>
      </c>
      <c r="AY388">
        <f t="shared" si="206"/>
        <v>72</v>
      </c>
      <c r="AZ388">
        <f t="shared" si="207"/>
        <v>40</v>
      </c>
      <c r="BA388">
        <f t="shared" si="208"/>
        <v>36</v>
      </c>
      <c r="BB388">
        <f t="shared" si="209"/>
        <v>22</v>
      </c>
    </row>
    <row r="389" spans="1:54" x14ac:dyDescent="0.15">
      <c r="A389">
        <v>262</v>
      </c>
      <c r="B389" t="s">
        <v>1428</v>
      </c>
      <c r="C389">
        <v>299</v>
      </c>
      <c r="D389">
        <v>0</v>
      </c>
      <c r="E389" t="s">
        <v>1429</v>
      </c>
      <c r="G389" t="s">
        <v>1429</v>
      </c>
      <c r="H389" t="s">
        <v>1430</v>
      </c>
      <c r="J389" t="s">
        <v>1431</v>
      </c>
      <c r="K389">
        <v>97</v>
      </c>
      <c r="L389">
        <v>1</v>
      </c>
      <c r="M389" t="s">
        <v>371</v>
      </c>
      <c r="O389" t="s">
        <v>435</v>
      </c>
      <c r="P389" t="s">
        <v>439</v>
      </c>
      <c r="Q389" t="s">
        <v>306</v>
      </c>
      <c r="R389">
        <v>9</v>
      </c>
      <c r="S389">
        <v>30</v>
      </c>
      <c r="T389">
        <v>45</v>
      </c>
      <c r="U389">
        <v>135</v>
      </c>
      <c r="V389">
        <v>45</v>
      </c>
      <c r="W389">
        <v>90</v>
      </c>
      <c r="X389">
        <v>30</v>
      </c>
      <c r="Y389">
        <f t="shared" si="180"/>
        <v>137</v>
      </c>
      <c r="Z389">
        <f t="shared" si="181"/>
        <v>137</v>
      </c>
      <c r="AA389">
        <f t="shared" si="182"/>
        <v>105</v>
      </c>
      <c r="AB389">
        <f t="shared" si="183"/>
        <v>105</v>
      </c>
      <c r="AC389">
        <f t="shared" si="184"/>
        <v>90</v>
      </c>
      <c r="AD389">
        <f t="shared" si="185"/>
        <v>106</v>
      </c>
      <c r="AE389">
        <f t="shared" si="186"/>
        <v>97</v>
      </c>
      <c r="AF389">
        <f t="shared" si="187"/>
        <v>65</v>
      </c>
      <c r="AG389">
        <f t="shared" si="188"/>
        <v>58</v>
      </c>
      <c r="AH389">
        <f t="shared" si="189"/>
        <v>45</v>
      </c>
      <c r="AI389">
        <f t="shared" si="190"/>
        <v>205</v>
      </c>
      <c r="AJ389">
        <f t="shared" si="191"/>
        <v>187</v>
      </c>
      <c r="AK389">
        <f t="shared" si="192"/>
        <v>155</v>
      </c>
      <c r="AL389">
        <f t="shared" si="193"/>
        <v>139</v>
      </c>
      <c r="AM389">
        <f t="shared" si="194"/>
        <v>126</v>
      </c>
      <c r="AN389">
        <f t="shared" si="195"/>
        <v>106</v>
      </c>
      <c r="AO389">
        <f t="shared" si="196"/>
        <v>97</v>
      </c>
      <c r="AP389">
        <f t="shared" si="197"/>
        <v>65</v>
      </c>
      <c r="AQ389">
        <f t="shared" si="198"/>
        <v>58</v>
      </c>
      <c r="AR389">
        <f t="shared" si="199"/>
        <v>45</v>
      </c>
      <c r="AS389">
        <f t="shared" si="200"/>
        <v>156</v>
      </c>
      <c r="AT389">
        <f t="shared" si="201"/>
        <v>142</v>
      </c>
      <c r="AU389">
        <f t="shared" si="202"/>
        <v>110</v>
      </c>
      <c r="AV389">
        <f t="shared" si="203"/>
        <v>99</v>
      </c>
      <c r="AW389">
        <f t="shared" si="204"/>
        <v>85</v>
      </c>
      <c r="AX389">
        <f t="shared" si="205"/>
        <v>90</v>
      </c>
      <c r="AY389">
        <f t="shared" si="206"/>
        <v>82</v>
      </c>
      <c r="AZ389">
        <f t="shared" si="207"/>
        <v>50</v>
      </c>
      <c r="BA389">
        <f t="shared" si="208"/>
        <v>45</v>
      </c>
      <c r="BB389">
        <f t="shared" si="209"/>
        <v>31</v>
      </c>
    </row>
    <row r="390" spans="1:54" x14ac:dyDescent="0.15">
      <c r="B390" t="s">
        <v>1432</v>
      </c>
      <c r="C390">
        <v>300</v>
      </c>
      <c r="D390">
        <v>0</v>
      </c>
      <c r="E390" t="s">
        <v>1433</v>
      </c>
      <c r="G390" t="s">
        <v>1433</v>
      </c>
      <c r="J390" t="s">
        <v>1434</v>
      </c>
      <c r="K390">
        <v>11</v>
      </c>
      <c r="L390">
        <v>0.6</v>
      </c>
      <c r="M390" t="s">
        <v>120</v>
      </c>
      <c r="O390" t="s">
        <v>234</v>
      </c>
      <c r="P390" t="s">
        <v>1435</v>
      </c>
      <c r="Q390" t="s">
        <v>300</v>
      </c>
      <c r="R390">
        <v>8</v>
      </c>
      <c r="S390">
        <v>50</v>
      </c>
      <c r="T390">
        <v>45</v>
      </c>
      <c r="U390">
        <v>45</v>
      </c>
      <c r="V390">
        <v>35</v>
      </c>
      <c r="W390">
        <v>35</v>
      </c>
      <c r="X390">
        <v>50</v>
      </c>
      <c r="Y390">
        <f t="shared" si="180"/>
        <v>157</v>
      </c>
      <c r="Z390">
        <f t="shared" si="181"/>
        <v>157</v>
      </c>
      <c r="AA390">
        <f t="shared" si="182"/>
        <v>125</v>
      </c>
      <c r="AB390">
        <f t="shared" si="183"/>
        <v>125</v>
      </c>
      <c r="AC390">
        <f t="shared" si="184"/>
        <v>110</v>
      </c>
      <c r="AD390">
        <f t="shared" si="185"/>
        <v>106</v>
      </c>
      <c r="AE390">
        <f t="shared" si="186"/>
        <v>97</v>
      </c>
      <c r="AF390">
        <f t="shared" si="187"/>
        <v>65</v>
      </c>
      <c r="AG390">
        <f t="shared" si="188"/>
        <v>58</v>
      </c>
      <c r="AH390">
        <f t="shared" si="189"/>
        <v>45</v>
      </c>
      <c r="AI390">
        <f t="shared" si="190"/>
        <v>106</v>
      </c>
      <c r="AJ390">
        <f t="shared" si="191"/>
        <v>97</v>
      </c>
      <c r="AK390">
        <f t="shared" si="192"/>
        <v>65</v>
      </c>
      <c r="AL390">
        <f t="shared" si="193"/>
        <v>58</v>
      </c>
      <c r="AM390">
        <f t="shared" si="194"/>
        <v>45</v>
      </c>
      <c r="AN390">
        <f t="shared" si="195"/>
        <v>95</v>
      </c>
      <c r="AO390">
        <f t="shared" si="196"/>
        <v>87</v>
      </c>
      <c r="AP390">
        <f t="shared" si="197"/>
        <v>55</v>
      </c>
      <c r="AQ390">
        <f t="shared" si="198"/>
        <v>49</v>
      </c>
      <c r="AR390">
        <f t="shared" si="199"/>
        <v>36</v>
      </c>
      <c r="AS390">
        <f t="shared" si="200"/>
        <v>95</v>
      </c>
      <c r="AT390">
        <f t="shared" si="201"/>
        <v>87</v>
      </c>
      <c r="AU390">
        <f t="shared" si="202"/>
        <v>55</v>
      </c>
      <c r="AV390">
        <f t="shared" si="203"/>
        <v>49</v>
      </c>
      <c r="AW390">
        <f t="shared" si="204"/>
        <v>36</v>
      </c>
      <c r="AX390">
        <f t="shared" si="205"/>
        <v>112</v>
      </c>
      <c r="AY390">
        <f t="shared" si="206"/>
        <v>102</v>
      </c>
      <c r="AZ390">
        <f t="shared" si="207"/>
        <v>70</v>
      </c>
      <c r="BA390">
        <f t="shared" si="208"/>
        <v>63</v>
      </c>
      <c r="BB390">
        <f t="shared" si="209"/>
        <v>49</v>
      </c>
    </row>
    <row r="391" spans="1:54" x14ac:dyDescent="0.15">
      <c r="B391" t="s">
        <v>1436</v>
      </c>
      <c r="C391">
        <v>301</v>
      </c>
      <c r="D391">
        <v>0</v>
      </c>
      <c r="E391" t="s">
        <v>1437</v>
      </c>
      <c r="G391" t="s">
        <v>1437</v>
      </c>
      <c r="J391" t="s">
        <v>1438</v>
      </c>
      <c r="K391">
        <v>32.6</v>
      </c>
      <c r="L391">
        <v>1.1000000000000001</v>
      </c>
      <c r="M391" t="s">
        <v>120</v>
      </c>
      <c r="O391" t="s">
        <v>234</v>
      </c>
      <c r="P391" t="s">
        <v>1435</v>
      </c>
      <c r="Q391" t="s">
        <v>300</v>
      </c>
      <c r="R391">
        <v>8</v>
      </c>
      <c r="S391">
        <v>70</v>
      </c>
      <c r="T391">
        <v>65</v>
      </c>
      <c r="U391">
        <v>65</v>
      </c>
      <c r="V391">
        <v>55</v>
      </c>
      <c r="W391">
        <v>55</v>
      </c>
      <c r="X391">
        <v>90</v>
      </c>
      <c r="Y391">
        <f t="shared" si="180"/>
        <v>177</v>
      </c>
      <c r="Z391">
        <f t="shared" si="181"/>
        <v>177</v>
      </c>
      <c r="AA391">
        <f t="shared" si="182"/>
        <v>145</v>
      </c>
      <c r="AB391">
        <f t="shared" si="183"/>
        <v>145</v>
      </c>
      <c r="AC391">
        <f t="shared" si="184"/>
        <v>130</v>
      </c>
      <c r="AD391">
        <f t="shared" si="185"/>
        <v>128</v>
      </c>
      <c r="AE391">
        <f t="shared" si="186"/>
        <v>117</v>
      </c>
      <c r="AF391">
        <f t="shared" si="187"/>
        <v>85</v>
      </c>
      <c r="AG391">
        <f t="shared" si="188"/>
        <v>76</v>
      </c>
      <c r="AH391">
        <f t="shared" si="189"/>
        <v>63</v>
      </c>
      <c r="AI391">
        <f t="shared" si="190"/>
        <v>128</v>
      </c>
      <c r="AJ391">
        <f t="shared" si="191"/>
        <v>117</v>
      </c>
      <c r="AK391">
        <f t="shared" si="192"/>
        <v>85</v>
      </c>
      <c r="AL391">
        <f t="shared" si="193"/>
        <v>76</v>
      </c>
      <c r="AM391">
        <f t="shared" si="194"/>
        <v>63</v>
      </c>
      <c r="AN391">
        <f t="shared" si="195"/>
        <v>117</v>
      </c>
      <c r="AO391">
        <f t="shared" si="196"/>
        <v>107</v>
      </c>
      <c r="AP391">
        <f t="shared" si="197"/>
        <v>75</v>
      </c>
      <c r="AQ391">
        <f t="shared" si="198"/>
        <v>67</v>
      </c>
      <c r="AR391">
        <f t="shared" si="199"/>
        <v>54</v>
      </c>
      <c r="AS391">
        <f t="shared" si="200"/>
        <v>117</v>
      </c>
      <c r="AT391">
        <f t="shared" si="201"/>
        <v>107</v>
      </c>
      <c r="AU391">
        <f t="shared" si="202"/>
        <v>75</v>
      </c>
      <c r="AV391">
        <f t="shared" si="203"/>
        <v>67</v>
      </c>
      <c r="AW391">
        <f t="shared" si="204"/>
        <v>54</v>
      </c>
      <c r="AX391">
        <f t="shared" si="205"/>
        <v>156</v>
      </c>
      <c r="AY391">
        <f t="shared" si="206"/>
        <v>142</v>
      </c>
      <c r="AZ391">
        <f t="shared" si="207"/>
        <v>110</v>
      </c>
      <c r="BA391">
        <f t="shared" si="208"/>
        <v>99</v>
      </c>
      <c r="BB391">
        <f t="shared" si="209"/>
        <v>85</v>
      </c>
    </row>
    <row r="392" spans="1:54" x14ac:dyDescent="0.15">
      <c r="A392">
        <v>263</v>
      </c>
      <c r="B392" t="s">
        <v>1439</v>
      </c>
      <c r="C392">
        <v>302</v>
      </c>
      <c r="D392">
        <v>0</v>
      </c>
      <c r="E392" t="s">
        <v>1440</v>
      </c>
      <c r="G392" t="s">
        <v>1440</v>
      </c>
      <c r="H392" t="s">
        <v>1441</v>
      </c>
      <c r="J392" t="s">
        <v>1026</v>
      </c>
      <c r="K392">
        <v>11</v>
      </c>
      <c r="L392">
        <v>0.5</v>
      </c>
      <c r="M392" t="s">
        <v>140</v>
      </c>
      <c r="N392" t="s">
        <v>546</v>
      </c>
      <c r="O392" t="s">
        <v>121</v>
      </c>
      <c r="P392" t="s">
        <v>1442</v>
      </c>
      <c r="Q392" t="s">
        <v>1027</v>
      </c>
      <c r="R392">
        <v>9</v>
      </c>
      <c r="S392">
        <v>50</v>
      </c>
      <c r="T392">
        <v>75</v>
      </c>
      <c r="U392">
        <v>75</v>
      </c>
      <c r="V392">
        <v>65</v>
      </c>
      <c r="W392">
        <v>65</v>
      </c>
      <c r="X392">
        <v>50</v>
      </c>
      <c r="Y392">
        <f t="shared" si="180"/>
        <v>157</v>
      </c>
      <c r="Z392">
        <f t="shared" si="181"/>
        <v>157</v>
      </c>
      <c r="AA392">
        <f t="shared" si="182"/>
        <v>125</v>
      </c>
      <c r="AB392">
        <f t="shared" si="183"/>
        <v>125</v>
      </c>
      <c r="AC392">
        <f t="shared" si="184"/>
        <v>110</v>
      </c>
      <c r="AD392">
        <f t="shared" si="185"/>
        <v>139</v>
      </c>
      <c r="AE392">
        <f t="shared" si="186"/>
        <v>127</v>
      </c>
      <c r="AF392">
        <f t="shared" si="187"/>
        <v>95</v>
      </c>
      <c r="AG392">
        <f t="shared" si="188"/>
        <v>85</v>
      </c>
      <c r="AH392">
        <f t="shared" si="189"/>
        <v>72</v>
      </c>
      <c r="AI392">
        <f t="shared" si="190"/>
        <v>139</v>
      </c>
      <c r="AJ392">
        <f t="shared" si="191"/>
        <v>127</v>
      </c>
      <c r="AK392">
        <f t="shared" si="192"/>
        <v>95</v>
      </c>
      <c r="AL392">
        <f t="shared" si="193"/>
        <v>85</v>
      </c>
      <c r="AM392">
        <f t="shared" si="194"/>
        <v>72</v>
      </c>
      <c r="AN392">
        <f t="shared" si="195"/>
        <v>128</v>
      </c>
      <c r="AO392">
        <f t="shared" si="196"/>
        <v>117</v>
      </c>
      <c r="AP392">
        <f t="shared" si="197"/>
        <v>85</v>
      </c>
      <c r="AQ392">
        <f t="shared" si="198"/>
        <v>76</v>
      </c>
      <c r="AR392">
        <f t="shared" si="199"/>
        <v>63</v>
      </c>
      <c r="AS392">
        <f t="shared" si="200"/>
        <v>128</v>
      </c>
      <c r="AT392">
        <f t="shared" si="201"/>
        <v>117</v>
      </c>
      <c r="AU392">
        <f t="shared" si="202"/>
        <v>85</v>
      </c>
      <c r="AV392">
        <f t="shared" si="203"/>
        <v>76</v>
      </c>
      <c r="AW392">
        <f t="shared" si="204"/>
        <v>63</v>
      </c>
      <c r="AX392">
        <f t="shared" si="205"/>
        <v>112</v>
      </c>
      <c r="AY392">
        <f t="shared" si="206"/>
        <v>102</v>
      </c>
      <c r="AZ392">
        <f t="shared" si="207"/>
        <v>70</v>
      </c>
      <c r="BA392">
        <f t="shared" si="208"/>
        <v>63</v>
      </c>
      <c r="BB392">
        <f t="shared" si="209"/>
        <v>49</v>
      </c>
    </row>
    <row r="393" spans="1:54" x14ac:dyDescent="0.15">
      <c r="B393" t="s">
        <v>1443</v>
      </c>
      <c r="C393">
        <v>302</v>
      </c>
      <c r="D393">
        <v>1</v>
      </c>
      <c r="E393" t="s">
        <v>1440</v>
      </c>
      <c r="F393" t="s">
        <v>1444</v>
      </c>
      <c r="G393" t="s">
        <v>1444</v>
      </c>
      <c r="J393" t="s">
        <v>1026</v>
      </c>
      <c r="K393">
        <v>161</v>
      </c>
      <c r="L393">
        <v>0.5</v>
      </c>
      <c r="M393" t="s">
        <v>140</v>
      </c>
      <c r="N393" t="s">
        <v>546</v>
      </c>
      <c r="O393" t="s">
        <v>940</v>
      </c>
      <c r="P393" t="s">
        <v>1027</v>
      </c>
      <c r="R393">
        <v>7</v>
      </c>
      <c r="S393">
        <v>50</v>
      </c>
      <c r="T393">
        <v>75</v>
      </c>
      <c r="U393">
        <v>75</v>
      </c>
      <c r="V393">
        <v>65</v>
      </c>
      <c r="W393">
        <v>65</v>
      </c>
      <c r="X393">
        <v>50</v>
      </c>
      <c r="Y393">
        <f t="shared" si="180"/>
        <v>157</v>
      </c>
      <c r="Z393">
        <f t="shared" si="181"/>
        <v>157</v>
      </c>
      <c r="AA393">
        <f t="shared" si="182"/>
        <v>125</v>
      </c>
      <c r="AB393">
        <f t="shared" si="183"/>
        <v>125</v>
      </c>
      <c r="AC393">
        <f t="shared" si="184"/>
        <v>110</v>
      </c>
      <c r="AD393">
        <f t="shared" si="185"/>
        <v>139</v>
      </c>
      <c r="AE393">
        <f t="shared" si="186"/>
        <v>127</v>
      </c>
      <c r="AF393">
        <f t="shared" si="187"/>
        <v>95</v>
      </c>
      <c r="AG393">
        <f t="shared" si="188"/>
        <v>85</v>
      </c>
      <c r="AH393">
        <f t="shared" si="189"/>
        <v>72</v>
      </c>
      <c r="AI393">
        <f t="shared" si="190"/>
        <v>139</v>
      </c>
      <c r="AJ393">
        <f t="shared" si="191"/>
        <v>127</v>
      </c>
      <c r="AK393">
        <f t="shared" si="192"/>
        <v>95</v>
      </c>
      <c r="AL393">
        <f t="shared" si="193"/>
        <v>85</v>
      </c>
      <c r="AM393">
        <f t="shared" si="194"/>
        <v>72</v>
      </c>
      <c r="AN393">
        <f t="shared" si="195"/>
        <v>128</v>
      </c>
      <c r="AO393">
        <f t="shared" si="196"/>
        <v>117</v>
      </c>
      <c r="AP393">
        <f t="shared" si="197"/>
        <v>85</v>
      </c>
      <c r="AQ393">
        <f t="shared" si="198"/>
        <v>76</v>
      </c>
      <c r="AR393">
        <f t="shared" si="199"/>
        <v>63</v>
      </c>
      <c r="AS393">
        <f t="shared" si="200"/>
        <v>128</v>
      </c>
      <c r="AT393">
        <f t="shared" si="201"/>
        <v>117</v>
      </c>
      <c r="AU393">
        <f t="shared" si="202"/>
        <v>85</v>
      </c>
      <c r="AV393">
        <f t="shared" si="203"/>
        <v>76</v>
      </c>
      <c r="AW393">
        <f t="shared" si="204"/>
        <v>63</v>
      </c>
      <c r="AX393">
        <f t="shared" si="205"/>
        <v>112</v>
      </c>
      <c r="AY393">
        <f t="shared" si="206"/>
        <v>102</v>
      </c>
      <c r="AZ393">
        <f t="shared" si="207"/>
        <v>70</v>
      </c>
      <c r="BA393">
        <f t="shared" si="208"/>
        <v>63</v>
      </c>
      <c r="BB393">
        <f t="shared" si="209"/>
        <v>49</v>
      </c>
    </row>
    <row r="394" spans="1:54" x14ac:dyDescent="0.15">
      <c r="B394" t="s">
        <v>1445</v>
      </c>
      <c r="C394">
        <v>303</v>
      </c>
      <c r="D394">
        <v>0</v>
      </c>
      <c r="E394" t="s">
        <v>1446</v>
      </c>
      <c r="G394" t="s">
        <v>1446</v>
      </c>
      <c r="J394" t="s">
        <v>1447</v>
      </c>
      <c r="K394">
        <v>11.5</v>
      </c>
      <c r="L394">
        <v>0.6</v>
      </c>
      <c r="M394" t="s">
        <v>203</v>
      </c>
      <c r="N394" t="s">
        <v>233</v>
      </c>
      <c r="O394" t="s">
        <v>576</v>
      </c>
      <c r="P394" t="s">
        <v>155</v>
      </c>
      <c r="Q394" t="s">
        <v>222</v>
      </c>
      <c r="R394">
        <v>8</v>
      </c>
      <c r="S394">
        <v>50</v>
      </c>
      <c r="T394">
        <v>85</v>
      </c>
      <c r="U394">
        <v>85</v>
      </c>
      <c r="V394">
        <v>55</v>
      </c>
      <c r="W394">
        <v>55</v>
      </c>
      <c r="X394">
        <v>50</v>
      </c>
      <c r="Y394">
        <f t="shared" si="180"/>
        <v>157</v>
      </c>
      <c r="Z394">
        <f t="shared" si="181"/>
        <v>157</v>
      </c>
      <c r="AA394">
        <f t="shared" si="182"/>
        <v>125</v>
      </c>
      <c r="AB394">
        <f t="shared" si="183"/>
        <v>125</v>
      </c>
      <c r="AC394">
        <f t="shared" si="184"/>
        <v>110</v>
      </c>
      <c r="AD394">
        <f t="shared" si="185"/>
        <v>150</v>
      </c>
      <c r="AE394">
        <f t="shared" si="186"/>
        <v>137</v>
      </c>
      <c r="AF394">
        <f t="shared" si="187"/>
        <v>105</v>
      </c>
      <c r="AG394">
        <f t="shared" si="188"/>
        <v>94</v>
      </c>
      <c r="AH394">
        <f t="shared" si="189"/>
        <v>81</v>
      </c>
      <c r="AI394">
        <f t="shared" si="190"/>
        <v>150</v>
      </c>
      <c r="AJ394">
        <f t="shared" si="191"/>
        <v>137</v>
      </c>
      <c r="AK394">
        <f t="shared" si="192"/>
        <v>105</v>
      </c>
      <c r="AL394">
        <f t="shared" si="193"/>
        <v>94</v>
      </c>
      <c r="AM394">
        <f t="shared" si="194"/>
        <v>81</v>
      </c>
      <c r="AN394">
        <f t="shared" si="195"/>
        <v>117</v>
      </c>
      <c r="AO394">
        <f t="shared" si="196"/>
        <v>107</v>
      </c>
      <c r="AP394">
        <f t="shared" si="197"/>
        <v>75</v>
      </c>
      <c r="AQ394">
        <f t="shared" si="198"/>
        <v>67</v>
      </c>
      <c r="AR394">
        <f t="shared" si="199"/>
        <v>54</v>
      </c>
      <c r="AS394">
        <f t="shared" si="200"/>
        <v>117</v>
      </c>
      <c r="AT394">
        <f t="shared" si="201"/>
        <v>107</v>
      </c>
      <c r="AU394">
        <f t="shared" si="202"/>
        <v>75</v>
      </c>
      <c r="AV394">
        <f t="shared" si="203"/>
        <v>67</v>
      </c>
      <c r="AW394">
        <f t="shared" si="204"/>
        <v>54</v>
      </c>
      <c r="AX394">
        <f t="shared" si="205"/>
        <v>112</v>
      </c>
      <c r="AY394">
        <f t="shared" si="206"/>
        <v>102</v>
      </c>
      <c r="AZ394">
        <f t="shared" si="207"/>
        <v>70</v>
      </c>
      <c r="BA394">
        <f t="shared" si="208"/>
        <v>63</v>
      </c>
      <c r="BB394">
        <f t="shared" si="209"/>
        <v>49</v>
      </c>
    </row>
    <row r="395" spans="1:54" x14ac:dyDescent="0.15">
      <c r="B395" t="s">
        <v>1448</v>
      </c>
      <c r="C395">
        <v>303</v>
      </c>
      <c r="D395">
        <v>1</v>
      </c>
      <c r="E395" t="s">
        <v>1446</v>
      </c>
      <c r="F395" t="s">
        <v>1449</v>
      </c>
      <c r="G395" t="s">
        <v>1449</v>
      </c>
      <c r="J395" t="s">
        <v>1447</v>
      </c>
      <c r="K395">
        <v>23.5</v>
      </c>
      <c r="L395">
        <v>1</v>
      </c>
      <c r="M395" t="s">
        <v>203</v>
      </c>
      <c r="N395" t="s">
        <v>233</v>
      </c>
      <c r="O395" t="s">
        <v>964</v>
      </c>
      <c r="P395" t="s">
        <v>222</v>
      </c>
      <c r="R395">
        <v>7</v>
      </c>
      <c r="S395">
        <v>50</v>
      </c>
      <c r="T395">
        <v>85</v>
      </c>
      <c r="U395">
        <v>85</v>
      </c>
      <c r="V395">
        <v>55</v>
      </c>
      <c r="W395">
        <v>55</v>
      </c>
      <c r="X395">
        <v>50</v>
      </c>
      <c r="Y395">
        <f t="shared" si="180"/>
        <v>157</v>
      </c>
      <c r="Z395">
        <f t="shared" si="181"/>
        <v>157</v>
      </c>
      <c r="AA395">
        <f t="shared" si="182"/>
        <v>125</v>
      </c>
      <c r="AB395">
        <f t="shared" si="183"/>
        <v>125</v>
      </c>
      <c r="AC395">
        <f t="shared" si="184"/>
        <v>110</v>
      </c>
      <c r="AD395">
        <f t="shared" si="185"/>
        <v>150</v>
      </c>
      <c r="AE395">
        <f t="shared" si="186"/>
        <v>137</v>
      </c>
      <c r="AF395">
        <f t="shared" si="187"/>
        <v>105</v>
      </c>
      <c r="AG395">
        <f t="shared" si="188"/>
        <v>94</v>
      </c>
      <c r="AH395">
        <f t="shared" si="189"/>
        <v>81</v>
      </c>
      <c r="AI395">
        <f t="shared" si="190"/>
        <v>150</v>
      </c>
      <c r="AJ395">
        <f t="shared" si="191"/>
        <v>137</v>
      </c>
      <c r="AK395">
        <f t="shared" si="192"/>
        <v>105</v>
      </c>
      <c r="AL395">
        <f t="shared" si="193"/>
        <v>94</v>
      </c>
      <c r="AM395">
        <f t="shared" si="194"/>
        <v>81</v>
      </c>
      <c r="AN395">
        <f t="shared" si="195"/>
        <v>117</v>
      </c>
      <c r="AO395">
        <f t="shared" si="196"/>
        <v>107</v>
      </c>
      <c r="AP395">
        <f t="shared" si="197"/>
        <v>75</v>
      </c>
      <c r="AQ395">
        <f t="shared" si="198"/>
        <v>67</v>
      </c>
      <c r="AR395">
        <f t="shared" si="199"/>
        <v>54</v>
      </c>
      <c r="AS395">
        <f t="shared" si="200"/>
        <v>117</v>
      </c>
      <c r="AT395">
        <f t="shared" si="201"/>
        <v>107</v>
      </c>
      <c r="AU395">
        <f t="shared" si="202"/>
        <v>75</v>
      </c>
      <c r="AV395">
        <f t="shared" si="203"/>
        <v>67</v>
      </c>
      <c r="AW395">
        <f t="shared" si="204"/>
        <v>54</v>
      </c>
      <c r="AX395">
        <f t="shared" si="205"/>
        <v>112</v>
      </c>
      <c r="AY395">
        <f t="shared" si="206"/>
        <v>102</v>
      </c>
      <c r="AZ395">
        <f t="shared" si="207"/>
        <v>70</v>
      </c>
      <c r="BA395">
        <f t="shared" si="208"/>
        <v>63</v>
      </c>
      <c r="BB395">
        <f t="shared" si="209"/>
        <v>49</v>
      </c>
    </row>
    <row r="396" spans="1:54" x14ac:dyDescent="0.15">
      <c r="B396" t="s">
        <v>1450</v>
      </c>
      <c r="C396">
        <v>304</v>
      </c>
      <c r="D396">
        <v>0</v>
      </c>
      <c r="E396" t="s">
        <v>1451</v>
      </c>
      <c r="G396" t="s">
        <v>1451</v>
      </c>
      <c r="J396" t="s">
        <v>1452</v>
      </c>
      <c r="K396">
        <v>60</v>
      </c>
      <c r="L396">
        <v>0.4</v>
      </c>
      <c r="M396" t="s">
        <v>203</v>
      </c>
      <c r="N396" t="s">
        <v>371</v>
      </c>
      <c r="O396" t="s">
        <v>435</v>
      </c>
      <c r="P396" t="s">
        <v>434</v>
      </c>
      <c r="Q396" t="s">
        <v>1453</v>
      </c>
      <c r="R396">
        <v>8</v>
      </c>
      <c r="S396">
        <v>50</v>
      </c>
      <c r="T396">
        <v>70</v>
      </c>
      <c r="U396">
        <v>100</v>
      </c>
      <c r="V396">
        <v>40</v>
      </c>
      <c r="W396">
        <v>40</v>
      </c>
      <c r="X396">
        <v>30</v>
      </c>
      <c r="Y396">
        <f t="shared" si="180"/>
        <v>157</v>
      </c>
      <c r="Z396">
        <f t="shared" si="181"/>
        <v>157</v>
      </c>
      <c r="AA396">
        <f t="shared" si="182"/>
        <v>125</v>
      </c>
      <c r="AB396">
        <f t="shared" si="183"/>
        <v>125</v>
      </c>
      <c r="AC396">
        <f t="shared" si="184"/>
        <v>110</v>
      </c>
      <c r="AD396">
        <f t="shared" si="185"/>
        <v>134</v>
      </c>
      <c r="AE396">
        <f t="shared" si="186"/>
        <v>122</v>
      </c>
      <c r="AF396">
        <f t="shared" si="187"/>
        <v>90</v>
      </c>
      <c r="AG396">
        <f t="shared" si="188"/>
        <v>81</v>
      </c>
      <c r="AH396">
        <f t="shared" si="189"/>
        <v>67</v>
      </c>
      <c r="AI396">
        <f t="shared" si="190"/>
        <v>167</v>
      </c>
      <c r="AJ396">
        <f t="shared" si="191"/>
        <v>152</v>
      </c>
      <c r="AK396">
        <f t="shared" si="192"/>
        <v>120</v>
      </c>
      <c r="AL396">
        <f t="shared" si="193"/>
        <v>108</v>
      </c>
      <c r="AM396">
        <f t="shared" si="194"/>
        <v>94</v>
      </c>
      <c r="AN396">
        <f t="shared" si="195"/>
        <v>101</v>
      </c>
      <c r="AO396">
        <f t="shared" si="196"/>
        <v>92</v>
      </c>
      <c r="AP396">
        <f t="shared" si="197"/>
        <v>60</v>
      </c>
      <c r="AQ396">
        <f t="shared" si="198"/>
        <v>54</v>
      </c>
      <c r="AR396">
        <f t="shared" si="199"/>
        <v>40</v>
      </c>
      <c r="AS396">
        <f t="shared" si="200"/>
        <v>101</v>
      </c>
      <c r="AT396">
        <f t="shared" si="201"/>
        <v>92</v>
      </c>
      <c r="AU396">
        <f t="shared" si="202"/>
        <v>60</v>
      </c>
      <c r="AV396">
        <f t="shared" si="203"/>
        <v>54</v>
      </c>
      <c r="AW396">
        <f t="shared" si="204"/>
        <v>40</v>
      </c>
      <c r="AX396">
        <f t="shared" si="205"/>
        <v>90</v>
      </c>
      <c r="AY396">
        <f t="shared" si="206"/>
        <v>82</v>
      </c>
      <c r="AZ396">
        <f t="shared" si="207"/>
        <v>50</v>
      </c>
      <c r="BA396">
        <f t="shared" si="208"/>
        <v>45</v>
      </c>
      <c r="BB396">
        <f t="shared" si="209"/>
        <v>31</v>
      </c>
    </row>
    <row r="397" spans="1:54" x14ac:dyDescent="0.15">
      <c r="B397" t="s">
        <v>1454</v>
      </c>
      <c r="C397">
        <v>305</v>
      </c>
      <c r="D397">
        <v>0</v>
      </c>
      <c r="E397" t="s">
        <v>1455</v>
      </c>
      <c r="G397" t="s">
        <v>1455</v>
      </c>
      <c r="J397" t="s">
        <v>1452</v>
      </c>
      <c r="K397">
        <v>120</v>
      </c>
      <c r="L397">
        <v>0.9</v>
      </c>
      <c r="M397" t="s">
        <v>203</v>
      </c>
      <c r="N397" t="s">
        <v>371</v>
      </c>
      <c r="O397" t="s">
        <v>435</v>
      </c>
      <c r="P397" t="s">
        <v>434</v>
      </c>
      <c r="Q397" t="s">
        <v>1453</v>
      </c>
      <c r="R397">
        <v>8</v>
      </c>
      <c r="S397">
        <v>60</v>
      </c>
      <c r="T397">
        <v>90</v>
      </c>
      <c r="U397">
        <v>140</v>
      </c>
      <c r="V397">
        <v>50</v>
      </c>
      <c r="W397">
        <v>50</v>
      </c>
      <c r="X397">
        <v>40</v>
      </c>
      <c r="Y397">
        <f t="shared" si="180"/>
        <v>167</v>
      </c>
      <c r="Z397">
        <f t="shared" si="181"/>
        <v>167</v>
      </c>
      <c r="AA397">
        <f t="shared" si="182"/>
        <v>135</v>
      </c>
      <c r="AB397">
        <f t="shared" si="183"/>
        <v>135</v>
      </c>
      <c r="AC397">
        <f t="shared" si="184"/>
        <v>120</v>
      </c>
      <c r="AD397">
        <f t="shared" si="185"/>
        <v>156</v>
      </c>
      <c r="AE397">
        <f t="shared" si="186"/>
        <v>142</v>
      </c>
      <c r="AF397">
        <f t="shared" si="187"/>
        <v>110</v>
      </c>
      <c r="AG397">
        <f t="shared" si="188"/>
        <v>99</v>
      </c>
      <c r="AH397">
        <f t="shared" si="189"/>
        <v>85</v>
      </c>
      <c r="AI397">
        <f t="shared" si="190"/>
        <v>211</v>
      </c>
      <c r="AJ397">
        <f t="shared" si="191"/>
        <v>192</v>
      </c>
      <c r="AK397">
        <f t="shared" si="192"/>
        <v>160</v>
      </c>
      <c r="AL397">
        <f t="shared" si="193"/>
        <v>144</v>
      </c>
      <c r="AM397">
        <f t="shared" si="194"/>
        <v>130</v>
      </c>
      <c r="AN397">
        <f t="shared" si="195"/>
        <v>112</v>
      </c>
      <c r="AO397">
        <f t="shared" si="196"/>
        <v>102</v>
      </c>
      <c r="AP397">
        <f t="shared" si="197"/>
        <v>70</v>
      </c>
      <c r="AQ397">
        <f t="shared" si="198"/>
        <v>63</v>
      </c>
      <c r="AR397">
        <f t="shared" si="199"/>
        <v>49</v>
      </c>
      <c r="AS397">
        <f t="shared" si="200"/>
        <v>112</v>
      </c>
      <c r="AT397">
        <f t="shared" si="201"/>
        <v>102</v>
      </c>
      <c r="AU397">
        <f t="shared" si="202"/>
        <v>70</v>
      </c>
      <c r="AV397">
        <f t="shared" si="203"/>
        <v>63</v>
      </c>
      <c r="AW397">
        <f t="shared" si="204"/>
        <v>49</v>
      </c>
      <c r="AX397">
        <f t="shared" si="205"/>
        <v>101</v>
      </c>
      <c r="AY397">
        <f t="shared" si="206"/>
        <v>92</v>
      </c>
      <c r="AZ397">
        <f t="shared" si="207"/>
        <v>60</v>
      </c>
      <c r="BA397">
        <f t="shared" si="208"/>
        <v>54</v>
      </c>
      <c r="BB397">
        <f t="shared" si="209"/>
        <v>40</v>
      </c>
    </row>
    <row r="398" spans="1:54" x14ac:dyDescent="0.15">
      <c r="B398" t="s">
        <v>1456</v>
      </c>
      <c r="C398">
        <v>306</v>
      </c>
      <c r="D398">
        <v>0</v>
      </c>
      <c r="E398" t="s">
        <v>1457</v>
      </c>
      <c r="G398" t="s">
        <v>1457</v>
      </c>
      <c r="J398" t="s">
        <v>1452</v>
      </c>
      <c r="K398">
        <v>360</v>
      </c>
      <c r="L398">
        <v>2.1</v>
      </c>
      <c r="M398" t="s">
        <v>203</v>
      </c>
      <c r="N398" t="s">
        <v>371</v>
      </c>
      <c r="O398" t="s">
        <v>435</v>
      </c>
      <c r="P398" t="s">
        <v>434</v>
      </c>
      <c r="Q398" t="s">
        <v>1453</v>
      </c>
      <c r="R398">
        <v>8</v>
      </c>
      <c r="S398">
        <v>70</v>
      </c>
      <c r="T398">
        <v>110</v>
      </c>
      <c r="U398">
        <v>180</v>
      </c>
      <c r="V398">
        <v>60</v>
      </c>
      <c r="W398">
        <v>60</v>
      </c>
      <c r="X398">
        <v>50</v>
      </c>
      <c r="Y398">
        <f t="shared" si="180"/>
        <v>177</v>
      </c>
      <c r="Z398">
        <f t="shared" si="181"/>
        <v>177</v>
      </c>
      <c r="AA398">
        <f t="shared" si="182"/>
        <v>145</v>
      </c>
      <c r="AB398">
        <f t="shared" si="183"/>
        <v>145</v>
      </c>
      <c r="AC398">
        <f t="shared" si="184"/>
        <v>130</v>
      </c>
      <c r="AD398">
        <f t="shared" si="185"/>
        <v>178</v>
      </c>
      <c r="AE398">
        <f t="shared" si="186"/>
        <v>162</v>
      </c>
      <c r="AF398">
        <f t="shared" si="187"/>
        <v>130</v>
      </c>
      <c r="AG398">
        <f t="shared" si="188"/>
        <v>117</v>
      </c>
      <c r="AH398">
        <f t="shared" si="189"/>
        <v>103</v>
      </c>
      <c r="AI398">
        <f t="shared" si="190"/>
        <v>255</v>
      </c>
      <c r="AJ398">
        <f t="shared" si="191"/>
        <v>232</v>
      </c>
      <c r="AK398">
        <f t="shared" si="192"/>
        <v>200</v>
      </c>
      <c r="AL398">
        <f t="shared" si="193"/>
        <v>180</v>
      </c>
      <c r="AM398">
        <f t="shared" si="194"/>
        <v>166</v>
      </c>
      <c r="AN398">
        <f t="shared" si="195"/>
        <v>123</v>
      </c>
      <c r="AO398">
        <f t="shared" si="196"/>
        <v>112</v>
      </c>
      <c r="AP398">
        <f t="shared" si="197"/>
        <v>80</v>
      </c>
      <c r="AQ398">
        <f t="shared" si="198"/>
        <v>72</v>
      </c>
      <c r="AR398">
        <f t="shared" si="199"/>
        <v>58</v>
      </c>
      <c r="AS398">
        <f t="shared" si="200"/>
        <v>123</v>
      </c>
      <c r="AT398">
        <f t="shared" si="201"/>
        <v>112</v>
      </c>
      <c r="AU398">
        <f t="shared" si="202"/>
        <v>80</v>
      </c>
      <c r="AV398">
        <f t="shared" si="203"/>
        <v>72</v>
      </c>
      <c r="AW398">
        <f t="shared" si="204"/>
        <v>58</v>
      </c>
      <c r="AX398">
        <f t="shared" si="205"/>
        <v>112</v>
      </c>
      <c r="AY398">
        <f t="shared" si="206"/>
        <v>102</v>
      </c>
      <c r="AZ398">
        <f t="shared" si="207"/>
        <v>70</v>
      </c>
      <c r="BA398">
        <f t="shared" si="208"/>
        <v>63</v>
      </c>
      <c r="BB398">
        <f t="shared" si="209"/>
        <v>49</v>
      </c>
    </row>
    <row r="399" spans="1:54" x14ac:dyDescent="0.15">
      <c r="B399" t="s">
        <v>1458</v>
      </c>
      <c r="C399">
        <v>306</v>
      </c>
      <c r="D399">
        <v>1</v>
      </c>
      <c r="E399" t="s">
        <v>1457</v>
      </c>
      <c r="F399" t="s">
        <v>1459</v>
      </c>
      <c r="G399" t="s">
        <v>1459</v>
      </c>
      <c r="J399" t="s">
        <v>1452</v>
      </c>
      <c r="K399">
        <v>395</v>
      </c>
      <c r="L399">
        <v>2.2000000000000002</v>
      </c>
      <c r="M399" t="s">
        <v>203</v>
      </c>
      <c r="O399" t="s">
        <v>690</v>
      </c>
      <c r="P399" t="s">
        <v>1453</v>
      </c>
      <c r="R399">
        <v>7</v>
      </c>
      <c r="S399">
        <v>70</v>
      </c>
      <c r="T399">
        <v>110</v>
      </c>
      <c r="U399">
        <v>180</v>
      </c>
      <c r="V399">
        <v>60</v>
      </c>
      <c r="W399">
        <v>60</v>
      </c>
      <c r="X399">
        <v>50</v>
      </c>
      <c r="Y399">
        <f t="shared" si="180"/>
        <v>177</v>
      </c>
      <c r="Z399">
        <f t="shared" si="181"/>
        <v>177</v>
      </c>
      <c r="AA399">
        <f t="shared" si="182"/>
        <v>145</v>
      </c>
      <c r="AB399">
        <f t="shared" si="183"/>
        <v>145</v>
      </c>
      <c r="AC399">
        <f t="shared" si="184"/>
        <v>130</v>
      </c>
      <c r="AD399">
        <f t="shared" si="185"/>
        <v>178</v>
      </c>
      <c r="AE399">
        <f t="shared" si="186"/>
        <v>162</v>
      </c>
      <c r="AF399">
        <f t="shared" si="187"/>
        <v>130</v>
      </c>
      <c r="AG399">
        <f t="shared" si="188"/>
        <v>117</v>
      </c>
      <c r="AH399">
        <f t="shared" si="189"/>
        <v>103</v>
      </c>
      <c r="AI399">
        <f t="shared" si="190"/>
        <v>255</v>
      </c>
      <c r="AJ399">
        <f t="shared" si="191"/>
        <v>232</v>
      </c>
      <c r="AK399">
        <f t="shared" si="192"/>
        <v>200</v>
      </c>
      <c r="AL399">
        <f t="shared" si="193"/>
        <v>180</v>
      </c>
      <c r="AM399">
        <f t="shared" si="194"/>
        <v>166</v>
      </c>
      <c r="AN399">
        <f t="shared" si="195"/>
        <v>123</v>
      </c>
      <c r="AO399">
        <f t="shared" si="196"/>
        <v>112</v>
      </c>
      <c r="AP399">
        <f t="shared" si="197"/>
        <v>80</v>
      </c>
      <c r="AQ399">
        <f t="shared" si="198"/>
        <v>72</v>
      </c>
      <c r="AR399">
        <f t="shared" si="199"/>
        <v>58</v>
      </c>
      <c r="AS399">
        <f t="shared" si="200"/>
        <v>123</v>
      </c>
      <c r="AT399">
        <f t="shared" si="201"/>
        <v>112</v>
      </c>
      <c r="AU399">
        <f t="shared" si="202"/>
        <v>80</v>
      </c>
      <c r="AV399">
        <f t="shared" si="203"/>
        <v>72</v>
      </c>
      <c r="AW399">
        <f t="shared" si="204"/>
        <v>58</v>
      </c>
      <c r="AX399">
        <f t="shared" si="205"/>
        <v>112</v>
      </c>
      <c r="AY399">
        <f t="shared" si="206"/>
        <v>102</v>
      </c>
      <c r="AZ399">
        <f t="shared" si="207"/>
        <v>70</v>
      </c>
      <c r="BA399">
        <f t="shared" si="208"/>
        <v>63</v>
      </c>
      <c r="BB399">
        <f t="shared" si="209"/>
        <v>49</v>
      </c>
    </row>
    <row r="400" spans="1:54" x14ac:dyDescent="0.15">
      <c r="A400">
        <v>264</v>
      </c>
      <c r="B400" t="s">
        <v>1460</v>
      </c>
      <c r="C400">
        <v>307</v>
      </c>
      <c r="D400">
        <v>0</v>
      </c>
      <c r="E400" t="s">
        <v>1461</v>
      </c>
      <c r="G400" t="s">
        <v>1461</v>
      </c>
      <c r="H400" t="s">
        <v>1462</v>
      </c>
      <c r="J400" t="s">
        <v>1463</v>
      </c>
      <c r="K400">
        <v>11.2</v>
      </c>
      <c r="L400">
        <v>0.6</v>
      </c>
      <c r="M400" t="s">
        <v>354</v>
      </c>
      <c r="N400" t="s">
        <v>191</v>
      </c>
      <c r="O400" t="s">
        <v>1464</v>
      </c>
      <c r="P400" t="s">
        <v>1048</v>
      </c>
      <c r="R400">
        <v>9</v>
      </c>
      <c r="S400">
        <v>30</v>
      </c>
      <c r="T400">
        <v>40</v>
      </c>
      <c r="U400">
        <v>55</v>
      </c>
      <c r="V400">
        <v>40</v>
      </c>
      <c r="W400">
        <v>55</v>
      </c>
      <c r="X400">
        <v>60</v>
      </c>
      <c r="Y400">
        <f t="shared" si="180"/>
        <v>137</v>
      </c>
      <c r="Z400">
        <f t="shared" si="181"/>
        <v>137</v>
      </c>
      <c r="AA400">
        <f t="shared" si="182"/>
        <v>105</v>
      </c>
      <c r="AB400">
        <f t="shared" si="183"/>
        <v>105</v>
      </c>
      <c r="AC400">
        <f t="shared" si="184"/>
        <v>90</v>
      </c>
      <c r="AD400">
        <f t="shared" si="185"/>
        <v>101</v>
      </c>
      <c r="AE400">
        <f t="shared" si="186"/>
        <v>92</v>
      </c>
      <c r="AF400">
        <f t="shared" si="187"/>
        <v>60</v>
      </c>
      <c r="AG400">
        <f t="shared" si="188"/>
        <v>54</v>
      </c>
      <c r="AH400">
        <f t="shared" si="189"/>
        <v>40</v>
      </c>
      <c r="AI400">
        <f t="shared" si="190"/>
        <v>117</v>
      </c>
      <c r="AJ400">
        <f t="shared" si="191"/>
        <v>107</v>
      </c>
      <c r="AK400">
        <f t="shared" si="192"/>
        <v>75</v>
      </c>
      <c r="AL400">
        <f t="shared" si="193"/>
        <v>67</v>
      </c>
      <c r="AM400">
        <f t="shared" si="194"/>
        <v>54</v>
      </c>
      <c r="AN400">
        <f t="shared" si="195"/>
        <v>101</v>
      </c>
      <c r="AO400">
        <f t="shared" si="196"/>
        <v>92</v>
      </c>
      <c r="AP400">
        <f t="shared" si="197"/>
        <v>60</v>
      </c>
      <c r="AQ400">
        <f t="shared" si="198"/>
        <v>54</v>
      </c>
      <c r="AR400">
        <f t="shared" si="199"/>
        <v>40</v>
      </c>
      <c r="AS400">
        <f t="shared" si="200"/>
        <v>117</v>
      </c>
      <c r="AT400">
        <f t="shared" si="201"/>
        <v>107</v>
      </c>
      <c r="AU400">
        <f t="shared" si="202"/>
        <v>75</v>
      </c>
      <c r="AV400">
        <f t="shared" si="203"/>
        <v>67</v>
      </c>
      <c r="AW400">
        <f t="shared" si="204"/>
        <v>54</v>
      </c>
      <c r="AX400">
        <f t="shared" si="205"/>
        <v>123</v>
      </c>
      <c r="AY400">
        <f t="shared" si="206"/>
        <v>112</v>
      </c>
      <c r="AZ400">
        <f t="shared" si="207"/>
        <v>80</v>
      </c>
      <c r="BA400">
        <f t="shared" si="208"/>
        <v>72</v>
      </c>
      <c r="BB400">
        <f t="shared" si="209"/>
        <v>58</v>
      </c>
    </row>
    <row r="401" spans="1:54" x14ac:dyDescent="0.15">
      <c r="A401">
        <v>266</v>
      </c>
      <c r="B401" t="s">
        <v>1465</v>
      </c>
      <c r="C401">
        <v>308</v>
      </c>
      <c r="D401">
        <v>0</v>
      </c>
      <c r="E401" t="s">
        <v>1466</v>
      </c>
      <c r="G401" t="s">
        <v>1466</v>
      </c>
      <c r="H401" t="s">
        <v>1467</v>
      </c>
      <c r="J401" t="s">
        <v>1463</v>
      </c>
      <c r="K401">
        <v>31.5</v>
      </c>
      <c r="L401">
        <v>1.3</v>
      </c>
      <c r="M401" t="s">
        <v>354</v>
      </c>
      <c r="N401" t="s">
        <v>191</v>
      </c>
      <c r="O401" t="s">
        <v>1464</v>
      </c>
      <c r="P401" t="s">
        <v>1048</v>
      </c>
      <c r="R401">
        <v>9</v>
      </c>
      <c r="S401">
        <v>60</v>
      </c>
      <c r="T401">
        <v>60</v>
      </c>
      <c r="U401">
        <v>75</v>
      </c>
      <c r="V401">
        <v>60</v>
      </c>
      <c r="W401">
        <v>75</v>
      </c>
      <c r="X401">
        <v>80</v>
      </c>
      <c r="Y401">
        <f t="shared" si="180"/>
        <v>167</v>
      </c>
      <c r="Z401">
        <f t="shared" si="181"/>
        <v>167</v>
      </c>
      <c r="AA401">
        <f t="shared" si="182"/>
        <v>135</v>
      </c>
      <c r="AB401">
        <f t="shared" si="183"/>
        <v>135</v>
      </c>
      <c r="AC401">
        <f t="shared" si="184"/>
        <v>120</v>
      </c>
      <c r="AD401">
        <f t="shared" si="185"/>
        <v>123</v>
      </c>
      <c r="AE401">
        <f t="shared" si="186"/>
        <v>112</v>
      </c>
      <c r="AF401">
        <f t="shared" si="187"/>
        <v>80</v>
      </c>
      <c r="AG401">
        <f t="shared" si="188"/>
        <v>72</v>
      </c>
      <c r="AH401">
        <f t="shared" si="189"/>
        <v>58</v>
      </c>
      <c r="AI401">
        <f t="shared" si="190"/>
        <v>139</v>
      </c>
      <c r="AJ401">
        <f t="shared" si="191"/>
        <v>127</v>
      </c>
      <c r="AK401">
        <f t="shared" si="192"/>
        <v>95</v>
      </c>
      <c r="AL401">
        <f t="shared" si="193"/>
        <v>85</v>
      </c>
      <c r="AM401">
        <f t="shared" si="194"/>
        <v>72</v>
      </c>
      <c r="AN401">
        <f t="shared" si="195"/>
        <v>123</v>
      </c>
      <c r="AO401">
        <f t="shared" si="196"/>
        <v>112</v>
      </c>
      <c r="AP401">
        <f t="shared" si="197"/>
        <v>80</v>
      </c>
      <c r="AQ401">
        <f t="shared" si="198"/>
        <v>72</v>
      </c>
      <c r="AR401">
        <f t="shared" si="199"/>
        <v>58</v>
      </c>
      <c r="AS401">
        <f t="shared" si="200"/>
        <v>139</v>
      </c>
      <c r="AT401">
        <f t="shared" si="201"/>
        <v>127</v>
      </c>
      <c r="AU401">
        <f t="shared" si="202"/>
        <v>95</v>
      </c>
      <c r="AV401">
        <f t="shared" si="203"/>
        <v>85</v>
      </c>
      <c r="AW401">
        <f t="shared" si="204"/>
        <v>72</v>
      </c>
      <c r="AX401">
        <f t="shared" si="205"/>
        <v>145</v>
      </c>
      <c r="AY401">
        <f t="shared" si="206"/>
        <v>132</v>
      </c>
      <c r="AZ401">
        <f t="shared" si="207"/>
        <v>100</v>
      </c>
      <c r="BA401">
        <f t="shared" si="208"/>
        <v>90</v>
      </c>
      <c r="BB401">
        <f t="shared" si="209"/>
        <v>76</v>
      </c>
    </row>
    <row r="402" spans="1:54" x14ac:dyDescent="0.15">
      <c r="B402" t="s">
        <v>1468</v>
      </c>
      <c r="C402">
        <v>308</v>
      </c>
      <c r="D402">
        <v>1</v>
      </c>
      <c r="E402" t="s">
        <v>1466</v>
      </c>
      <c r="F402" t="s">
        <v>1469</v>
      </c>
      <c r="G402" t="s">
        <v>1469</v>
      </c>
      <c r="J402" t="s">
        <v>1463</v>
      </c>
      <c r="K402">
        <v>31.5</v>
      </c>
      <c r="L402">
        <v>1.3</v>
      </c>
      <c r="M402" t="s">
        <v>354</v>
      </c>
      <c r="N402" t="s">
        <v>191</v>
      </c>
      <c r="O402" t="s">
        <v>1464</v>
      </c>
      <c r="P402" t="s">
        <v>1048</v>
      </c>
      <c r="R402">
        <v>7</v>
      </c>
      <c r="S402">
        <v>60</v>
      </c>
      <c r="T402">
        <v>60</v>
      </c>
      <c r="U402">
        <v>75</v>
      </c>
      <c r="V402">
        <v>60</v>
      </c>
      <c r="W402">
        <v>75</v>
      </c>
      <c r="X402">
        <v>80</v>
      </c>
      <c r="Y402">
        <f t="shared" si="180"/>
        <v>167</v>
      </c>
      <c r="Z402">
        <f t="shared" si="181"/>
        <v>167</v>
      </c>
      <c r="AA402">
        <f t="shared" si="182"/>
        <v>135</v>
      </c>
      <c r="AB402">
        <f t="shared" si="183"/>
        <v>135</v>
      </c>
      <c r="AC402">
        <f t="shared" si="184"/>
        <v>120</v>
      </c>
      <c r="AD402">
        <f t="shared" si="185"/>
        <v>123</v>
      </c>
      <c r="AE402">
        <f t="shared" si="186"/>
        <v>112</v>
      </c>
      <c r="AF402">
        <f t="shared" si="187"/>
        <v>80</v>
      </c>
      <c r="AG402">
        <f t="shared" si="188"/>
        <v>72</v>
      </c>
      <c r="AH402">
        <f t="shared" si="189"/>
        <v>58</v>
      </c>
      <c r="AI402">
        <f t="shared" si="190"/>
        <v>139</v>
      </c>
      <c r="AJ402">
        <f t="shared" si="191"/>
        <v>127</v>
      </c>
      <c r="AK402">
        <f t="shared" si="192"/>
        <v>95</v>
      </c>
      <c r="AL402">
        <f t="shared" si="193"/>
        <v>85</v>
      </c>
      <c r="AM402">
        <f t="shared" si="194"/>
        <v>72</v>
      </c>
      <c r="AN402">
        <f t="shared" si="195"/>
        <v>123</v>
      </c>
      <c r="AO402">
        <f t="shared" si="196"/>
        <v>112</v>
      </c>
      <c r="AP402">
        <f t="shared" si="197"/>
        <v>80</v>
      </c>
      <c r="AQ402">
        <f t="shared" si="198"/>
        <v>72</v>
      </c>
      <c r="AR402">
        <f t="shared" si="199"/>
        <v>58</v>
      </c>
      <c r="AS402">
        <f t="shared" si="200"/>
        <v>139</v>
      </c>
      <c r="AT402">
        <f t="shared" si="201"/>
        <v>127</v>
      </c>
      <c r="AU402">
        <f t="shared" si="202"/>
        <v>95</v>
      </c>
      <c r="AV402">
        <f t="shared" si="203"/>
        <v>85</v>
      </c>
      <c r="AW402">
        <f t="shared" si="204"/>
        <v>72</v>
      </c>
      <c r="AX402">
        <f t="shared" si="205"/>
        <v>145</v>
      </c>
      <c r="AY402">
        <f t="shared" si="206"/>
        <v>132</v>
      </c>
      <c r="AZ402">
        <f t="shared" si="207"/>
        <v>100</v>
      </c>
      <c r="BA402">
        <f t="shared" si="208"/>
        <v>90</v>
      </c>
      <c r="BB402">
        <f t="shared" si="209"/>
        <v>76</v>
      </c>
    </row>
    <row r="403" spans="1:54" x14ac:dyDescent="0.15">
      <c r="B403" t="s">
        <v>1470</v>
      </c>
      <c r="C403">
        <v>309</v>
      </c>
      <c r="D403">
        <v>0</v>
      </c>
      <c r="E403" t="s">
        <v>1471</v>
      </c>
      <c r="G403" t="s">
        <v>1471</v>
      </c>
      <c r="J403" t="s">
        <v>1472</v>
      </c>
      <c r="K403">
        <v>15.2</v>
      </c>
      <c r="L403">
        <v>0.6</v>
      </c>
      <c r="M403" t="s">
        <v>164</v>
      </c>
      <c r="O403" t="s">
        <v>165</v>
      </c>
      <c r="P403" t="s">
        <v>166</v>
      </c>
      <c r="Q403" t="s">
        <v>1473</v>
      </c>
      <c r="R403">
        <v>8</v>
      </c>
      <c r="S403">
        <v>40</v>
      </c>
      <c r="T403">
        <v>45</v>
      </c>
      <c r="U403">
        <v>40</v>
      </c>
      <c r="V403">
        <v>65</v>
      </c>
      <c r="W403">
        <v>40</v>
      </c>
      <c r="X403">
        <v>65</v>
      </c>
      <c r="Y403">
        <f t="shared" si="180"/>
        <v>147</v>
      </c>
      <c r="Z403">
        <f t="shared" si="181"/>
        <v>147</v>
      </c>
      <c r="AA403">
        <f t="shared" si="182"/>
        <v>115</v>
      </c>
      <c r="AB403">
        <f t="shared" si="183"/>
        <v>115</v>
      </c>
      <c r="AC403">
        <f t="shared" si="184"/>
        <v>100</v>
      </c>
      <c r="AD403">
        <f t="shared" si="185"/>
        <v>106</v>
      </c>
      <c r="AE403">
        <f t="shared" si="186"/>
        <v>97</v>
      </c>
      <c r="AF403">
        <f t="shared" si="187"/>
        <v>65</v>
      </c>
      <c r="AG403">
        <f t="shared" si="188"/>
        <v>58</v>
      </c>
      <c r="AH403">
        <f t="shared" si="189"/>
        <v>45</v>
      </c>
      <c r="AI403">
        <f t="shared" si="190"/>
        <v>101</v>
      </c>
      <c r="AJ403">
        <f t="shared" si="191"/>
        <v>92</v>
      </c>
      <c r="AK403">
        <f t="shared" si="192"/>
        <v>60</v>
      </c>
      <c r="AL403">
        <f t="shared" si="193"/>
        <v>54</v>
      </c>
      <c r="AM403">
        <f t="shared" si="194"/>
        <v>40</v>
      </c>
      <c r="AN403">
        <f t="shared" si="195"/>
        <v>128</v>
      </c>
      <c r="AO403">
        <f t="shared" si="196"/>
        <v>117</v>
      </c>
      <c r="AP403">
        <f t="shared" si="197"/>
        <v>85</v>
      </c>
      <c r="AQ403">
        <f t="shared" si="198"/>
        <v>76</v>
      </c>
      <c r="AR403">
        <f t="shared" si="199"/>
        <v>63</v>
      </c>
      <c r="AS403">
        <f t="shared" si="200"/>
        <v>101</v>
      </c>
      <c r="AT403">
        <f t="shared" si="201"/>
        <v>92</v>
      </c>
      <c r="AU403">
        <f t="shared" si="202"/>
        <v>60</v>
      </c>
      <c r="AV403">
        <f t="shared" si="203"/>
        <v>54</v>
      </c>
      <c r="AW403">
        <f t="shared" si="204"/>
        <v>40</v>
      </c>
      <c r="AX403">
        <f t="shared" si="205"/>
        <v>128</v>
      </c>
      <c r="AY403">
        <f t="shared" si="206"/>
        <v>117</v>
      </c>
      <c r="AZ403">
        <f t="shared" si="207"/>
        <v>85</v>
      </c>
      <c r="BA403">
        <f t="shared" si="208"/>
        <v>76</v>
      </c>
      <c r="BB403">
        <f t="shared" si="209"/>
        <v>63</v>
      </c>
    </row>
    <row r="404" spans="1:54" x14ac:dyDescent="0.15">
      <c r="B404" t="s">
        <v>1474</v>
      </c>
      <c r="C404">
        <v>310</v>
      </c>
      <c r="D404">
        <v>0</v>
      </c>
      <c r="E404" t="s">
        <v>1475</v>
      </c>
      <c r="G404" t="s">
        <v>1475</v>
      </c>
      <c r="J404" t="s">
        <v>1476</v>
      </c>
      <c r="K404">
        <v>40.200000000000003</v>
      </c>
      <c r="L404">
        <v>1.5</v>
      </c>
      <c r="M404" t="s">
        <v>164</v>
      </c>
      <c r="O404" t="s">
        <v>165</v>
      </c>
      <c r="P404" t="s">
        <v>166</v>
      </c>
      <c r="Q404" t="s">
        <v>1473</v>
      </c>
      <c r="R404">
        <v>8</v>
      </c>
      <c r="S404">
        <v>70</v>
      </c>
      <c r="T404">
        <v>75</v>
      </c>
      <c r="U404">
        <v>60</v>
      </c>
      <c r="V404">
        <v>105</v>
      </c>
      <c r="W404">
        <v>60</v>
      </c>
      <c r="X404">
        <v>105</v>
      </c>
      <c r="Y404">
        <f t="shared" si="180"/>
        <v>177</v>
      </c>
      <c r="Z404">
        <f t="shared" si="181"/>
        <v>177</v>
      </c>
      <c r="AA404">
        <f t="shared" si="182"/>
        <v>145</v>
      </c>
      <c r="AB404">
        <f t="shared" si="183"/>
        <v>145</v>
      </c>
      <c r="AC404">
        <f t="shared" si="184"/>
        <v>130</v>
      </c>
      <c r="AD404">
        <f t="shared" si="185"/>
        <v>139</v>
      </c>
      <c r="AE404">
        <f t="shared" si="186"/>
        <v>127</v>
      </c>
      <c r="AF404">
        <f t="shared" si="187"/>
        <v>95</v>
      </c>
      <c r="AG404">
        <f t="shared" si="188"/>
        <v>85</v>
      </c>
      <c r="AH404">
        <f t="shared" si="189"/>
        <v>72</v>
      </c>
      <c r="AI404">
        <f t="shared" si="190"/>
        <v>123</v>
      </c>
      <c r="AJ404">
        <f t="shared" si="191"/>
        <v>112</v>
      </c>
      <c r="AK404">
        <f t="shared" si="192"/>
        <v>80</v>
      </c>
      <c r="AL404">
        <f t="shared" si="193"/>
        <v>72</v>
      </c>
      <c r="AM404">
        <f t="shared" si="194"/>
        <v>58</v>
      </c>
      <c r="AN404">
        <f t="shared" si="195"/>
        <v>172</v>
      </c>
      <c r="AO404">
        <f t="shared" si="196"/>
        <v>157</v>
      </c>
      <c r="AP404">
        <f t="shared" si="197"/>
        <v>125</v>
      </c>
      <c r="AQ404">
        <f t="shared" si="198"/>
        <v>112</v>
      </c>
      <c r="AR404">
        <f t="shared" si="199"/>
        <v>99</v>
      </c>
      <c r="AS404">
        <f t="shared" si="200"/>
        <v>123</v>
      </c>
      <c r="AT404">
        <f t="shared" si="201"/>
        <v>112</v>
      </c>
      <c r="AU404">
        <f t="shared" si="202"/>
        <v>80</v>
      </c>
      <c r="AV404">
        <f t="shared" si="203"/>
        <v>72</v>
      </c>
      <c r="AW404">
        <f t="shared" si="204"/>
        <v>58</v>
      </c>
      <c r="AX404">
        <f t="shared" si="205"/>
        <v>172</v>
      </c>
      <c r="AY404">
        <f t="shared" si="206"/>
        <v>157</v>
      </c>
      <c r="AZ404">
        <f t="shared" si="207"/>
        <v>125</v>
      </c>
      <c r="BA404">
        <f t="shared" si="208"/>
        <v>112</v>
      </c>
      <c r="BB404">
        <f t="shared" si="209"/>
        <v>99</v>
      </c>
    </row>
    <row r="405" spans="1:54" x14ac:dyDescent="0.15">
      <c r="B405" t="s">
        <v>1477</v>
      </c>
      <c r="C405">
        <v>310</v>
      </c>
      <c r="D405">
        <v>1</v>
      </c>
      <c r="E405" t="s">
        <v>1475</v>
      </c>
      <c r="F405" t="s">
        <v>1478</v>
      </c>
      <c r="G405" t="s">
        <v>1478</v>
      </c>
      <c r="J405" t="s">
        <v>1476</v>
      </c>
      <c r="K405">
        <v>44</v>
      </c>
      <c r="L405">
        <v>1.8</v>
      </c>
      <c r="M405" t="s">
        <v>164</v>
      </c>
      <c r="O405" t="s">
        <v>155</v>
      </c>
      <c r="P405" t="s">
        <v>1473</v>
      </c>
      <c r="R405">
        <v>7</v>
      </c>
      <c r="S405">
        <v>70</v>
      </c>
      <c r="T405">
        <v>75</v>
      </c>
      <c r="U405">
        <v>60</v>
      </c>
      <c r="V405">
        <v>105</v>
      </c>
      <c r="W405">
        <v>60</v>
      </c>
      <c r="X405">
        <v>105</v>
      </c>
      <c r="Y405">
        <f t="shared" si="180"/>
        <v>177</v>
      </c>
      <c r="Z405">
        <f t="shared" si="181"/>
        <v>177</v>
      </c>
      <c r="AA405">
        <f t="shared" si="182"/>
        <v>145</v>
      </c>
      <c r="AB405">
        <f t="shared" si="183"/>
        <v>145</v>
      </c>
      <c r="AC405">
        <f t="shared" si="184"/>
        <v>130</v>
      </c>
      <c r="AD405">
        <f t="shared" si="185"/>
        <v>139</v>
      </c>
      <c r="AE405">
        <f t="shared" si="186"/>
        <v>127</v>
      </c>
      <c r="AF405">
        <f t="shared" si="187"/>
        <v>95</v>
      </c>
      <c r="AG405">
        <f t="shared" si="188"/>
        <v>85</v>
      </c>
      <c r="AH405">
        <f t="shared" si="189"/>
        <v>72</v>
      </c>
      <c r="AI405">
        <f t="shared" si="190"/>
        <v>123</v>
      </c>
      <c r="AJ405">
        <f t="shared" si="191"/>
        <v>112</v>
      </c>
      <c r="AK405">
        <f t="shared" si="192"/>
        <v>80</v>
      </c>
      <c r="AL405">
        <f t="shared" si="193"/>
        <v>72</v>
      </c>
      <c r="AM405">
        <f t="shared" si="194"/>
        <v>58</v>
      </c>
      <c r="AN405">
        <f t="shared" si="195"/>
        <v>172</v>
      </c>
      <c r="AO405">
        <f t="shared" si="196"/>
        <v>157</v>
      </c>
      <c r="AP405">
        <f t="shared" si="197"/>
        <v>125</v>
      </c>
      <c r="AQ405">
        <f t="shared" si="198"/>
        <v>112</v>
      </c>
      <c r="AR405">
        <f t="shared" si="199"/>
        <v>99</v>
      </c>
      <c r="AS405">
        <f t="shared" si="200"/>
        <v>123</v>
      </c>
      <c r="AT405">
        <f t="shared" si="201"/>
        <v>112</v>
      </c>
      <c r="AU405">
        <f t="shared" si="202"/>
        <v>80</v>
      </c>
      <c r="AV405">
        <f t="shared" si="203"/>
        <v>72</v>
      </c>
      <c r="AW405">
        <f t="shared" si="204"/>
        <v>58</v>
      </c>
      <c r="AX405">
        <f t="shared" si="205"/>
        <v>172</v>
      </c>
      <c r="AY405">
        <f t="shared" si="206"/>
        <v>157</v>
      </c>
      <c r="AZ405">
        <f t="shared" si="207"/>
        <v>125</v>
      </c>
      <c r="BA405">
        <f t="shared" si="208"/>
        <v>112</v>
      </c>
      <c r="BB405">
        <f t="shared" si="209"/>
        <v>99</v>
      </c>
    </row>
    <row r="406" spans="1:54" x14ac:dyDescent="0.15">
      <c r="A406">
        <v>267</v>
      </c>
      <c r="B406" t="s">
        <v>1479</v>
      </c>
      <c r="C406">
        <v>311</v>
      </c>
      <c r="D406">
        <v>0</v>
      </c>
      <c r="E406" t="s">
        <v>1480</v>
      </c>
      <c r="G406" t="s">
        <v>1480</v>
      </c>
      <c r="H406" t="s">
        <v>1481</v>
      </c>
      <c r="J406" t="s">
        <v>1482</v>
      </c>
      <c r="K406">
        <v>4.2</v>
      </c>
      <c r="L406">
        <v>0.4</v>
      </c>
      <c r="M406" t="s">
        <v>164</v>
      </c>
      <c r="O406" t="s">
        <v>948</v>
      </c>
      <c r="P406" t="s">
        <v>166</v>
      </c>
      <c r="R406">
        <v>9</v>
      </c>
      <c r="S406">
        <v>60</v>
      </c>
      <c r="T406">
        <v>50</v>
      </c>
      <c r="U406">
        <v>40</v>
      </c>
      <c r="V406">
        <v>85</v>
      </c>
      <c r="W406">
        <v>75</v>
      </c>
      <c r="X406">
        <v>95</v>
      </c>
      <c r="Y406">
        <f t="shared" si="180"/>
        <v>167</v>
      </c>
      <c r="Z406">
        <f t="shared" si="181"/>
        <v>167</v>
      </c>
      <c r="AA406">
        <f t="shared" si="182"/>
        <v>135</v>
      </c>
      <c r="AB406">
        <f t="shared" si="183"/>
        <v>135</v>
      </c>
      <c r="AC406">
        <f t="shared" si="184"/>
        <v>120</v>
      </c>
      <c r="AD406">
        <f t="shared" si="185"/>
        <v>112</v>
      </c>
      <c r="AE406">
        <f t="shared" si="186"/>
        <v>102</v>
      </c>
      <c r="AF406">
        <f t="shared" si="187"/>
        <v>70</v>
      </c>
      <c r="AG406">
        <f t="shared" si="188"/>
        <v>63</v>
      </c>
      <c r="AH406">
        <f t="shared" si="189"/>
        <v>49</v>
      </c>
      <c r="AI406">
        <f t="shared" si="190"/>
        <v>101</v>
      </c>
      <c r="AJ406">
        <f t="shared" si="191"/>
        <v>92</v>
      </c>
      <c r="AK406">
        <f t="shared" si="192"/>
        <v>60</v>
      </c>
      <c r="AL406">
        <f t="shared" si="193"/>
        <v>54</v>
      </c>
      <c r="AM406">
        <f t="shared" si="194"/>
        <v>40</v>
      </c>
      <c r="AN406">
        <f t="shared" si="195"/>
        <v>150</v>
      </c>
      <c r="AO406">
        <f t="shared" si="196"/>
        <v>137</v>
      </c>
      <c r="AP406">
        <f t="shared" si="197"/>
        <v>105</v>
      </c>
      <c r="AQ406">
        <f t="shared" si="198"/>
        <v>94</v>
      </c>
      <c r="AR406">
        <f t="shared" si="199"/>
        <v>81</v>
      </c>
      <c r="AS406">
        <f t="shared" si="200"/>
        <v>139</v>
      </c>
      <c r="AT406">
        <f t="shared" si="201"/>
        <v>127</v>
      </c>
      <c r="AU406">
        <f t="shared" si="202"/>
        <v>95</v>
      </c>
      <c r="AV406">
        <f t="shared" si="203"/>
        <v>85</v>
      </c>
      <c r="AW406">
        <f t="shared" si="204"/>
        <v>72</v>
      </c>
      <c r="AX406">
        <f t="shared" si="205"/>
        <v>161</v>
      </c>
      <c r="AY406">
        <f t="shared" si="206"/>
        <v>147</v>
      </c>
      <c r="AZ406">
        <f t="shared" si="207"/>
        <v>115</v>
      </c>
      <c r="BA406">
        <f t="shared" si="208"/>
        <v>103</v>
      </c>
      <c r="BB406">
        <f t="shared" si="209"/>
        <v>90</v>
      </c>
    </row>
    <row r="407" spans="1:54" x14ac:dyDescent="0.15">
      <c r="A407">
        <v>268</v>
      </c>
      <c r="B407" t="s">
        <v>1483</v>
      </c>
      <c r="C407">
        <v>312</v>
      </c>
      <c r="D407">
        <v>0</v>
      </c>
      <c r="E407" t="s">
        <v>1484</v>
      </c>
      <c r="G407" t="s">
        <v>1484</v>
      </c>
      <c r="H407" t="s">
        <v>1485</v>
      </c>
      <c r="J407" t="s">
        <v>1482</v>
      </c>
      <c r="K407">
        <v>4.2</v>
      </c>
      <c r="L407">
        <v>0.4</v>
      </c>
      <c r="M407" t="s">
        <v>164</v>
      </c>
      <c r="O407" t="s">
        <v>1473</v>
      </c>
      <c r="P407" t="s">
        <v>769</v>
      </c>
      <c r="R407">
        <v>9</v>
      </c>
      <c r="S407">
        <v>60</v>
      </c>
      <c r="T407">
        <v>40</v>
      </c>
      <c r="U407">
        <v>50</v>
      </c>
      <c r="V407">
        <v>75</v>
      </c>
      <c r="W407">
        <v>85</v>
      </c>
      <c r="X407">
        <v>95</v>
      </c>
      <c r="Y407">
        <f t="shared" si="180"/>
        <v>167</v>
      </c>
      <c r="Z407">
        <f t="shared" si="181"/>
        <v>167</v>
      </c>
      <c r="AA407">
        <f t="shared" si="182"/>
        <v>135</v>
      </c>
      <c r="AB407">
        <f t="shared" si="183"/>
        <v>135</v>
      </c>
      <c r="AC407">
        <f t="shared" si="184"/>
        <v>120</v>
      </c>
      <c r="AD407">
        <f t="shared" si="185"/>
        <v>101</v>
      </c>
      <c r="AE407">
        <f t="shared" si="186"/>
        <v>92</v>
      </c>
      <c r="AF407">
        <f t="shared" si="187"/>
        <v>60</v>
      </c>
      <c r="AG407">
        <f t="shared" si="188"/>
        <v>54</v>
      </c>
      <c r="AH407">
        <f t="shared" si="189"/>
        <v>40</v>
      </c>
      <c r="AI407">
        <f t="shared" si="190"/>
        <v>112</v>
      </c>
      <c r="AJ407">
        <f t="shared" si="191"/>
        <v>102</v>
      </c>
      <c r="AK407">
        <f t="shared" si="192"/>
        <v>70</v>
      </c>
      <c r="AL407">
        <f t="shared" si="193"/>
        <v>63</v>
      </c>
      <c r="AM407">
        <f t="shared" si="194"/>
        <v>49</v>
      </c>
      <c r="AN407">
        <f t="shared" si="195"/>
        <v>139</v>
      </c>
      <c r="AO407">
        <f t="shared" si="196"/>
        <v>127</v>
      </c>
      <c r="AP407">
        <f t="shared" si="197"/>
        <v>95</v>
      </c>
      <c r="AQ407">
        <f t="shared" si="198"/>
        <v>85</v>
      </c>
      <c r="AR407">
        <f t="shared" si="199"/>
        <v>72</v>
      </c>
      <c r="AS407">
        <f t="shared" si="200"/>
        <v>150</v>
      </c>
      <c r="AT407">
        <f t="shared" si="201"/>
        <v>137</v>
      </c>
      <c r="AU407">
        <f t="shared" si="202"/>
        <v>105</v>
      </c>
      <c r="AV407">
        <f t="shared" si="203"/>
        <v>94</v>
      </c>
      <c r="AW407">
        <f t="shared" si="204"/>
        <v>81</v>
      </c>
      <c r="AX407">
        <f t="shared" si="205"/>
        <v>161</v>
      </c>
      <c r="AY407">
        <f t="shared" si="206"/>
        <v>147</v>
      </c>
      <c r="AZ407">
        <f t="shared" si="207"/>
        <v>115</v>
      </c>
      <c r="BA407">
        <f t="shared" si="208"/>
        <v>103</v>
      </c>
      <c r="BB407">
        <f t="shared" si="209"/>
        <v>90</v>
      </c>
    </row>
    <row r="408" spans="1:54" x14ac:dyDescent="0.15">
      <c r="A408">
        <v>269</v>
      </c>
      <c r="B408" t="s">
        <v>1486</v>
      </c>
      <c r="C408">
        <v>313</v>
      </c>
      <c r="D408">
        <v>0</v>
      </c>
      <c r="E408" t="s">
        <v>1487</v>
      </c>
      <c r="G408" t="s">
        <v>1487</v>
      </c>
      <c r="H408" t="s">
        <v>1488</v>
      </c>
      <c r="J408" t="s">
        <v>1489</v>
      </c>
      <c r="K408">
        <v>17.7</v>
      </c>
      <c r="L408">
        <v>0.7</v>
      </c>
      <c r="M408" t="s">
        <v>90</v>
      </c>
      <c r="O408" t="s">
        <v>683</v>
      </c>
      <c r="P408" t="s">
        <v>112</v>
      </c>
      <c r="Q408" t="s">
        <v>1027</v>
      </c>
      <c r="R408">
        <v>9</v>
      </c>
      <c r="S408">
        <v>65</v>
      </c>
      <c r="T408">
        <v>73</v>
      </c>
      <c r="U408">
        <v>75</v>
      </c>
      <c r="V408">
        <v>47</v>
      </c>
      <c r="W408">
        <v>85</v>
      </c>
      <c r="X408">
        <v>85</v>
      </c>
      <c r="Y408">
        <f t="shared" si="180"/>
        <v>172</v>
      </c>
      <c r="Z408">
        <f t="shared" si="181"/>
        <v>172</v>
      </c>
      <c r="AA408">
        <f t="shared" si="182"/>
        <v>140</v>
      </c>
      <c r="AB408">
        <f t="shared" si="183"/>
        <v>140</v>
      </c>
      <c r="AC408">
        <f t="shared" si="184"/>
        <v>125</v>
      </c>
      <c r="AD408">
        <f t="shared" si="185"/>
        <v>137</v>
      </c>
      <c r="AE408">
        <f t="shared" si="186"/>
        <v>125</v>
      </c>
      <c r="AF408">
        <f t="shared" si="187"/>
        <v>93</v>
      </c>
      <c r="AG408">
        <f t="shared" si="188"/>
        <v>83</v>
      </c>
      <c r="AH408">
        <f t="shared" si="189"/>
        <v>70</v>
      </c>
      <c r="AI408">
        <f t="shared" si="190"/>
        <v>139</v>
      </c>
      <c r="AJ408">
        <f t="shared" si="191"/>
        <v>127</v>
      </c>
      <c r="AK408">
        <f t="shared" si="192"/>
        <v>95</v>
      </c>
      <c r="AL408">
        <f t="shared" si="193"/>
        <v>85</v>
      </c>
      <c r="AM408">
        <f t="shared" si="194"/>
        <v>72</v>
      </c>
      <c r="AN408">
        <f t="shared" si="195"/>
        <v>108</v>
      </c>
      <c r="AO408">
        <f t="shared" si="196"/>
        <v>99</v>
      </c>
      <c r="AP408">
        <f t="shared" si="197"/>
        <v>67</v>
      </c>
      <c r="AQ408">
        <f t="shared" si="198"/>
        <v>60</v>
      </c>
      <c r="AR408">
        <f t="shared" si="199"/>
        <v>46</v>
      </c>
      <c r="AS408">
        <f t="shared" si="200"/>
        <v>150</v>
      </c>
      <c r="AT408">
        <f t="shared" si="201"/>
        <v>137</v>
      </c>
      <c r="AU408">
        <f t="shared" si="202"/>
        <v>105</v>
      </c>
      <c r="AV408">
        <f t="shared" si="203"/>
        <v>94</v>
      </c>
      <c r="AW408">
        <f t="shared" si="204"/>
        <v>81</v>
      </c>
      <c r="AX408">
        <f t="shared" si="205"/>
        <v>150</v>
      </c>
      <c r="AY408">
        <f t="shared" si="206"/>
        <v>137</v>
      </c>
      <c r="AZ408">
        <f t="shared" si="207"/>
        <v>105</v>
      </c>
      <c r="BA408">
        <f t="shared" si="208"/>
        <v>94</v>
      </c>
      <c r="BB408">
        <f t="shared" si="209"/>
        <v>81</v>
      </c>
    </row>
    <row r="409" spans="1:54" x14ac:dyDescent="0.15">
      <c r="A409">
        <v>270</v>
      </c>
      <c r="B409" t="s">
        <v>1490</v>
      </c>
      <c r="C409">
        <v>314</v>
      </c>
      <c r="D409">
        <v>0</v>
      </c>
      <c r="E409" t="s">
        <v>1491</v>
      </c>
      <c r="G409" t="s">
        <v>1491</v>
      </c>
      <c r="H409" t="s">
        <v>1492</v>
      </c>
      <c r="J409" t="s">
        <v>1489</v>
      </c>
      <c r="K409">
        <v>17.7</v>
      </c>
      <c r="L409">
        <v>0.6</v>
      </c>
      <c r="M409" t="s">
        <v>90</v>
      </c>
      <c r="O409" t="s">
        <v>469</v>
      </c>
      <c r="P409" t="s">
        <v>101</v>
      </c>
      <c r="Q409" t="s">
        <v>1027</v>
      </c>
      <c r="R409">
        <v>9</v>
      </c>
      <c r="S409">
        <v>65</v>
      </c>
      <c r="T409">
        <v>47</v>
      </c>
      <c r="U409">
        <v>75</v>
      </c>
      <c r="V409">
        <v>73</v>
      </c>
      <c r="W409">
        <v>85</v>
      </c>
      <c r="X409">
        <v>85</v>
      </c>
      <c r="Y409">
        <f t="shared" si="180"/>
        <v>172</v>
      </c>
      <c r="Z409">
        <f t="shared" si="181"/>
        <v>172</v>
      </c>
      <c r="AA409">
        <f t="shared" si="182"/>
        <v>140</v>
      </c>
      <c r="AB409">
        <f t="shared" si="183"/>
        <v>140</v>
      </c>
      <c r="AC409">
        <f t="shared" si="184"/>
        <v>125</v>
      </c>
      <c r="AD409">
        <f t="shared" si="185"/>
        <v>108</v>
      </c>
      <c r="AE409">
        <f t="shared" si="186"/>
        <v>99</v>
      </c>
      <c r="AF409">
        <f t="shared" si="187"/>
        <v>67</v>
      </c>
      <c r="AG409">
        <f t="shared" si="188"/>
        <v>60</v>
      </c>
      <c r="AH409">
        <f t="shared" si="189"/>
        <v>46</v>
      </c>
      <c r="AI409">
        <f t="shared" si="190"/>
        <v>139</v>
      </c>
      <c r="AJ409">
        <f t="shared" si="191"/>
        <v>127</v>
      </c>
      <c r="AK409">
        <f t="shared" si="192"/>
        <v>95</v>
      </c>
      <c r="AL409">
        <f t="shared" si="193"/>
        <v>85</v>
      </c>
      <c r="AM409">
        <f t="shared" si="194"/>
        <v>72</v>
      </c>
      <c r="AN409">
        <f t="shared" si="195"/>
        <v>137</v>
      </c>
      <c r="AO409">
        <f t="shared" si="196"/>
        <v>125</v>
      </c>
      <c r="AP409">
        <f t="shared" si="197"/>
        <v>93</v>
      </c>
      <c r="AQ409">
        <f t="shared" si="198"/>
        <v>83</v>
      </c>
      <c r="AR409">
        <f t="shared" si="199"/>
        <v>70</v>
      </c>
      <c r="AS409">
        <f t="shared" si="200"/>
        <v>150</v>
      </c>
      <c r="AT409">
        <f t="shared" si="201"/>
        <v>137</v>
      </c>
      <c r="AU409">
        <f t="shared" si="202"/>
        <v>105</v>
      </c>
      <c r="AV409">
        <f t="shared" si="203"/>
        <v>94</v>
      </c>
      <c r="AW409">
        <f t="shared" si="204"/>
        <v>81</v>
      </c>
      <c r="AX409">
        <f t="shared" si="205"/>
        <v>150</v>
      </c>
      <c r="AY409">
        <f t="shared" si="206"/>
        <v>137</v>
      </c>
      <c r="AZ409">
        <f t="shared" si="207"/>
        <v>105</v>
      </c>
      <c r="BA409">
        <f t="shared" si="208"/>
        <v>94</v>
      </c>
      <c r="BB409">
        <f t="shared" si="209"/>
        <v>81</v>
      </c>
    </row>
    <row r="410" spans="1:54" x14ac:dyDescent="0.15">
      <c r="B410" t="s">
        <v>1493</v>
      </c>
      <c r="C410">
        <v>315</v>
      </c>
      <c r="D410">
        <v>0</v>
      </c>
      <c r="E410" t="s">
        <v>1494</v>
      </c>
      <c r="G410" t="s">
        <v>1494</v>
      </c>
      <c r="J410" t="s">
        <v>1495</v>
      </c>
      <c r="K410">
        <v>2</v>
      </c>
      <c r="L410">
        <v>0.3</v>
      </c>
      <c r="M410" t="s">
        <v>26</v>
      </c>
      <c r="N410" t="s">
        <v>27</v>
      </c>
      <c r="O410" t="s">
        <v>654</v>
      </c>
      <c r="P410" t="s">
        <v>215</v>
      </c>
      <c r="Q410" t="s">
        <v>660</v>
      </c>
      <c r="R410">
        <v>8</v>
      </c>
      <c r="S410">
        <v>50</v>
      </c>
      <c r="T410">
        <v>60</v>
      </c>
      <c r="U410">
        <v>45</v>
      </c>
      <c r="V410">
        <v>100</v>
      </c>
      <c r="W410">
        <v>80</v>
      </c>
      <c r="X410">
        <v>65</v>
      </c>
      <c r="Y410">
        <f t="shared" si="180"/>
        <v>157</v>
      </c>
      <c r="Z410">
        <f t="shared" si="181"/>
        <v>157</v>
      </c>
      <c r="AA410">
        <f t="shared" si="182"/>
        <v>125</v>
      </c>
      <c r="AB410">
        <f t="shared" si="183"/>
        <v>125</v>
      </c>
      <c r="AC410">
        <f t="shared" si="184"/>
        <v>110</v>
      </c>
      <c r="AD410">
        <f t="shared" si="185"/>
        <v>123</v>
      </c>
      <c r="AE410">
        <f t="shared" si="186"/>
        <v>112</v>
      </c>
      <c r="AF410">
        <f t="shared" si="187"/>
        <v>80</v>
      </c>
      <c r="AG410">
        <f t="shared" si="188"/>
        <v>72</v>
      </c>
      <c r="AH410">
        <f t="shared" si="189"/>
        <v>58</v>
      </c>
      <c r="AI410">
        <f t="shared" si="190"/>
        <v>106</v>
      </c>
      <c r="AJ410">
        <f t="shared" si="191"/>
        <v>97</v>
      </c>
      <c r="AK410">
        <f t="shared" si="192"/>
        <v>65</v>
      </c>
      <c r="AL410">
        <f t="shared" si="193"/>
        <v>58</v>
      </c>
      <c r="AM410">
        <f t="shared" si="194"/>
        <v>45</v>
      </c>
      <c r="AN410">
        <f t="shared" si="195"/>
        <v>167</v>
      </c>
      <c r="AO410">
        <f t="shared" si="196"/>
        <v>152</v>
      </c>
      <c r="AP410">
        <f t="shared" si="197"/>
        <v>120</v>
      </c>
      <c r="AQ410">
        <f t="shared" si="198"/>
        <v>108</v>
      </c>
      <c r="AR410">
        <f t="shared" si="199"/>
        <v>94</v>
      </c>
      <c r="AS410">
        <f t="shared" si="200"/>
        <v>145</v>
      </c>
      <c r="AT410">
        <f t="shared" si="201"/>
        <v>132</v>
      </c>
      <c r="AU410">
        <f t="shared" si="202"/>
        <v>100</v>
      </c>
      <c r="AV410">
        <f t="shared" si="203"/>
        <v>90</v>
      </c>
      <c r="AW410">
        <f t="shared" si="204"/>
        <v>76</v>
      </c>
      <c r="AX410">
        <f t="shared" si="205"/>
        <v>128</v>
      </c>
      <c r="AY410">
        <f t="shared" si="206"/>
        <v>117</v>
      </c>
      <c r="AZ410">
        <f t="shared" si="207"/>
        <v>85</v>
      </c>
      <c r="BA410">
        <f t="shared" si="208"/>
        <v>76</v>
      </c>
      <c r="BB410">
        <f t="shared" si="209"/>
        <v>63</v>
      </c>
    </row>
    <row r="411" spans="1:54" x14ac:dyDescent="0.15">
      <c r="A411">
        <v>271</v>
      </c>
      <c r="B411" t="s">
        <v>1496</v>
      </c>
      <c r="C411">
        <v>316</v>
      </c>
      <c r="D411">
        <v>0</v>
      </c>
      <c r="E411" t="s">
        <v>1497</v>
      </c>
      <c r="G411" t="s">
        <v>1497</v>
      </c>
      <c r="H411" t="s">
        <v>1498</v>
      </c>
      <c r="J411" t="s">
        <v>1499</v>
      </c>
      <c r="K411">
        <v>10.3</v>
      </c>
      <c r="L411">
        <v>0.4</v>
      </c>
      <c r="M411" t="s">
        <v>27</v>
      </c>
      <c r="O411" t="s">
        <v>426</v>
      </c>
      <c r="P411" t="s">
        <v>522</v>
      </c>
      <c r="Q411" t="s">
        <v>141</v>
      </c>
      <c r="R411">
        <v>9</v>
      </c>
      <c r="S411">
        <v>70</v>
      </c>
      <c r="T411">
        <v>43</v>
      </c>
      <c r="U411">
        <v>53</v>
      </c>
      <c r="V411">
        <v>43</v>
      </c>
      <c r="W411">
        <v>53</v>
      </c>
      <c r="X411">
        <v>40</v>
      </c>
      <c r="Y411">
        <f t="shared" si="180"/>
        <v>177</v>
      </c>
      <c r="Z411">
        <f t="shared" si="181"/>
        <v>177</v>
      </c>
      <c r="AA411">
        <f t="shared" si="182"/>
        <v>145</v>
      </c>
      <c r="AB411">
        <f t="shared" si="183"/>
        <v>145</v>
      </c>
      <c r="AC411">
        <f t="shared" si="184"/>
        <v>130</v>
      </c>
      <c r="AD411">
        <f t="shared" si="185"/>
        <v>104</v>
      </c>
      <c r="AE411">
        <f t="shared" si="186"/>
        <v>95</v>
      </c>
      <c r="AF411">
        <f t="shared" si="187"/>
        <v>63</v>
      </c>
      <c r="AG411">
        <f t="shared" si="188"/>
        <v>56</v>
      </c>
      <c r="AH411">
        <f t="shared" si="189"/>
        <v>43</v>
      </c>
      <c r="AI411">
        <f t="shared" si="190"/>
        <v>115</v>
      </c>
      <c r="AJ411">
        <f t="shared" si="191"/>
        <v>105</v>
      </c>
      <c r="AK411">
        <f t="shared" si="192"/>
        <v>73</v>
      </c>
      <c r="AL411">
        <f t="shared" si="193"/>
        <v>65</v>
      </c>
      <c r="AM411">
        <f t="shared" si="194"/>
        <v>52</v>
      </c>
      <c r="AN411">
        <f t="shared" si="195"/>
        <v>104</v>
      </c>
      <c r="AO411">
        <f t="shared" si="196"/>
        <v>95</v>
      </c>
      <c r="AP411">
        <f t="shared" si="197"/>
        <v>63</v>
      </c>
      <c r="AQ411">
        <f t="shared" si="198"/>
        <v>56</v>
      </c>
      <c r="AR411">
        <f t="shared" si="199"/>
        <v>43</v>
      </c>
      <c r="AS411">
        <f t="shared" si="200"/>
        <v>115</v>
      </c>
      <c r="AT411">
        <f t="shared" si="201"/>
        <v>105</v>
      </c>
      <c r="AU411">
        <f t="shared" si="202"/>
        <v>73</v>
      </c>
      <c r="AV411">
        <f t="shared" si="203"/>
        <v>65</v>
      </c>
      <c r="AW411">
        <f t="shared" si="204"/>
        <v>52</v>
      </c>
      <c r="AX411">
        <f t="shared" si="205"/>
        <v>101</v>
      </c>
      <c r="AY411">
        <f t="shared" si="206"/>
        <v>92</v>
      </c>
      <c r="AZ411">
        <f t="shared" si="207"/>
        <v>60</v>
      </c>
      <c r="BA411">
        <f t="shared" si="208"/>
        <v>54</v>
      </c>
      <c r="BB411">
        <f t="shared" si="209"/>
        <v>40</v>
      </c>
    </row>
    <row r="412" spans="1:54" x14ac:dyDescent="0.15">
      <c r="A412">
        <v>272</v>
      </c>
      <c r="B412" t="s">
        <v>1500</v>
      </c>
      <c r="C412">
        <v>317</v>
      </c>
      <c r="D412">
        <v>0</v>
      </c>
      <c r="E412" t="s">
        <v>1501</v>
      </c>
      <c r="G412" t="s">
        <v>1501</v>
      </c>
      <c r="H412" t="s">
        <v>1502</v>
      </c>
      <c r="J412" t="s">
        <v>1503</v>
      </c>
      <c r="K412">
        <v>80</v>
      </c>
      <c r="L412">
        <v>1.7</v>
      </c>
      <c r="M412" t="s">
        <v>27</v>
      </c>
      <c r="O412" t="s">
        <v>426</v>
      </c>
      <c r="P412" t="s">
        <v>522</v>
      </c>
      <c r="Q412" t="s">
        <v>141</v>
      </c>
      <c r="R412">
        <v>9</v>
      </c>
      <c r="S412">
        <v>100</v>
      </c>
      <c r="T412">
        <v>73</v>
      </c>
      <c r="U412">
        <v>83</v>
      </c>
      <c r="V412">
        <v>73</v>
      </c>
      <c r="W412">
        <v>83</v>
      </c>
      <c r="X412">
        <v>55</v>
      </c>
      <c r="Y412">
        <f t="shared" si="180"/>
        <v>207</v>
      </c>
      <c r="Z412">
        <f t="shared" si="181"/>
        <v>207</v>
      </c>
      <c r="AA412">
        <f t="shared" si="182"/>
        <v>175</v>
      </c>
      <c r="AB412">
        <f t="shared" si="183"/>
        <v>175</v>
      </c>
      <c r="AC412">
        <f t="shared" si="184"/>
        <v>160</v>
      </c>
      <c r="AD412">
        <f t="shared" si="185"/>
        <v>137</v>
      </c>
      <c r="AE412">
        <f t="shared" si="186"/>
        <v>125</v>
      </c>
      <c r="AF412">
        <f t="shared" si="187"/>
        <v>93</v>
      </c>
      <c r="AG412">
        <f t="shared" si="188"/>
        <v>83</v>
      </c>
      <c r="AH412">
        <f t="shared" si="189"/>
        <v>70</v>
      </c>
      <c r="AI412">
        <f t="shared" si="190"/>
        <v>148</v>
      </c>
      <c r="AJ412">
        <f t="shared" si="191"/>
        <v>135</v>
      </c>
      <c r="AK412">
        <f t="shared" si="192"/>
        <v>103</v>
      </c>
      <c r="AL412">
        <f t="shared" si="193"/>
        <v>92</v>
      </c>
      <c r="AM412">
        <f t="shared" si="194"/>
        <v>79</v>
      </c>
      <c r="AN412">
        <f t="shared" si="195"/>
        <v>137</v>
      </c>
      <c r="AO412">
        <f t="shared" si="196"/>
        <v>125</v>
      </c>
      <c r="AP412">
        <f t="shared" si="197"/>
        <v>93</v>
      </c>
      <c r="AQ412">
        <f t="shared" si="198"/>
        <v>83</v>
      </c>
      <c r="AR412">
        <f t="shared" si="199"/>
        <v>70</v>
      </c>
      <c r="AS412">
        <f t="shared" si="200"/>
        <v>148</v>
      </c>
      <c r="AT412">
        <f t="shared" si="201"/>
        <v>135</v>
      </c>
      <c r="AU412">
        <f t="shared" si="202"/>
        <v>103</v>
      </c>
      <c r="AV412">
        <f t="shared" si="203"/>
        <v>92</v>
      </c>
      <c r="AW412">
        <f t="shared" si="204"/>
        <v>79</v>
      </c>
      <c r="AX412">
        <f t="shared" si="205"/>
        <v>117</v>
      </c>
      <c r="AY412">
        <f t="shared" si="206"/>
        <v>107</v>
      </c>
      <c r="AZ412">
        <f t="shared" si="207"/>
        <v>75</v>
      </c>
      <c r="BA412">
        <f t="shared" si="208"/>
        <v>67</v>
      </c>
      <c r="BB412">
        <f t="shared" si="209"/>
        <v>54</v>
      </c>
    </row>
    <row r="413" spans="1:54" x14ac:dyDescent="0.15">
      <c r="B413" t="s">
        <v>1504</v>
      </c>
      <c r="C413">
        <v>318</v>
      </c>
      <c r="D413">
        <v>0</v>
      </c>
      <c r="E413" t="s">
        <v>1505</v>
      </c>
      <c r="G413" t="s">
        <v>1505</v>
      </c>
      <c r="J413" t="s">
        <v>1506</v>
      </c>
      <c r="K413">
        <v>20.8</v>
      </c>
      <c r="L413">
        <v>0.8</v>
      </c>
      <c r="M413" t="s">
        <v>71</v>
      </c>
      <c r="N413" t="s">
        <v>140</v>
      </c>
      <c r="O413" t="s">
        <v>1507</v>
      </c>
      <c r="P413" t="s">
        <v>1004</v>
      </c>
      <c r="R413">
        <v>8</v>
      </c>
      <c r="S413">
        <v>45</v>
      </c>
      <c r="T413">
        <v>90</v>
      </c>
      <c r="U413">
        <v>20</v>
      </c>
      <c r="V413">
        <v>65</v>
      </c>
      <c r="W413">
        <v>20</v>
      </c>
      <c r="X413">
        <v>65</v>
      </c>
      <c r="Y413">
        <f t="shared" si="180"/>
        <v>152</v>
      </c>
      <c r="Z413">
        <f t="shared" si="181"/>
        <v>152</v>
      </c>
      <c r="AA413">
        <f t="shared" si="182"/>
        <v>120</v>
      </c>
      <c r="AB413">
        <f t="shared" si="183"/>
        <v>120</v>
      </c>
      <c r="AC413">
        <f t="shared" si="184"/>
        <v>105</v>
      </c>
      <c r="AD413">
        <f t="shared" si="185"/>
        <v>156</v>
      </c>
      <c r="AE413">
        <f t="shared" si="186"/>
        <v>142</v>
      </c>
      <c r="AF413">
        <f t="shared" si="187"/>
        <v>110</v>
      </c>
      <c r="AG413">
        <f t="shared" si="188"/>
        <v>99</v>
      </c>
      <c r="AH413">
        <f t="shared" si="189"/>
        <v>85</v>
      </c>
      <c r="AI413">
        <f t="shared" si="190"/>
        <v>79</v>
      </c>
      <c r="AJ413">
        <f t="shared" si="191"/>
        <v>72</v>
      </c>
      <c r="AK413">
        <f t="shared" si="192"/>
        <v>40</v>
      </c>
      <c r="AL413">
        <f t="shared" si="193"/>
        <v>36</v>
      </c>
      <c r="AM413">
        <f t="shared" si="194"/>
        <v>22</v>
      </c>
      <c r="AN413">
        <f t="shared" si="195"/>
        <v>128</v>
      </c>
      <c r="AO413">
        <f t="shared" si="196"/>
        <v>117</v>
      </c>
      <c r="AP413">
        <f t="shared" si="197"/>
        <v>85</v>
      </c>
      <c r="AQ413">
        <f t="shared" si="198"/>
        <v>76</v>
      </c>
      <c r="AR413">
        <f t="shared" si="199"/>
        <v>63</v>
      </c>
      <c r="AS413">
        <f t="shared" si="200"/>
        <v>79</v>
      </c>
      <c r="AT413">
        <f t="shared" si="201"/>
        <v>72</v>
      </c>
      <c r="AU413">
        <f t="shared" si="202"/>
        <v>40</v>
      </c>
      <c r="AV413">
        <f t="shared" si="203"/>
        <v>36</v>
      </c>
      <c r="AW413">
        <f t="shared" si="204"/>
        <v>22</v>
      </c>
      <c r="AX413">
        <f t="shared" si="205"/>
        <v>128</v>
      </c>
      <c r="AY413">
        <f t="shared" si="206"/>
        <v>117</v>
      </c>
      <c r="AZ413">
        <f t="shared" si="207"/>
        <v>85</v>
      </c>
      <c r="BA413">
        <f t="shared" si="208"/>
        <v>76</v>
      </c>
      <c r="BB413">
        <f t="shared" si="209"/>
        <v>63</v>
      </c>
    </row>
    <row r="414" spans="1:54" x14ac:dyDescent="0.15">
      <c r="B414" t="s">
        <v>1508</v>
      </c>
      <c r="C414">
        <v>319</v>
      </c>
      <c r="D414">
        <v>0</v>
      </c>
      <c r="E414" t="s">
        <v>1509</v>
      </c>
      <c r="G414" t="s">
        <v>1509</v>
      </c>
      <c r="J414" t="s">
        <v>1510</v>
      </c>
      <c r="K414">
        <v>88.8</v>
      </c>
      <c r="L414">
        <v>1.8</v>
      </c>
      <c r="M414" t="s">
        <v>71</v>
      </c>
      <c r="N414" t="s">
        <v>140</v>
      </c>
      <c r="O414" t="s">
        <v>1507</v>
      </c>
      <c r="P414" t="s">
        <v>1004</v>
      </c>
      <c r="R414">
        <v>8</v>
      </c>
      <c r="S414">
        <v>70</v>
      </c>
      <c r="T414">
        <v>120</v>
      </c>
      <c r="U414">
        <v>40</v>
      </c>
      <c r="V414">
        <v>95</v>
      </c>
      <c r="W414">
        <v>40</v>
      </c>
      <c r="X414">
        <v>95</v>
      </c>
      <c r="Y414">
        <f t="shared" si="180"/>
        <v>177</v>
      </c>
      <c r="Z414">
        <f t="shared" si="181"/>
        <v>177</v>
      </c>
      <c r="AA414">
        <f t="shared" si="182"/>
        <v>145</v>
      </c>
      <c r="AB414">
        <f t="shared" si="183"/>
        <v>145</v>
      </c>
      <c r="AC414">
        <f t="shared" si="184"/>
        <v>130</v>
      </c>
      <c r="AD414">
        <f t="shared" si="185"/>
        <v>189</v>
      </c>
      <c r="AE414">
        <f t="shared" si="186"/>
        <v>172</v>
      </c>
      <c r="AF414">
        <f t="shared" si="187"/>
        <v>140</v>
      </c>
      <c r="AG414">
        <f t="shared" si="188"/>
        <v>126</v>
      </c>
      <c r="AH414">
        <f t="shared" si="189"/>
        <v>112</v>
      </c>
      <c r="AI414">
        <f t="shared" si="190"/>
        <v>101</v>
      </c>
      <c r="AJ414">
        <f t="shared" si="191"/>
        <v>92</v>
      </c>
      <c r="AK414">
        <f t="shared" si="192"/>
        <v>60</v>
      </c>
      <c r="AL414">
        <f t="shared" si="193"/>
        <v>54</v>
      </c>
      <c r="AM414">
        <f t="shared" si="194"/>
        <v>40</v>
      </c>
      <c r="AN414">
        <f t="shared" si="195"/>
        <v>161</v>
      </c>
      <c r="AO414">
        <f t="shared" si="196"/>
        <v>147</v>
      </c>
      <c r="AP414">
        <f t="shared" si="197"/>
        <v>115</v>
      </c>
      <c r="AQ414">
        <f t="shared" si="198"/>
        <v>103</v>
      </c>
      <c r="AR414">
        <f t="shared" si="199"/>
        <v>90</v>
      </c>
      <c r="AS414">
        <f t="shared" si="200"/>
        <v>101</v>
      </c>
      <c r="AT414">
        <f t="shared" si="201"/>
        <v>92</v>
      </c>
      <c r="AU414">
        <f t="shared" si="202"/>
        <v>60</v>
      </c>
      <c r="AV414">
        <f t="shared" si="203"/>
        <v>54</v>
      </c>
      <c r="AW414">
        <f t="shared" si="204"/>
        <v>40</v>
      </c>
      <c r="AX414">
        <f t="shared" si="205"/>
        <v>161</v>
      </c>
      <c r="AY414">
        <f t="shared" si="206"/>
        <v>147</v>
      </c>
      <c r="AZ414">
        <f t="shared" si="207"/>
        <v>115</v>
      </c>
      <c r="BA414">
        <f t="shared" si="208"/>
        <v>103</v>
      </c>
      <c r="BB414">
        <f t="shared" si="209"/>
        <v>90</v>
      </c>
    </row>
    <row r="415" spans="1:54" x14ac:dyDescent="0.15">
      <c r="B415" t="s">
        <v>1511</v>
      </c>
      <c r="C415">
        <v>319</v>
      </c>
      <c r="D415">
        <v>1</v>
      </c>
      <c r="E415" t="s">
        <v>1509</v>
      </c>
      <c r="F415" t="s">
        <v>1512</v>
      </c>
      <c r="G415" t="s">
        <v>1512</v>
      </c>
      <c r="J415" t="s">
        <v>1510</v>
      </c>
      <c r="K415">
        <v>130.30000000000001</v>
      </c>
      <c r="L415">
        <v>2.5</v>
      </c>
      <c r="M415" t="s">
        <v>71</v>
      </c>
      <c r="N415" t="s">
        <v>140</v>
      </c>
      <c r="O415" t="s">
        <v>1513</v>
      </c>
      <c r="P415" t="s">
        <v>1004</v>
      </c>
      <c r="R415">
        <v>7</v>
      </c>
      <c r="S415">
        <v>70</v>
      </c>
      <c r="T415">
        <v>120</v>
      </c>
      <c r="U415">
        <v>40</v>
      </c>
      <c r="V415">
        <v>95</v>
      </c>
      <c r="W415">
        <v>40</v>
      </c>
      <c r="X415">
        <v>95</v>
      </c>
      <c r="Y415">
        <f t="shared" si="180"/>
        <v>177</v>
      </c>
      <c r="Z415">
        <f t="shared" si="181"/>
        <v>177</v>
      </c>
      <c r="AA415">
        <f t="shared" si="182"/>
        <v>145</v>
      </c>
      <c r="AB415">
        <f t="shared" si="183"/>
        <v>145</v>
      </c>
      <c r="AC415">
        <f t="shared" si="184"/>
        <v>130</v>
      </c>
      <c r="AD415">
        <f t="shared" si="185"/>
        <v>189</v>
      </c>
      <c r="AE415">
        <f t="shared" si="186"/>
        <v>172</v>
      </c>
      <c r="AF415">
        <f t="shared" si="187"/>
        <v>140</v>
      </c>
      <c r="AG415">
        <f t="shared" si="188"/>
        <v>126</v>
      </c>
      <c r="AH415">
        <f t="shared" si="189"/>
        <v>112</v>
      </c>
      <c r="AI415">
        <f t="shared" si="190"/>
        <v>101</v>
      </c>
      <c r="AJ415">
        <f t="shared" si="191"/>
        <v>92</v>
      </c>
      <c r="AK415">
        <f t="shared" si="192"/>
        <v>60</v>
      </c>
      <c r="AL415">
        <f t="shared" si="193"/>
        <v>54</v>
      </c>
      <c r="AM415">
        <f t="shared" si="194"/>
        <v>40</v>
      </c>
      <c r="AN415">
        <f t="shared" si="195"/>
        <v>161</v>
      </c>
      <c r="AO415">
        <f t="shared" si="196"/>
        <v>147</v>
      </c>
      <c r="AP415">
        <f t="shared" si="197"/>
        <v>115</v>
      </c>
      <c r="AQ415">
        <f t="shared" si="198"/>
        <v>103</v>
      </c>
      <c r="AR415">
        <f t="shared" si="199"/>
        <v>90</v>
      </c>
      <c r="AS415">
        <f t="shared" si="200"/>
        <v>101</v>
      </c>
      <c r="AT415">
        <f t="shared" si="201"/>
        <v>92</v>
      </c>
      <c r="AU415">
        <f t="shared" si="202"/>
        <v>60</v>
      </c>
      <c r="AV415">
        <f t="shared" si="203"/>
        <v>54</v>
      </c>
      <c r="AW415">
        <f t="shared" si="204"/>
        <v>40</v>
      </c>
      <c r="AX415">
        <f t="shared" si="205"/>
        <v>161</v>
      </c>
      <c r="AY415">
        <f t="shared" si="206"/>
        <v>147</v>
      </c>
      <c r="AZ415">
        <f t="shared" si="207"/>
        <v>115</v>
      </c>
      <c r="BA415">
        <f t="shared" si="208"/>
        <v>103</v>
      </c>
      <c r="BB415">
        <f t="shared" si="209"/>
        <v>90</v>
      </c>
    </row>
    <row r="416" spans="1:54" x14ac:dyDescent="0.15">
      <c r="B416" t="s">
        <v>1514</v>
      </c>
      <c r="C416">
        <v>320</v>
      </c>
      <c r="D416">
        <v>0</v>
      </c>
      <c r="E416" t="s">
        <v>1515</v>
      </c>
      <c r="G416" t="s">
        <v>1515</v>
      </c>
      <c r="J416" t="s">
        <v>1516</v>
      </c>
      <c r="K416">
        <v>130</v>
      </c>
      <c r="L416">
        <v>2</v>
      </c>
      <c r="M416" t="s">
        <v>71</v>
      </c>
      <c r="O416" t="s">
        <v>677</v>
      </c>
      <c r="P416" t="s">
        <v>469</v>
      </c>
      <c r="Q416" t="s">
        <v>792</v>
      </c>
      <c r="R416">
        <v>8</v>
      </c>
      <c r="S416">
        <v>130</v>
      </c>
      <c r="T416">
        <v>70</v>
      </c>
      <c r="U416">
        <v>35</v>
      </c>
      <c r="V416">
        <v>70</v>
      </c>
      <c r="W416">
        <v>35</v>
      </c>
      <c r="X416">
        <v>60</v>
      </c>
      <c r="Y416">
        <f t="shared" si="180"/>
        <v>237</v>
      </c>
      <c r="Z416">
        <f t="shared" si="181"/>
        <v>237</v>
      </c>
      <c r="AA416">
        <f t="shared" si="182"/>
        <v>205</v>
      </c>
      <c r="AB416">
        <f t="shared" si="183"/>
        <v>205</v>
      </c>
      <c r="AC416">
        <f t="shared" si="184"/>
        <v>190</v>
      </c>
      <c r="AD416">
        <f t="shared" si="185"/>
        <v>134</v>
      </c>
      <c r="AE416">
        <f t="shared" si="186"/>
        <v>122</v>
      </c>
      <c r="AF416">
        <f t="shared" si="187"/>
        <v>90</v>
      </c>
      <c r="AG416">
        <f t="shared" si="188"/>
        <v>81</v>
      </c>
      <c r="AH416">
        <f t="shared" si="189"/>
        <v>67</v>
      </c>
      <c r="AI416">
        <f t="shared" si="190"/>
        <v>95</v>
      </c>
      <c r="AJ416">
        <f t="shared" si="191"/>
        <v>87</v>
      </c>
      <c r="AK416">
        <f t="shared" si="192"/>
        <v>55</v>
      </c>
      <c r="AL416">
        <f t="shared" si="193"/>
        <v>49</v>
      </c>
      <c r="AM416">
        <f t="shared" si="194"/>
        <v>36</v>
      </c>
      <c r="AN416">
        <f t="shared" si="195"/>
        <v>134</v>
      </c>
      <c r="AO416">
        <f t="shared" si="196"/>
        <v>122</v>
      </c>
      <c r="AP416">
        <f t="shared" si="197"/>
        <v>90</v>
      </c>
      <c r="AQ416">
        <f t="shared" si="198"/>
        <v>81</v>
      </c>
      <c r="AR416">
        <f t="shared" si="199"/>
        <v>67</v>
      </c>
      <c r="AS416">
        <f t="shared" si="200"/>
        <v>95</v>
      </c>
      <c r="AT416">
        <f t="shared" si="201"/>
        <v>87</v>
      </c>
      <c r="AU416">
        <f t="shared" si="202"/>
        <v>55</v>
      </c>
      <c r="AV416">
        <f t="shared" si="203"/>
        <v>49</v>
      </c>
      <c r="AW416">
        <f t="shared" si="204"/>
        <v>36</v>
      </c>
      <c r="AX416">
        <f t="shared" si="205"/>
        <v>123</v>
      </c>
      <c r="AY416">
        <f t="shared" si="206"/>
        <v>112</v>
      </c>
      <c r="AZ416">
        <f t="shared" si="207"/>
        <v>80</v>
      </c>
      <c r="BA416">
        <f t="shared" si="208"/>
        <v>72</v>
      </c>
      <c r="BB416">
        <f t="shared" si="209"/>
        <v>58</v>
      </c>
    </row>
    <row r="417" spans="1:54" x14ac:dyDescent="0.15">
      <c r="B417" t="s">
        <v>1517</v>
      </c>
      <c r="C417">
        <v>321</v>
      </c>
      <c r="D417">
        <v>0</v>
      </c>
      <c r="E417" t="s">
        <v>1518</v>
      </c>
      <c r="G417" t="s">
        <v>1518</v>
      </c>
      <c r="J417" t="s">
        <v>1519</v>
      </c>
      <c r="K417">
        <v>398</v>
      </c>
      <c r="L417">
        <v>14.5</v>
      </c>
      <c r="M417" t="s">
        <v>71</v>
      </c>
      <c r="O417" t="s">
        <v>677</v>
      </c>
      <c r="P417" t="s">
        <v>469</v>
      </c>
      <c r="Q417" t="s">
        <v>792</v>
      </c>
      <c r="R417">
        <v>8</v>
      </c>
      <c r="S417">
        <v>170</v>
      </c>
      <c r="T417">
        <v>90</v>
      </c>
      <c r="U417">
        <v>45</v>
      </c>
      <c r="V417">
        <v>90</v>
      </c>
      <c r="W417">
        <v>45</v>
      </c>
      <c r="X417">
        <v>60</v>
      </c>
      <c r="Y417">
        <f t="shared" si="180"/>
        <v>277</v>
      </c>
      <c r="Z417">
        <f t="shared" si="181"/>
        <v>277</v>
      </c>
      <c r="AA417">
        <f t="shared" si="182"/>
        <v>245</v>
      </c>
      <c r="AB417">
        <f t="shared" si="183"/>
        <v>245</v>
      </c>
      <c r="AC417">
        <f t="shared" si="184"/>
        <v>230</v>
      </c>
      <c r="AD417">
        <f t="shared" si="185"/>
        <v>156</v>
      </c>
      <c r="AE417">
        <f t="shared" si="186"/>
        <v>142</v>
      </c>
      <c r="AF417">
        <f t="shared" si="187"/>
        <v>110</v>
      </c>
      <c r="AG417">
        <f t="shared" si="188"/>
        <v>99</v>
      </c>
      <c r="AH417">
        <f t="shared" si="189"/>
        <v>85</v>
      </c>
      <c r="AI417">
        <f t="shared" si="190"/>
        <v>106</v>
      </c>
      <c r="AJ417">
        <f t="shared" si="191"/>
        <v>97</v>
      </c>
      <c r="AK417">
        <f t="shared" si="192"/>
        <v>65</v>
      </c>
      <c r="AL417">
        <f t="shared" si="193"/>
        <v>58</v>
      </c>
      <c r="AM417">
        <f t="shared" si="194"/>
        <v>45</v>
      </c>
      <c r="AN417">
        <f t="shared" si="195"/>
        <v>156</v>
      </c>
      <c r="AO417">
        <f t="shared" si="196"/>
        <v>142</v>
      </c>
      <c r="AP417">
        <f t="shared" si="197"/>
        <v>110</v>
      </c>
      <c r="AQ417">
        <f t="shared" si="198"/>
        <v>99</v>
      </c>
      <c r="AR417">
        <f t="shared" si="199"/>
        <v>85</v>
      </c>
      <c r="AS417">
        <f t="shared" si="200"/>
        <v>106</v>
      </c>
      <c r="AT417">
        <f t="shared" si="201"/>
        <v>97</v>
      </c>
      <c r="AU417">
        <f t="shared" si="202"/>
        <v>65</v>
      </c>
      <c r="AV417">
        <f t="shared" si="203"/>
        <v>58</v>
      </c>
      <c r="AW417">
        <f t="shared" si="204"/>
        <v>45</v>
      </c>
      <c r="AX417">
        <f t="shared" si="205"/>
        <v>123</v>
      </c>
      <c r="AY417">
        <f t="shared" si="206"/>
        <v>112</v>
      </c>
      <c r="AZ417">
        <f t="shared" si="207"/>
        <v>80</v>
      </c>
      <c r="BA417">
        <f t="shared" si="208"/>
        <v>72</v>
      </c>
      <c r="BB417">
        <f t="shared" si="209"/>
        <v>58</v>
      </c>
    </row>
    <row r="418" spans="1:54" x14ac:dyDescent="0.15">
      <c r="A418">
        <v>273</v>
      </c>
      <c r="B418" t="s">
        <v>1520</v>
      </c>
      <c r="C418">
        <v>322</v>
      </c>
      <c r="D418">
        <v>0</v>
      </c>
      <c r="E418" t="s">
        <v>1521</v>
      </c>
      <c r="G418" t="s">
        <v>1521</v>
      </c>
      <c r="H418" t="s">
        <v>1522</v>
      </c>
      <c r="J418" t="s">
        <v>1523</v>
      </c>
      <c r="K418">
        <v>24</v>
      </c>
      <c r="L418">
        <v>0.7</v>
      </c>
      <c r="M418" t="s">
        <v>47</v>
      </c>
      <c r="N418" t="s">
        <v>196</v>
      </c>
      <c r="O418" t="s">
        <v>469</v>
      </c>
      <c r="P418" t="s">
        <v>1524</v>
      </c>
      <c r="Q418" t="s">
        <v>470</v>
      </c>
      <c r="R418">
        <v>9</v>
      </c>
      <c r="S418">
        <v>60</v>
      </c>
      <c r="T418">
        <v>60</v>
      </c>
      <c r="U418">
        <v>40</v>
      </c>
      <c r="V418">
        <v>65</v>
      </c>
      <c r="W418">
        <v>45</v>
      </c>
      <c r="X418">
        <v>35</v>
      </c>
      <c r="Y418">
        <f t="shared" si="180"/>
        <v>167</v>
      </c>
      <c r="Z418">
        <f t="shared" si="181"/>
        <v>167</v>
      </c>
      <c r="AA418">
        <f t="shared" si="182"/>
        <v>135</v>
      </c>
      <c r="AB418">
        <f t="shared" si="183"/>
        <v>135</v>
      </c>
      <c r="AC418">
        <f t="shared" si="184"/>
        <v>120</v>
      </c>
      <c r="AD418">
        <f t="shared" si="185"/>
        <v>123</v>
      </c>
      <c r="AE418">
        <f t="shared" si="186"/>
        <v>112</v>
      </c>
      <c r="AF418">
        <f t="shared" si="187"/>
        <v>80</v>
      </c>
      <c r="AG418">
        <f t="shared" si="188"/>
        <v>72</v>
      </c>
      <c r="AH418">
        <f t="shared" si="189"/>
        <v>58</v>
      </c>
      <c r="AI418">
        <f t="shared" si="190"/>
        <v>101</v>
      </c>
      <c r="AJ418">
        <f t="shared" si="191"/>
        <v>92</v>
      </c>
      <c r="AK418">
        <f t="shared" si="192"/>
        <v>60</v>
      </c>
      <c r="AL418">
        <f t="shared" si="193"/>
        <v>54</v>
      </c>
      <c r="AM418">
        <f t="shared" si="194"/>
        <v>40</v>
      </c>
      <c r="AN418">
        <f t="shared" si="195"/>
        <v>128</v>
      </c>
      <c r="AO418">
        <f t="shared" si="196"/>
        <v>117</v>
      </c>
      <c r="AP418">
        <f t="shared" si="197"/>
        <v>85</v>
      </c>
      <c r="AQ418">
        <f t="shared" si="198"/>
        <v>76</v>
      </c>
      <c r="AR418">
        <f t="shared" si="199"/>
        <v>63</v>
      </c>
      <c r="AS418">
        <f t="shared" si="200"/>
        <v>106</v>
      </c>
      <c r="AT418">
        <f t="shared" si="201"/>
        <v>97</v>
      </c>
      <c r="AU418">
        <f t="shared" si="202"/>
        <v>65</v>
      </c>
      <c r="AV418">
        <f t="shared" si="203"/>
        <v>58</v>
      </c>
      <c r="AW418">
        <f t="shared" si="204"/>
        <v>45</v>
      </c>
      <c r="AX418">
        <f t="shared" si="205"/>
        <v>95</v>
      </c>
      <c r="AY418">
        <f t="shared" si="206"/>
        <v>87</v>
      </c>
      <c r="AZ418">
        <f t="shared" si="207"/>
        <v>55</v>
      </c>
      <c r="BA418">
        <f t="shared" si="208"/>
        <v>49</v>
      </c>
      <c r="BB418">
        <f t="shared" si="209"/>
        <v>36</v>
      </c>
    </row>
    <row r="419" spans="1:54" x14ac:dyDescent="0.15">
      <c r="A419">
        <v>274</v>
      </c>
      <c r="B419" t="s">
        <v>1525</v>
      </c>
      <c r="C419">
        <v>323</v>
      </c>
      <c r="D419">
        <v>0</v>
      </c>
      <c r="E419" t="s">
        <v>1526</v>
      </c>
      <c r="G419" t="s">
        <v>1526</v>
      </c>
      <c r="H419" t="s">
        <v>1527</v>
      </c>
      <c r="J419" t="s">
        <v>1528</v>
      </c>
      <c r="K419">
        <v>220</v>
      </c>
      <c r="L419">
        <v>1.9</v>
      </c>
      <c r="M419" t="s">
        <v>47</v>
      </c>
      <c r="N419" t="s">
        <v>196</v>
      </c>
      <c r="O419" t="s">
        <v>1122</v>
      </c>
      <c r="P419" t="s">
        <v>1529</v>
      </c>
      <c r="Q419" t="s">
        <v>356</v>
      </c>
      <c r="R419">
        <v>9</v>
      </c>
      <c r="S419">
        <v>70</v>
      </c>
      <c r="T419">
        <v>100</v>
      </c>
      <c r="U419">
        <v>70</v>
      </c>
      <c r="V419">
        <v>105</v>
      </c>
      <c r="W419">
        <v>75</v>
      </c>
      <c r="X419">
        <v>40</v>
      </c>
      <c r="Y419">
        <f t="shared" si="180"/>
        <v>177</v>
      </c>
      <c r="Z419">
        <f t="shared" si="181"/>
        <v>177</v>
      </c>
      <c r="AA419">
        <f t="shared" si="182"/>
        <v>145</v>
      </c>
      <c r="AB419">
        <f t="shared" si="183"/>
        <v>145</v>
      </c>
      <c r="AC419">
        <f t="shared" si="184"/>
        <v>130</v>
      </c>
      <c r="AD419">
        <f t="shared" si="185"/>
        <v>167</v>
      </c>
      <c r="AE419">
        <f t="shared" si="186"/>
        <v>152</v>
      </c>
      <c r="AF419">
        <f t="shared" si="187"/>
        <v>120</v>
      </c>
      <c r="AG419">
        <f t="shared" si="188"/>
        <v>108</v>
      </c>
      <c r="AH419">
        <f t="shared" si="189"/>
        <v>94</v>
      </c>
      <c r="AI419">
        <f t="shared" si="190"/>
        <v>134</v>
      </c>
      <c r="AJ419">
        <f t="shared" si="191"/>
        <v>122</v>
      </c>
      <c r="AK419">
        <f t="shared" si="192"/>
        <v>90</v>
      </c>
      <c r="AL419">
        <f t="shared" si="193"/>
        <v>81</v>
      </c>
      <c r="AM419">
        <f t="shared" si="194"/>
        <v>67</v>
      </c>
      <c r="AN419">
        <f t="shared" si="195"/>
        <v>172</v>
      </c>
      <c r="AO419">
        <f t="shared" si="196"/>
        <v>157</v>
      </c>
      <c r="AP419">
        <f t="shared" si="197"/>
        <v>125</v>
      </c>
      <c r="AQ419">
        <f t="shared" si="198"/>
        <v>112</v>
      </c>
      <c r="AR419">
        <f t="shared" si="199"/>
        <v>99</v>
      </c>
      <c r="AS419">
        <f t="shared" si="200"/>
        <v>139</v>
      </c>
      <c r="AT419">
        <f t="shared" si="201"/>
        <v>127</v>
      </c>
      <c r="AU419">
        <f t="shared" si="202"/>
        <v>95</v>
      </c>
      <c r="AV419">
        <f t="shared" si="203"/>
        <v>85</v>
      </c>
      <c r="AW419">
        <f t="shared" si="204"/>
        <v>72</v>
      </c>
      <c r="AX419">
        <f t="shared" si="205"/>
        <v>101</v>
      </c>
      <c r="AY419">
        <f t="shared" si="206"/>
        <v>92</v>
      </c>
      <c r="AZ419">
        <f t="shared" si="207"/>
        <v>60</v>
      </c>
      <c r="BA419">
        <f t="shared" si="208"/>
        <v>54</v>
      </c>
      <c r="BB419">
        <f t="shared" si="209"/>
        <v>40</v>
      </c>
    </row>
    <row r="420" spans="1:54" x14ac:dyDescent="0.15">
      <c r="B420" t="s">
        <v>1530</v>
      </c>
      <c r="C420">
        <v>323</v>
      </c>
      <c r="D420">
        <v>1</v>
      </c>
      <c r="E420" t="s">
        <v>1526</v>
      </c>
      <c r="F420" t="s">
        <v>1531</v>
      </c>
      <c r="G420" t="s">
        <v>1531</v>
      </c>
      <c r="J420" t="s">
        <v>1528</v>
      </c>
      <c r="K420">
        <v>320.5</v>
      </c>
      <c r="L420">
        <v>2.5</v>
      </c>
      <c r="M420" t="s">
        <v>47</v>
      </c>
      <c r="N420" t="s">
        <v>196</v>
      </c>
      <c r="O420" t="s">
        <v>222</v>
      </c>
      <c r="P420" t="s">
        <v>356</v>
      </c>
      <c r="R420">
        <v>7</v>
      </c>
      <c r="S420">
        <v>70</v>
      </c>
      <c r="T420">
        <v>100</v>
      </c>
      <c r="U420">
        <v>70</v>
      </c>
      <c r="V420">
        <v>105</v>
      </c>
      <c r="W420">
        <v>75</v>
      </c>
      <c r="X420">
        <v>40</v>
      </c>
      <c r="Y420">
        <f t="shared" si="180"/>
        <v>177</v>
      </c>
      <c r="Z420">
        <f t="shared" si="181"/>
        <v>177</v>
      </c>
      <c r="AA420">
        <f t="shared" si="182"/>
        <v>145</v>
      </c>
      <c r="AB420">
        <f t="shared" si="183"/>
        <v>145</v>
      </c>
      <c r="AC420">
        <f t="shared" si="184"/>
        <v>130</v>
      </c>
      <c r="AD420">
        <f t="shared" si="185"/>
        <v>167</v>
      </c>
      <c r="AE420">
        <f t="shared" si="186"/>
        <v>152</v>
      </c>
      <c r="AF420">
        <f t="shared" si="187"/>
        <v>120</v>
      </c>
      <c r="AG420">
        <f t="shared" si="188"/>
        <v>108</v>
      </c>
      <c r="AH420">
        <f t="shared" si="189"/>
        <v>94</v>
      </c>
      <c r="AI420">
        <f t="shared" si="190"/>
        <v>134</v>
      </c>
      <c r="AJ420">
        <f t="shared" si="191"/>
        <v>122</v>
      </c>
      <c r="AK420">
        <f t="shared" si="192"/>
        <v>90</v>
      </c>
      <c r="AL420">
        <f t="shared" si="193"/>
        <v>81</v>
      </c>
      <c r="AM420">
        <f t="shared" si="194"/>
        <v>67</v>
      </c>
      <c r="AN420">
        <f t="shared" si="195"/>
        <v>172</v>
      </c>
      <c r="AO420">
        <f t="shared" si="196"/>
        <v>157</v>
      </c>
      <c r="AP420">
        <f t="shared" si="197"/>
        <v>125</v>
      </c>
      <c r="AQ420">
        <f t="shared" si="198"/>
        <v>112</v>
      </c>
      <c r="AR420">
        <f t="shared" si="199"/>
        <v>99</v>
      </c>
      <c r="AS420">
        <f t="shared" si="200"/>
        <v>139</v>
      </c>
      <c r="AT420">
        <f t="shared" si="201"/>
        <v>127</v>
      </c>
      <c r="AU420">
        <f t="shared" si="202"/>
        <v>95</v>
      </c>
      <c r="AV420">
        <f t="shared" si="203"/>
        <v>85</v>
      </c>
      <c r="AW420">
        <f t="shared" si="204"/>
        <v>72</v>
      </c>
      <c r="AX420">
        <f t="shared" si="205"/>
        <v>101</v>
      </c>
      <c r="AY420">
        <f t="shared" si="206"/>
        <v>92</v>
      </c>
      <c r="AZ420">
        <f t="shared" si="207"/>
        <v>60</v>
      </c>
      <c r="BA420">
        <f t="shared" si="208"/>
        <v>54</v>
      </c>
      <c r="BB420">
        <f t="shared" si="209"/>
        <v>40</v>
      </c>
    </row>
    <row r="421" spans="1:54" x14ac:dyDescent="0.15">
      <c r="A421">
        <v>275</v>
      </c>
      <c r="B421" t="s">
        <v>1532</v>
      </c>
      <c r="C421">
        <v>324</v>
      </c>
      <c r="D421">
        <v>0</v>
      </c>
      <c r="E421" t="s">
        <v>1533</v>
      </c>
      <c r="G421" t="s">
        <v>1533</v>
      </c>
      <c r="H421" t="s">
        <v>1534</v>
      </c>
      <c r="J421" t="s">
        <v>1535</v>
      </c>
      <c r="K421">
        <v>80.400000000000006</v>
      </c>
      <c r="L421">
        <v>0.5</v>
      </c>
      <c r="M421" t="s">
        <v>47</v>
      </c>
      <c r="O421" t="s">
        <v>1536</v>
      </c>
      <c r="P421" t="s">
        <v>64</v>
      </c>
      <c r="Q421" t="s">
        <v>481</v>
      </c>
      <c r="R421">
        <v>9</v>
      </c>
      <c r="S421">
        <v>70</v>
      </c>
      <c r="T421">
        <v>85</v>
      </c>
      <c r="U421">
        <v>140</v>
      </c>
      <c r="V421">
        <v>85</v>
      </c>
      <c r="W421">
        <v>70</v>
      </c>
      <c r="X421">
        <v>20</v>
      </c>
      <c r="Y421">
        <f t="shared" si="180"/>
        <v>177</v>
      </c>
      <c r="Z421">
        <f t="shared" si="181"/>
        <v>177</v>
      </c>
      <c r="AA421">
        <f t="shared" si="182"/>
        <v>145</v>
      </c>
      <c r="AB421">
        <f t="shared" si="183"/>
        <v>145</v>
      </c>
      <c r="AC421">
        <f t="shared" si="184"/>
        <v>130</v>
      </c>
      <c r="AD421">
        <f t="shared" si="185"/>
        <v>150</v>
      </c>
      <c r="AE421">
        <f t="shared" si="186"/>
        <v>137</v>
      </c>
      <c r="AF421">
        <f t="shared" si="187"/>
        <v>105</v>
      </c>
      <c r="AG421">
        <f t="shared" si="188"/>
        <v>94</v>
      </c>
      <c r="AH421">
        <f t="shared" si="189"/>
        <v>81</v>
      </c>
      <c r="AI421">
        <f t="shared" si="190"/>
        <v>211</v>
      </c>
      <c r="AJ421">
        <f t="shared" si="191"/>
        <v>192</v>
      </c>
      <c r="AK421">
        <f t="shared" si="192"/>
        <v>160</v>
      </c>
      <c r="AL421">
        <f t="shared" si="193"/>
        <v>144</v>
      </c>
      <c r="AM421">
        <f t="shared" si="194"/>
        <v>130</v>
      </c>
      <c r="AN421">
        <f t="shared" si="195"/>
        <v>150</v>
      </c>
      <c r="AO421">
        <f t="shared" si="196"/>
        <v>137</v>
      </c>
      <c r="AP421">
        <f t="shared" si="197"/>
        <v>105</v>
      </c>
      <c r="AQ421">
        <f t="shared" si="198"/>
        <v>94</v>
      </c>
      <c r="AR421">
        <f t="shared" si="199"/>
        <v>81</v>
      </c>
      <c r="AS421">
        <f t="shared" si="200"/>
        <v>134</v>
      </c>
      <c r="AT421">
        <f t="shared" si="201"/>
        <v>122</v>
      </c>
      <c r="AU421">
        <f t="shared" si="202"/>
        <v>90</v>
      </c>
      <c r="AV421">
        <f t="shared" si="203"/>
        <v>81</v>
      </c>
      <c r="AW421">
        <f t="shared" si="204"/>
        <v>67</v>
      </c>
      <c r="AX421">
        <f t="shared" si="205"/>
        <v>79</v>
      </c>
      <c r="AY421">
        <f t="shared" si="206"/>
        <v>72</v>
      </c>
      <c r="AZ421">
        <f t="shared" si="207"/>
        <v>40</v>
      </c>
      <c r="BA421">
        <f t="shared" si="208"/>
        <v>36</v>
      </c>
      <c r="BB421">
        <f t="shared" si="209"/>
        <v>22</v>
      </c>
    </row>
    <row r="422" spans="1:54" x14ac:dyDescent="0.15">
      <c r="A422">
        <v>276</v>
      </c>
      <c r="B422" t="s">
        <v>1537</v>
      </c>
      <c r="C422">
        <v>325</v>
      </c>
      <c r="D422">
        <v>0</v>
      </c>
      <c r="E422" t="s">
        <v>1538</v>
      </c>
      <c r="G422" t="s">
        <v>1538</v>
      </c>
      <c r="H422" t="s">
        <v>1539</v>
      </c>
      <c r="J422" t="s">
        <v>1540</v>
      </c>
      <c r="K422">
        <v>30.6</v>
      </c>
      <c r="L422">
        <v>0.7</v>
      </c>
      <c r="M422" t="s">
        <v>191</v>
      </c>
      <c r="O422" t="s">
        <v>38</v>
      </c>
      <c r="P422" t="s">
        <v>470</v>
      </c>
      <c r="Q422" t="s">
        <v>141</v>
      </c>
      <c r="R422">
        <v>9</v>
      </c>
      <c r="S422">
        <v>60</v>
      </c>
      <c r="T422">
        <v>25</v>
      </c>
      <c r="U422">
        <v>35</v>
      </c>
      <c r="V422">
        <v>70</v>
      </c>
      <c r="W422">
        <v>80</v>
      </c>
      <c r="X422">
        <v>60</v>
      </c>
      <c r="Y422">
        <f t="shared" si="180"/>
        <v>167</v>
      </c>
      <c r="Z422">
        <f t="shared" si="181"/>
        <v>167</v>
      </c>
      <c r="AA422">
        <f t="shared" si="182"/>
        <v>135</v>
      </c>
      <c r="AB422">
        <f t="shared" si="183"/>
        <v>135</v>
      </c>
      <c r="AC422">
        <f t="shared" si="184"/>
        <v>120</v>
      </c>
      <c r="AD422">
        <f t="shared" si="185"/>
        <v>84</v>
      </c>
      <c r="AE422">
        <f t="shared" si="186"/>
        <v>77</v>
      </c>
      <c r="AF422">
        <f t="shared" si="187"/>
        <v>45</v>
      </c>
      <c r="AG422">
        <f t="shared" si="188"/>
        <v>40</v>
      </c>
      <c r="AH422">
        <f t="shared" si="189"/>
        <v>27</v>
      </c>
      <c r="AI422">
        <f t="shared" si="190"/>
        <v>95</v>
      </c>
      <c r="AJ422">
        <f t="shared" si="191"/>
        <v>87</v>
      </c>
      <c r="AK422">
        <f t="shared" si="192"/>
        <v>55</v>
      </c>
      <c r="AL422">
        <f t="shared" si="193"/>
        <v>49</v>
      </c>
      <c r="AM422">
        <f t="shared" si="194"/>
        <v>36</v>
      </c>
      <c r="AN422">
        <f t="shared" si="195"/>
        <v>134</v>
      </c>
      <c r="AO422">
        <f t="shared" si="196"/>
        <v>122</v>
      </c>
      <c r="AP422">
        <f t="shared" si="197"/>
        <v>90</v>
      </c>
      <c r="AQ422">
        <f t="shared" si="198"/>
        <v>81</v>
      </c>
      <c r="AR422">
        <f t="shared" si="199"/>
        <v>67</v>
      </c>
      <c r="AS422">
        <f t="shared" si="200"/>
        <v>145</v>
      </c>
      <c r="AT422">
        <f t="shared" si="201"/>
        <v>132</v>
      </c>
      <c r="AU422">
        <f t="shared" si="202"/>
        <v>100</v>
      </c>
      <c r="AV422">
        <f t="shared" si="203"/>
        <v>90</v>
      </c>
      <c r="AW422">
        <f t="shared" si="204"/>
        <v>76</v>
      </c>
      <c r="AX422">
        <f t="shared" si="205"/>
        <v>123</v>
      </c>
      <c r="AY422">
        <f t="shared" si="206"/>
        <v>112</v>
      </c>
      <c r="AZ422">
        <f t="shared" si="207"/>
        <v>80</v>
      </c>
      <c r="BA422">
        <f t="shared" si="208"/>
        <v>72</v>
      </c>
      <c r="BB422">
        <f t="shared" si="209"/>
        <v>58</v>
      </c>
    </row>
    <row r="423" spans="1:54" x14ac:dyDescent="0.15">
      <c r="A423">
        <v>277</v>
      </c>
      <c r="B423" t="s">
        <v>1541</v>
      </c>
      <c r="C423">
        <v>326</v>
      </c>
      <c r="D423">
        <v>0</v>
      </c>
      <c r="E423" t="s">
        <v>1542</v>
      </c>
      <c r="G423" t="s">
        <v>1542</v>
      </c>
      <c r="H423" t="s">
        <v>1543</v>
      </c>
      <c r="J423" t="s">
        <v>1544</v>
      </c>
      <c r="K423">
        <v>71.5</v>
      </c>
      <c r="L423">
        <v>0.9</v>
      </c>
      <c r="M423" t="s">
        <v>191</v>
      </c>
      <c r="O423" t="s">
        <v>38</v>
      </c>
      <c r="P423" t="s">
        <v>470</v>
      </c>
      <c r="Q423" t="s">
        <v>141</v>
      </c>
      <c r="R423">
        <v>9</v>
      </c>
      <c r="S423">
        <v>80</v>
      </c>
      <c r="T423">
        <v>45</v>
      </c>
      <c r="U423">
        <v>65</v>
      </c>
      <c r="V423">
        <v>90</v>
      </c>
      <c r="W423">
        <v>110</v>
      </c>
      <c r="X423">
        <v>80</v>
      </c>
      <c r="Y423">
        <f t="shared" si="180"/>
        <v>187</v>
      </c>
      <c r="Z423">
        <f t="shared" si="181"/>
        <v>187</v>
      </c>
      <c r="AA423">
        <f t="shared" si="182"/>
        <v>155</v>
      </c>
      <c r="AB423">
        <f t="shared" si="183"/>
        <v>155</v>
      </c>
      <c r="AC423">
        <f t="shared" si="184"/>
        <v>140</v>
      </c>
      <c r="AD423">
        <f t="shared" si="185"/>
        <v>106</v>
      </c>
      <c r="AE423">
        <f t="shared" si="186"/>
        <v>97</v>
      </c>
      <c r="AF423">
        <f t="shared" si="187"/>
        <v>65</v>
      </c>
      <c r="AG423">
        <f t="shared" si="188"/>
        <v>58</v>
      </c>
      <c r="AH423">
        <f t="shared" si="189"/>
        <v>45</v>
      </c>
      <c r="AI423">
        <f t="shared" si="190"/>
        <v>128</v>
      </c>
      <c r="AJ423">
        <f t="shared" si="191"/>
        <v>117</v>
      </c>
      <c r="AK423">
        <f t="shared" si="192"/>
        <v>85</v>
      </c>
      <c r="AL423">
        <f t="shared" si="193"/>
        <v>76</v>
      </c>
      <c r="AM423">
        <f t="shared" si="194"/>
        <v>63</v>
      </c>
      <c r="AN423">
        <f t="shared" si="195"/>
        <v>156</v>
      </c>
      <c r="AO423">
        <f t="shared" si="196"/>
        <v>142</v>
      </c>
      <c r="AP423">
        <f t="shared" si="197"/>
        <v>110</v>
      </c>
      <c r="AQ423">
        <f t="shared" si="198"/>
        <v>99</v>
      </c>
      <c r="AR423">
        <f t="shared" si="199"/>
        <v>85</v>
      </c>
      <c r="AS423">
        <f t="shared" si="200"/>
        <v>178</v>
      </c>
      <c r="AT423">
        <f t="shared" si="201"/>
        <v>162</v>
      </c>
      <c r="AU423">
        <f t="shared" si="202"/>
        <v>130</v>
      </c>
      <c r="AV423">
        <f t="shared" si="203"/>
        <v>117</v>
      </c>
      <c r="AW423">
        <f t="shared" si="204"/>
        <v>103</v>
      </c>
      <c r="AX423">
        <f t="shared" si="205"/>
        <v>145</v>
      </c>
      <c r="AY423">
        <f t="shared" si="206"/>
        <v>132</v>
      </c>
      <c r="AZ423">
        <f t="shared" si="207"/>
        <v>100</v>
      </c>
      <c r="BA423">
        <f t="shared" si="208"/>
        <v>90</v>
      </c>
      <c r="BB423">
        <f t="shared" si="209"/>
        <v>76</v>
      </c>
    </row>
    <row r="424" spans="1:54" x14ac:dyDescent="0.15">
      <c r="B424" t="s">
        <v>1545</v>
      </c>
      <c r="C424">
        <v>327</v>
      </c>
      <c r="D424">
        <v>0</v>
      </c>
      <c r="E424" t="s">
        <v>1546</v>
      </c>
      <c r="G424" t="s">
        <v>1546</v>
      </c>
      <c r="J424" t="s">
        <v>1547</v>
      </c>
      <c r="K424">
        <v>5</v>
      </c>
      <c r="L424">
        <v>1.1000000000000001</v>
      </c>
      <c r="M424" t="s">
        <v>120</v>
      </c>
      <c r="O424" t="s">
        <v>470</v>
      </c>
      <c r="P424" t="s">
        <v>122</v>
      </c>
      <c r="Q424" t="s">
        <v>1094</v>
      </c>
      <c r="R424">
        <v>8</v>
      </c>
      <c r="S424">
        <v>60</v>
      </c>
      <c r="T424">
        <v>60</v>
      </c>
      <c r="U424">
        <v>60</v>
      </c>
      <c r="V424">
        <v>60</v>
      </c>
      <c r="W424">
        <v>60</v>
      </c>
      <c r="X424">
        <v>60</v>
      </c>
      <c r="Y424">
        <f t="shared" si="180"/>
        <v>167</v>
      </c>
      <c r="Z424">
        <f t="shared" si="181"/>
        <v>167</v>
      </c>
      <c r="AA424">
        <f t="shared" si="182"/>
        <v>135</v>
      </c>
      <c r="AB424">
        <f t="shared" si="183"/>
        <v>135</v>
      </c>
      <c r="AC424">
        <f t="shared" si="184"/>
        <v>120</v>
      </c>
      <c r="AD424">
        <f t="shared" si="185"/>
        <v>123</v>
      </c>
      <c r="AE424">
        <f t="shared" si="186"/>
        <v>112</v>
      </c>
      <c r="AF424">
        <f t="shared" si="187"/>
        <v>80</v>
      </c>
      <c r="AG424">
        <f t="shared" si="188"/>
        <v>72</v>
      </c>
      <c r="AH424">
        <f t="shared" si="189"/>
        <v>58</v>
      </c>
      <c r="AI424">
        <f t="shared" si="190"/>
        <v>123</v>
      </c>
      <c r="AJ424">
        <f t="shared" si="191"/>
        <v>112</v>
      </c>
      <c r="AK424">
        <f t="shared" si="192"/>
        <v>80</v>
      </c>
      <c r="AL424">
        <f t="shared" si="193"/>
        <v>72</v>
      </c>
      <c r="AM424">
        <f t="shared" si="194"/>
        <v>58</v>
      </c>
      <c r="AN424">
        <f t="shared" si="195"/>
        <v>123</v>
      </c>
      <c r="AO424">
        <f t="shared" si="196"/>
        <v>112</v>
      </c>
      <c r="AP424">
        <f t="shared" si="197"/>
        <v>80</v>
      </c>
      <c r="AQ424">
        <f t="shared" si="198"/>
        <v>72</v>
      </c>
      <c r="AR424">
        <f t="shared" si="199"/>
        <v>58</v>
      </c>
      <c r="AS424">
        <f t="shared" si="200"/>
        <v>123</v>
      </c>
      <c r="AT424">
        <f t="shared" si="201"/>
        <v>112</v>
      </c>
      <c r="AU424">
        <f t="shared" si="202"/>
        <v>80</v>
      </c>
      <c r="AV424">
        <f t="shared" si="203"/>
        <v>72</v>
      </c>
      <c r="AW424">
        <f t="shared" si="204"/>
        <v>58</v>
      </c>
      <c r="AX424">
        <f t="shared" si="205"/>
        <v>123</v>
      </c>
      <c r="AY424">
        <f t="shared" si="206"/>
        <v>112</v>
      </c>
      <c r="AZ424">
        <f t="shared" si="207"/>
        <v>80</v>
      </c>
      <c r="BA424">
        <f t="shared" si="208"/>
        <v>72</v>
      </c>
      <c r="BB424">
        <f t="shared" si="209"/>
        <v>58</v>
      </c>
    </row>
    <row r="425" spans="1:54" x14ac:dyDescent="0.15">
      <c r="A425">
        <v>278</v>
      </c>
      <c r="B425" t="s">
        <v>1548</v>
      </c>
      <c r="C425">
        <v>328</v>
      </c>
      <c r="D425">
        <v>0</v>
      </c>
      <c r="E425" t="s">
        <v>1549</v>
      </c>
      <c r="G425" t="s">
        <v>1549</v>
      </c>
      <c r="H425" t="s">
        <v>1550</v>
      </c>
      <c r="J425" t="s">
        <v>1551</v>
      </c>
      <c r="K425">
        <v>15</v>
      </c>
      <c r="L425">
        <v>0.7</v>
      </c>
      <c r="M425" t="s">
        <v>196</v>
      </c>
      <c r="O425" t="s">
        <v>576</v>
      </c>
      <c r="P425" t="s">
        <v>305</v>
      </c>
      <c r="Q425" t="s">
        <v>222</v>
      </c>
      <c r="R425">
        <v>9</v>
      </c>
      <c r="S425">
        <v>45</v>
      </c>
      <c r="T425">
        <v>100</v>
      </c>
      <c r="U425">
        <v>45</v>
      </c>
      <c r="V425">
        <v>45</v>
      </c>
      <c r="W425">
        <v>45</v>
      </c>
      <c r="X425">
        <v>10</v>
      </c>
      <c r="Y425">
        <f t="shared" si="180"/>
        <v>152</v>
      </c>
      <c r="Z425">
        <f t="shared" si="181"/>
        <v>152</v>
      </c>
      <c r="AA425">
        <f t="shared" si="182"/>
        <v>120</v>
      </c>
      <c r="AB425">
        <f t="shared" si="183"/>
        <v>120</v>
      </c>
      <c r="AC425">
        <f t="shared" si="184"/>
        <v>105</v>
      </c>
      <c r="AD425">
        <f t="shared" si="185"/>
        <v>167</v>
      </c>
      <c r="AE425">
        <f t="shared" si="186"/>
        <v>152</v>
      </c>
      <c r="AF425">
        <f t="shared" si="187"/>
        <v>120</v>
      </c>
      <c r="AG425">
        <f t="shared" si="188"/>
        <v>108</v>
      </c>
      <c r="AH425">
        <f t="shared" si="189"/>
        <v>94</v>
      </c>
      <c r="AI425">
        <f t="shared" si="190"/>
        <v>106</v>
      </c>
      <c r="AJ425">
        <f t="shared" si="191"/>
        <v>97</v>
      </c>
      <c r="AK425">
        <f t="shared" si="192"/>
        <v>65</v>
      </c>
      <c r="AL425">
        <f t="shared" si="193"/>
        <v>58</v>
      </c>
      <c r="AM425">
        <f t="shared" si="194"/>
        <v>45</v>
      </c>
      <c r="AN425">
        <f t="shared" si="195"/>
        <v>106</v>
      </c>
      <c r="AO425">
        <f t="shared" si="196"/>
        <v>97</v>
      </c>
      <c r="AP425">
        <f t="shared" si="197"/>
        <v>65</v>
      </c>
      <c r="AQ425">
        <f t="shared" si="198"/>
        <v>58</v>
      </c>
      <c r="AR425">
        <f t="shared" si="199"/>
        <v>45</v>
      </c>
      <c r="AS425">
        <f t="shared" si="200"/>
        <v>106</v>
      </c>
      <c r="AT425">
        <f t="shared" si="201"/>
        <v>97</v>
      </c>
      <c r="AU425">
        <f t="shared" si="202"/>
        <v>65</v>
      </c>
      <c r="AV425">
        <f t="shared" si="203"/>
        <v>58</v>
      </c>
      <c r="AW425">
        <f t="shared" si="204"/>
        <v>45</v>
      </c>
      <c r="AX425">
        <f t="shared" si="205"/>
        <v>68</v>
      </c>
      <c r="AY425">
        <f t="shared" si="206"/>
        <v>62</v>
      </c>
      <c r="AZ425">
        <f t="shared" si="207"/>
        <v>30</v>
      </c>
      <c r="BA425">
        <f t="shared" si="208"/>
        <v>27</v>
      </c>
      <c r="BB425">
        <f t="shared" si="209"/>
        <v>13</v>
      </c>
    </row>
    <row r="426" spans="1:54" x14ac:dyDescent="0.15">
      <c r="A426">
        <v>279</v>
      </c>
      <c r="B426" t="s">
        <v>1552</v>
      </c>
      <c r="C426">
        <v>329</v>
      </c>
      <c r="D426">
        <v>0</v>
      </c>
      <c r="E426" t="s">
        <v>1553</v>
      </c>
      <c r="G426" t="s">
        <v>1553</v>
      </c>
      <c r="H426" t="s">
        <v>1554</v>
      </c>
      <c r="J426" t="s">
        <v>1555</v>
      </c>
      <c r="K426">
        <v>15.3</v>
      </c>
      <c r="L426">
        <v>1.1000000000000001</v>
      </c>
      <c r="M426" t="s">
        <v>196</v>
      </c>
      <c r="N426" t="s">
        <v>60</v>
      </c>
      <c r="O426" t="s">
        <v>547</v>
      </c>
      <c r="R426">
        <v>9</v>
      </c>
      <c r="S426">
        <v>50</v>
      </c>
      <c r="T426">
        <v>70</v>
      </c>
      <c r="U426">
        <v>50</v>
      </c>
      <c r="V426">
        <v>50</v>
      </c>
      <c r="W426">
        <v>50</v>
      </c>
      <c r="X426">
        <v>70</v>
      </c>
      <c r="Y426">
        <f t="shared" si="180"/>
        <v>157</v>
      </c>
      <c r="Z426">
        <f t="shared" si="181"/>
        <v>157</v>
      </c>
      <c r="AA426">
        <f t="shared" si="182"/>
        <v>125</v>
      </c>
      <c r="AB426">
        <f t="shared" si="183"/>
        <v>125</v>
      </c>
      <c r="AC426">
        <f t="shared" si="184"/>
        <v>110</v>
      </c>
      <c r="AD426">
        <f t="shared" si="185"/>
        <v>134</v>
      </c>
      <c r="AE426">
        <f t="shared" si="186"/>
        <v>122</v>
      </c>
      <c r="AF426">
        <f t="shared" si="187"/>
        <v>90</v>
      </c>
      <c r="AG426">
        <f t="shared" si="188"/>
        <v>81</v>
      </c>
      <c r="AH426">
        <f t="shared" si="189"/>
        <v>67</v>
      </c>
      <c r="AI426">
        <f t="shared" si="190"/>
        <v>112</v>
      </c>
      <c r="AJ426">
        <f t="shared" si="191"/>
        <v>102</v>
      </c>
      <c r="AK426">
        <f t="shared" si="192"/>
        <v>70</v>
      </c>
      <c r="AL426">
        <f t="shared" si="193"/>
        <v>63</v>
      </c>
      <c r="AM426">
        <f t="shared" si="194"/>
        <v>49</v>
      </c>
      <c r="AN426">
        <f t="shared" si="195"/>
        <v>112</v>
      </c>
      <c r="AO426">
        <f t="shared" si="196"/>
        <v>102</v>
      </c>
      <c r="AP426">
        <f t="shared" si="197"/>
        <v>70</v>
      </c>
      <c r="AQ426">
        <f t="shared" si="198"/>
        <v>63</v>
      </c>
      <c r="AR426">
        <f t="shared" si="199"/>
        <v>49</v>
      </c>
      <c r="AS426">
        <f t="shared" si="200"/>
        <v>112</v>
      </c>
      <c r="AT426">
        <f t="shared" si="201"/>
        <v>102</v>
      </c>
      <c r="AU426">
        <f t="shared" si="202"/>
        <v>70</v>
      </c>
      <c r="AV426">
        <f t="shared" si="203"/>
        <v>63</v>
      </c>
      <c r="AW426">
        <f t="shared" si="204"/>
        <v>49</v>
      </c>
      <c r="AX426">
        <f t="shared" si="205"/>
        <v>134</v>
      </c>
      <c r="AY426">
        <f t="shared" si="206"/>
        <v>122</v>
      </c>
      <c r="AZ426">
        <f t="shared" si="207"/>
        <v>90</v>
      </c>
      <c r="BA426">
        <f t="shared" si="208"/>
        <v>81</v>
      </c>
      <c r="BB426">
        <f t="shared" si="209"/>
        <v>67</v>
      </c>
    </row>
    <row r="427" spans="1:54" x14ac:dyDescent="0.15">
      <c r="A427">
        <v>280</v>
      </c>
      <c r="B427" t="s">
        <v>1556</v>
      </c>
      <c r="C427">
        <v>330</v>
      </c>
      <c r="D427">
        <v>0</v>
      </c>
      <c r="E427" t="s">
        <v>1557</v>
      </c>
      <c r="G427" t="s">
        <v>1557</v>
      </c>
      <c r="H427" t="s">
        <v>1558</v>
      </c>
      <c r="J427" t="s">
        <v>943</v>
      </c>
      <c r="K427">
        <v>82</v>
      </c>
      <c r="L427">
        <v>2</v>
      </c>
      <c r="M427" t="s">
        <v>196</v>
      </c>
      <c r="N427" t="s">
        <v>60</v>
      </c>
      <c r="O427" t="s">
        <v>547</v>
      </c>
      <c r="R427">
        <v>9</v>
      </c>
      <c r="S427">
        <v>80</v>
      </c>
      <c r="T427">
        <v>100</v>
      </c>
      <c r="U427">
        <v>80</v>
      </c>
      <c r="V427">
        <v>80</v>
      </c>
      <c r="W427">
        <v>80</v>
      </c>
      <c r="X427">
        <v>100</v>
      </c>
      <c r="Y427">
        <f t="shared" si="180"/>
        <v>187</v>
      </c>
      <c r="Z427">
        <f t="shared" si="181"/>
        <v>187</v>
      </c>
      <c r="AA427">
        <f t="shared" si="182"/>
        <v>155</v>
      </c>
      <c r="AB427">
        <f t="shared" si="183"/>
        <v>155</v>
      </c>
      <c r="AC427">
        <f t="shared" si="184"/>
        <v>140</v>
      </c>
      <c r="AD427">
        <f t="shared" si="185"/>
        <v>167</v>
      </c>
      <c r="AE427">
        <f t="shared" si="186"/>
        <v>152</v>
      </c>
      <c r="AF427">
        <f t="shared" si="187"/>
        <v>120</v>
      </c>
      <c r="AG427">
        <f t="shared" si="188"/>
        <v>108</v>
      </c>
      <c r="AH427">
        <f t="shared" si="189"/>
        <v>94</v>
      </c>
      <c r="AI427">
        <f t="shared" si="190"/>
        <v>145</v>
      </c>
      <c r="AJ427">
        <f t="shared" si="191"/>
        <v>132</v>
      </c>
      <c r="AK427">
        <f t="shared" si="192"/>
        <v>100</v>
      </c>
      <c r="AL427">
        <f t="shared" si="193"/>
        <v>90</v>
      </c>
      <c r="AM427">
        <f t="shared" si="194"/>
        <v>76</v>
      </c>
      <c r="AN427">
        <f t="shared" si="195"/>
        <v>145</v>
      </c>
      <c r="AO427">
        <f t="shared" si="196"/>
        <v>132</v>
      </c>
      <c r="AP427">
        <f t="shared" si="197"/>
        <v>100</v>
      </c>
      <c r="AQ427">
        <f t="shared" si="198"/>
        <v>90</v>
      </c>
      <c r="AR427">
        <f t="shared" si="199"/>
        <v>76</v>
      </c>
      <c r="AS427">
        <f t="shared" si="200"/>
        <v>145</v>
      </c>
      <c r="AT427">
        <f t="shared" si="201"/>
        <v>132</v>
      </c>
      <c r="AU427">
        <f t="shared" si="202"/>
        <v>100</v>
      </c>
      <c r="AV427">
        <f t="shared" si="203"/>
        <v>90</v>
      </c>
      <c r="AW427">
        <f t="shared" si="204"/>
        <v>76</v>
      </c>
      <c r="AX427">
        <f t="shared" si="205"/>
        <v>167</v>
      </c>
      <c r="AY427">
        <f t="shared" si="206"/>
        <v>152</v>
      </c>
      <c r="AZ427">
        <f t="shared" si="207"/>
        <v>120</v>
      </c>
      <c r="BA427">
        <f t="shared" si="208"/>
        <v>108</v>
      </c>
      <c r="BB427">
        <f t="shared" si="209"/>
        <v>94</v>
      </c>
    </row>
    <row r="428" spans="1:54" x14ac:dyDescent="0.15">
      <c r="A428">
        <v>281</v>
      </c>
      <c r="B428" t="s">
        <v>1559</v>
      </c>
      <c r="C428">
        <v>331</v>
      </c>
      <c r="D428">
        <v>0</v>
      </c>
      <c r="E428" t="s">
        <v>1560</v>
      </c>
      <c r="G428" t="s">
        <v>1560</v>
      </c>
      <c r="H428" t="s">
        <v>1561</v>
      </c>
      <c r="J428" t="s">
        <v>1562</v>
      </c>
      <c r="K428">
        <v>51.3</v>
      </c>
      <c r="L428">
        <v>0.4</v>
      </c>
      <c r="M428" t="s">
        <v>26</v>
      </c>
      <c r="O428" t="s">
        <v>197</v>
      </c>
      <c r="P428" t="s">
        <v>383</v>
      </c>
      <c r="R428">
        <v>9</v>
      </c>
      <c r="S428">
        <v>50</v>
      </c>
      <c r="T428">
        <v>85</v>
      </c>
      <c r="U428">
        <v>40</v>
      </c>
      <c r="V428">
        <v>85</v>
      </c>
      <c r="W428">
        <v>40</v>
      </c>
      <c r="X428">
        <v>35</v>
      </c>
      <c r="Y428">
        <f t="shared" si="180"/>
        <v>157</v>
      </c>
      <c r="Z428">
        <f t="shared" si="181"/>
        <v>157</v>
      </c>
      <c r="AA428">
        <f t="shared" si="182"/>
        <v>125</v>
      </c>
      <c r="AB428">
        <f t="shared" si="183"/>
        <v>125</v>
      </c>
      <c r="AC428">
        <f t="shared" si="184"/>
        <v>110</v>
      </c>
      <c r="AD428">
        <f t="shared" si="185"/>
        <v>150</v>
      </c>
      <c r="AE428">
        <f t="shared" si="186"/>
        <v>137</v>
      </c>
      <c r="AF428">
        <f t="shared" si="187"/>
        <v>105</v>
      </c>
      <c r="AG428">
        <f t="shared" si="188"/>
        <v>94</v>
      </c>
      <c r="AH428">
        <f t="shared" si="189"/>
        <v>81</v>
      </c>
      <c r="AI428">
        <f t="shared" si="190"/>
        <v>101</v>
      </c>
      <c r="AJ428">
        <f t="shared" si="191"/>
        <v>92</v>
      </c>
      <c r="AK428">
        <f t="shared" si="192"/>
        <v>60</v>
      </c>
      <c r="AL428">
        <f t="shared" si="193"/>
        <v>54</v>
      </c>
      <c r="AM428">
        <f t="shared" si="194"/>
        <v>40</v>
      </c>
      <c r="AN428">
        <f t="shared" si="195"/>
        <v>150</v>
      </c>
      <c r="AO428">
        <f t="shared" si="196"/>
        <v>137</v>
      </c>
      <c r="AP428">
        <f t="shared" si="197"/>
        <v>105</v>
      </c>
      <c r="AQ428">
        <f t="shared" si="198"/>
        <v>94</v>
      </c>
      <c r="AR428">
        <f t="shared" si="199"/>
        <v>81</v>
      </c>
      <c r="AS428">
        <f t="shared" si="200"/>
        <v>101</v>
      </c>
      <c r="AT428">
        <f t="shared" si="201"/>
        <v>92</v>
      </c>
      <c r="AU428">
        <f t="shared" si="202"/>
        <v>60</v>
      </c>
      <c r="AV428">
        <f t="shared" si="203"/>
        <v>54</v>
      </c>
      <c r="AW428">
        <f t="shared" si="204"/>
        <v>40</v>
      </c>
      <c r="AX428">
        <f t="shared" si="205"/>
        <v>95</v>
      </c>
      <c r="AY428">
        <f t="shared" si="206"/>
        <v>87</v>
      </c>
      <c r="AZ428">
        <f t="shared" si="207"/>
        <v>55</v>
      </c>
      <c r="BA428">
        <f t="shared" si="208"/>
        <v>49</v>
      </c>
      <c r="BB428">
        <f t="shared" si="209"/>
        <v>36</v>
      </c>
    </row>
    <row r="429" spans="1:54" x14ac:dyDescent="0.15">
      <c r="A429">
        <v>282</v>
      </c>
      <c r="B429" t="s">
        <v>1563</v>
      </c>
      <c r="C429">
        <v>332</v>
      </c>
      <c r="D429">
        <v>0</v>
      </c>
      <c r="E429" t="s">
        <v>1564</v>
      </c>
      <c r="G429" t="s">
        <v>1564</v>
      </c>
      <c r="H429" t="s">
        <v>1565</v>
      </c>
      <c r="J429" t="s">
        <v>1566</v>
      </c>
      <c r="K429">
        <v>77.400000000000006</v>
      </c>
      <c r="L429">
        <v>1.3</v>
      </c>
      <c r="M429" t="s">
        <v>26</v>
      </c>
      <c r="N429" t="s">
        <v>140</v>
      </c>
      <c r="O429" t="s">
        <v>197</v>
      </c>
      <c r="P429" t="s">
        <v>383</v>
      </c>
      <c r="R429">
        <v>9</v>
      </c>
      <c r="S429">
        <v>70</v>
      </c>
      <c r="T429">
        <v>115</v>
      </c>
      <c r="U429">
        <v>60</v>
      </c>
      <c r="V429">
        <v>115</v>
      </c>
      <c r="W429">
        <v>60</v>
      </c>
      <c r="X429">
        <v>55</v>
      </c>
      <c r="Y429">
        <f t="shared" si="180"/>
        <v>177</v>
      </c>
      <c r="Z429">
        <f t="shared" si="181"/>
        <v>177</v>
      </c>
      <c r="AA429">
        <f t="shared" si="182"/>
        <v>145</v>
      </c>
      <c r="AB429">
        <f t="shared" si="183"/>
        <v>145</v>
      </c>
      <c r="AC429">
        <f t="shared" si="184"/>
        <v>130</v>
      </c>
      <c r="AD429">
        <f t="shared" si="185"/>
        <v>183</v>
      </c>
      <c r="AE429">
        <f t="shared" si="186"/>
        <v>167</v>
      </c>
      <c r="AF429">
        <f t="shared" si="187"/>
        <v>135</v>
      </c>
      <c r="AG429">
        <f t="shared" si="188"/>
        <v>121</v>
      </c>
      <c r="AH429">
        <f t="shared" si="189"/>
        <v>108</v>
      </c>
      <c r="AI429">
        <f t="shared" si="190"/>
        <v>123</v>
      </c>
      <c r="AJ429">
        <f t="shared" si="191"/>
        <v>112</v>
      </c>
      <c r="AK429">
        <f t="shared" si="192"/>
        <v>80</v>
      </c>
      <c r="AL429">
        <f t="shared" si="193"/>
        <v>72</v>
      </c>
      <c r="AM429">
        <f t="shared" si="194"/>
        <v>58</v>
      </c>
      <c r="AN429">
        <f t="shared" si="195"/>
        <v>183</v>
      </c>
      <c r="AO429">
        <f t="shared" si="196"/>
        <v>167</v>
      </c>
      <c r="AP429">
        <f t="shared" si="197"/>
        <v>135</v>
      </c>
      <c r="AQ429">
        <f t="shared" si="198"/>
        <v>121</v>
      </c>
      <c r="AR429">
        <f t="shared" si="199"/>
        <v>108</v>
      </c>
      <c r="AS429">
        <f t="shared" si="200"/>
        <v>123</v>
      </c>
      <c r="AT429">
        <f t="shared" si="201"/>
        <v>112</v>
      </c>
      <c r="AU429">
        <f t="shared" si="202"/>
        <v>80</v>
      </c>
      <c r="AV429">
        <f t="shared" si="203"/>
        <v>72</v>
      </c>
      <c r="AW429">
        <f t="shared" si="204"/>
        <v>58</v>
      </c>
      <c r="AX429">
        <f t="shared" si="205"/>
        <v>117</v>
      </c>
      <c r="AY429">
        <f t="shared" si="206"/>
        <v>107</v>
      </c>
      <c r="AZ429">
        <f t="shared" si="207"/>
        <v>75</v>
      </c>
      <c r="BA429">
        <f t="shared" si="208"/>
        <v>67</v>
      </c>
      <c r="BB429">
        <f t="shared" si="209"/>
        <v>54</v>
      </c>
    </row>
    <row r="430" spans="1:54" x14ac:dyDescent="0.15">
      <c r="A430">
        <v>283</v>
      </c>
      <c r="B430" t="s">
        <v>1567</v>
      </c>
      <c r="C430">
        <v>333</v>
      </c>
      <c r="D430">
        <v>0</v>
      </c>
      <c r="E430" t="s">
        <v>1568</v>
      </c>
      <c r="G430" t="s">
        <v>1568</v>
      </c>
      <c r="H430" t="s">
        <v>1569</v>
      </c>
      <c r="J430" t="s">
        <v>1570</v>
      </c>
      <c r="K430">
        <v>1.2</v>
      </c>
      <c r="L430">
        <v>0.4</v>
      </c>
      <c r="M430" t="s">
        <v>120</v>
      </c>
      <c r="N430" t="s">
        <v>57</v>
      </c>
      <c r="O430" t="s">
        <v>654</v>
      </c>
      <c r="P430" t="s">
        <v>345</v>
      </c>
      <c r="R430">
        <v>9</v>
      </c>
      <c r="S430">
        <v>45</v>
      </c>
      <c r="T430">
        <v>40</v>
      </c>
      <c r="U430">
        <v>60</v>
      </c>
      <c r="V430">
        <v>40</v>
      </c>
      <c r="W430">
        <v>75</v>
      </c>
      <c r="X430">
        <v>50</v>
      </c>
      <c r="Y430">
        <f t="shared" si="180"/>
        <v>152</v>
      </c>
      <c r="Z430">
        <f t="shared" si="181"/>
        <v>152</v>
      </c>
      <c r="AA430">
        <f t="shared" si="182"/>
        <v>120</v>
      </c>
      <c r="AB430">
        <f t="shared" si="183"/>
        <v>120</v>
      </c>
      <c r="AC430">
        <f t="shared" si="184"/>
        <v>105</v>
      </c>
      <c r="AD430">
        <f t="shared" si="185"/>
        <v>101</v>
      </c>
      <c r="AE430">
        <f t="shared" si="186"/>
        <v>92</v>
      </c>
      <c r="AF430">
        <f t="shared" si="187"/>
        <v>60</v>
      </c>
      <c r="AG430">
        <f t="shared" si="188"/>
        <v>54</v>
      </c>
      <c r="AH430">
        <f t="shared" si="189"/>
        <v>40</v>
      </c>
      <c r="AI430">
        <f t="shared" si="190"/>
        <v>123</v>
      </c>
      <c r="AJ430">
        <f t="shared" si="191"/>
        <v>112</v>
      </c>
      <c r="AK430">
        <f t="shared" si="192"/>
        <v>80</v>
      </c>
      <c r="AL430">
        <f t="shared" si="193"/>
        <v>72</v>
      </c>
      <c r="AM430">
        <f t="shared" si="194"/>
        <v>58</v>
      </c>
      <c r="AN430">
        <f t="shared" si="195"/>
        <v>101</v>
      </c>
      <c r="AO430">
        <f t="shared" si="196"/>
        <v>92</v>
      </c>
      <c r="AP430">
        <f t="shared" si="197"/>
        <v>60</v>
      </c>
      <c r="AQ430">
        <f t="shared" si="198"/>
        <v>54</v>
      </c>
      <c r="AR430">
        <f t="shared" si="199"/>
        <v>40</v>
      </c>
      <c r="AS430">
        <f t="shared" si="200"/>
        <v>139</v>
      </c>
      <c r="AT430">
        <f t="shared" si="201"/>
        <v>127</v>
      </c>
      <c r="AU430">
        <f t="shared" si="202"/>
        <v>95</v>
      </c>
      <c r="AV430">
        <f t="shared" si="203"/>
        <v>85</v>
      </c>
      <c r="AW430">
        <f t="shared" si="204"/>
        <v>72</v>
      </c>
      <c r="AX430">
        <f t="shared" si="205"/>
        <v>112</v>
      </c>
      <c r="AY430">
        <f t="shared" si="206"/>
        <v>102</v>
      </c>
      <c r="AZ430">
        <f t="shared" si="207"/>
        <v>70</v>
      </c>
      <c r="BA430">
        <f t="shared" si="208"/>
        <v>63</v>
      </c>
      <c r="BB430">
        <f t="shared" si="209"/>
        <v>49</v>
      </c>
    </row>
    <row r="431" spans="1:54" x14ac:dyDescent="0.15">
      <c r="A431">
        <v>284</v>
      </c>
      <c r="B431" t="s">
        <v>1571</v>
      </c>
      <c r="C431">
        <v>334</v>
      </c>
      <c r="D431">
        <v>0</v>
      </c>
      <c r="E431" t="s">
        <v>1572</v>
      </c>
      <c r="G431" t="s">
        <v>1572</v>
      </c>
      <c r="H431" t="s">
        <v>1573</v>
      </c>
      <c r="J431" t="s">
        <v>1574</v>
      </c>
      <c r="K431">
        <v>20.6</v>
      </c>
      <c r="L431">
        <v>1.1000000000000001</v>
      </c>
      <c r="M431" t="s">
        <v>60</v>
      </c>
      <c r="N431" t="s">
        <v>57</v>
      </c>
      <c r="O431" t="s">
        <v>654</v>
      </c>
      <c r="P431" t="s">
        <v>345</v>
      </c>
      <c r="R431">
        <v>9</v>
      </c>
      <c r="S431">
        <v>75</v>
      </c>
      <c r="T431">
        <v>70</v>
      </c>
      <c r="U431">
        <v>90</v>
      </c>
      <c r="V431">
        <v>70</v>
      </c>
      <c r="W431">
        <v>105</v>
      </c>
      <c r="X431">
        <v>80</v>
      </c>
      <c r="Y431">
        <f t="shared" si="180"/>
        <v>182</v>
      </c>
      <c r="Z431">
        <f t="shared" si="181"/>
        <v>182</v>
      </c>
      <c r="AA431">
        <f t="shared" si="182"/>
        <v>150</v>
      </c>
      <c r="AB431">
        <f t="shared" si="183"/>
        <v>150</v>
      </c>
      <c r="AC431">
        <f t="shared" si="184"/>
        <v>135</v>
      </c>
      <c r="AD431">
        <f t="shared" si="185"/>
        <v>134</v>
      </c>
      <c r="AE431">
        <f t="shared" si="186"/>
        <v>122</v>
      </c>
      <c r="AF431">
        <f t="shared" si="187"/>
        <v>90</v>
      </c>
      <c r="AG431">
        <f t="shared" si="188"/>
        <v>81</v>
      </c>
      <c r="AH431">
        <f t="shared" si="189"/>
        <v>67</v>
      </c>
      <c r="AI431">
        <f t="shared" si="190"/>
        <v>156</v>
      </c>
      <c r="AJ431">
        <f t="shared" si="191"/>
        <v>142</v>
      </c>
      <c r="AK431">
        <f t="shared" si="192"/>
        <v>110</v>
      </c>
      <c r="AL431">
        <f t="shared" si="193"/>
        <v>99</v>
      </c>
      <c r="AM431">
        <f t="shared" si="194"/>
        <v>85</v>
      </c>
      <c r="AN431">
        <f t="shared" si="195"/>
        <v>134</v>
      </c>
      <c r="AO431">
        <f t="shared" si="196"/>
        <v>122</v>
      </c>
      <c r="AP431">
        <f t="shared" si="197"/>
        <v>90</v>
      </c>
      <c r="AQ431">
        <f t="shared" si="198"/>
        <v>81</v>
      </c>
      <c r="AR431">
        <f t="shared" si="199"/>
        <v>67</v>
      </c>
      <c r="AS431">
        <f t="shared" si="200"/>
        <v>172</v>
      </c>
      <c r="AT431">
        <f t="shared" si="201"/>
        <v>157</v>
      </c>
      <c r="AU431">
        <f t="shared" si="202"/>
        <v>125</v>
      </c>
      <c r="AV431">
        <f t="shared" si="203"/>
        <v>112</v>
      </c>
      <c r="AW431">
        <f t="shared" si="204"/>
        <v>99</v>
      </c>
      <c r="AX431">
        <f t="shared" si="205"/>
        <v>145</v>
      </c>
      <c r="AY431">
        <f t="shared" si="206"/>
        <v>132</v>
      </c>
      <c r="AZ431">
        <f t="shared" si="207"/>
        <v>100</v>
      </c>
      <c r="BA431">
        <f t="shared" si="208"/>
        <v>90</v>
      </c>
      <c r="BB431">
        <f t="shared" si="209"/>
        <v>76</v>
      </c>
    </row>
    <row r="432" spans="1:54" x14ac:dyDescent="0.15">
      <c r="B432" t="s">
        <v>1575</v>
      </c>
      <c r="C432">
        <v>334</v>
      </c>
      <c r="D432">
        <v>1</v>
      </c>
      <c r="E432" t="s">
        <v>1572</v>
      </c>
      <c r="F432" t="s">
        <v>1576</v>
      </c>
      <c r="G432" t="s">
        <v>1576</v>
      </c>
      <c r="J432" t="s">
        <v>1574</v>
      </c>
      <c r="K432">
        <v>20.6</v>
      </c>
      <c r="L432">
        <v>1.5</v>
      </c>
      <c r="M432" t="s">
        <v>60</v>
      </c>
      <c r="N432" t="s">
        <v>233</v>
      </c>
      <c r="O432" t="s">
        <v>1368</v>
      </c>
      <c r="P432" t="s">
        <v>345</v>
      </c>
      <c r="R432">
        <v>7</v>
      </c>
      <c r="S432">
        <v>75</v>
      </c>
      <c r="T432">
        <v>70</v>
      </c>
      <c r="U432">
        <v>90</v>
      </c>
      <c r="V432">
        <v>70</v>
      </c>
      <c r="W432">
        <v>105</v>
      </c>
      <c r="X432">
        <v>80</v>
      </c>
      <c r="Y432">
        <f t="shared" si="180"/>
        <v>182</v>
      </c>
      <c r="Z432">
        <f t="shared" si="181"/>
        <v>182</v>
      </c>
      <c r="AA432">
        <f t="shared" si="182"/>
        <v>150</v>
      </c>
      <c r="AB432">
        <f t="shared" si="183"/>
        <v>150</v>
      </c>
      <c r="AC432">
        <f t="shared" si="184"/>
        <v>135</v>
      </c>
      <c r="AD432">
        <f t="shared" si="185"/>
        <v>134</v>
      </c>
      <c r="AE432">
        <f t="shared" si="186"/>
        <v>122</v>
      </c>
      <c r="AF432">
        <f t="shared" si="187"/>
        <v>90</v>
      </c>
      <c r="AG432">
        <f t="shared" si="188"/>
        <v>81</v>
      </c>
      <c r="AH432">
        <f t="shared" si="189"/>
        <v>67</v>
      </c>
      <c r="AI432">
        <f t="shared" si="190"/>
        <v>156</v>
      </c>
      <c r="AJ432">
        <f t="shared" si="191"/>
        <v>142</v>
      </c>
      <c r="AK432">
        <f t="shared" si="192"/>
        <v>110</v>
      </c>
      <c r="AL432">
        <f t="shared" si="193"/>
        <v>99</v>
      </c>
      <c r="AM432">
        <f t="shared" si="194"/>
        <v>85</v>
      </c>
      <c r="AN432">
        <f t="shared" si="195"/>
        <v>134</v>
      </c>
      <c r="AO432">
        <f t="shared" si="196"/>
        <v>122</v>
      </c>
      <c r="AP432">
        <f t="shared" si="197"/>
        <v>90</v>
      </c>
      <c r="AQ432">
        <f t="shared" si="198"/>
        <v>81</v>
      </c>
      <c r="AR432">
        <f t="shared" si="199"/>
        <v>67</v>
      </c>
      <c r="AS432">
        <f t="shared" si="200"/>
        <v>172</v>
      </c>
      <c r="AT432">
        <f t="shared" si="201"/>
        <v>157</v>
      </c>
      <c r="AU432">
        <f t="shared" si="202"/>
        <v>125</v>
      </c>
      <c r="AV432">
        <f t="shared" si="203"/>
        <v>112</v>
      </c>
      <c r="AW432">
        <f t="shared" si="204"/>
        <v>99</v>
      </c>
      <c r="AX432">
        <f t="shared" si="205"/>
        <v>145</v>
      </c>
      <c r="AY432">
        <f t="shared" si="206"/>
        <v>132</v>
      </c>
      <c r="AZ432">
        <f t="shared" si="207"/>
        <v>100</v>
      </c>
      <c r="BA432">
        <f t="shared" si="208"/>
        <v>90</v>
      </c>
      <c r="BB432">
        <f t="shared" si="209"/>
        <v>76</v>
      </c>
    </row>
    <row r="433" spans="1:54" x14ac:dyDescent="0.15">
      <c r="A433">
        <v>285</v>
      </c>
      <c r="B433" t="s">
        <v>1577</v>
      </c>
      <c r="C433">
        <v>335</v>
      </c>
      <c r="D433">
        <v>0</v>
      </c>
      <c r="E433" t="s">
        <v>1578</v>
      </c>
      <c r="G433" t="s">
        <v>1578</v>
      </c>
      <c r="H433" t="s">
        <v>1579</v>
      </c>
      <c r="J433" t="s">
        <v>1580</v>
      </c>
      <c r="K433">
        <v>40.299999999999997</v>
      </c>
      <c r="L433">
        <v>1.3</v>
      </c>
      <c r="M433" t="s">
        <v>120</v>
      </c>
      <c r="O433" t="s">
        <v>799</v>
      </c>
      <c r="P433" t="s">
        <v>1581</v>
      </c>
      <c r="R433">
        <v>9</v>
      </c>
      <c r="S433">
        <v>73</v>
      </c>
      <c r="T433">
        <v>115</v>
      </c>
      <c r="U433">
        <v>60</v>
      </c>
      <c r="V433">
        <v>60</v>
      </c>
      <c r="W433">
        <v>60</v>
      </c>
      <c r="X433">
        <v>90</v>
      </c>
      <c r="Y433">
        <f t="shared" si="180"/>
        <v>180</v>
      </c>
      <c r="Z433">
        <f t="shared" si="181"/>
        <v>180</v>
      </c>
      <c r="AA433">
        <f t="shared" si="182"/>
        <v>148</v>
      </c>
      <c r="AB433">
        <f t="shared" si="183"/>
        <v>148</v>
      </c>
      <c r="AC433">
        <f t="shared" si="184"/>
        <v>133</v>
      </c>
      <c r="AD433">
        <f t="shared" si="185"/>
        <v>183</v>
      </c>
      <c r="AE433">
        <f t="shared" si="186"/>
        <v>167</v>
      </c>
      <c r="AF433">
        <f t="shared" si="187"/>
        <v>135</v>
      </c>
      <c r="AG433">
        <f t="shared" si="188"/>
        <v>121</v>
      </c>
      <c r="AH433">
        <f t="shared" si="189"/>
        <v>108</v>
      </c>
      <c r="AI433">
        <f t="shared" si="190"/>
        <v>123</v>
      </c>
      <c r="AJ433">
        <f t="shared" si="191"/>
        <v>112</v>
      </c>
      <c r="AK433">
        <f t="shared" si="192"/>
        <v>80</v>
      </c>
      <c r="AL433">
        <f t="shared" si="193"/>
        <v>72</v>
      </c>
      <c r="AM433">
        <f t="shared" si="194"/>
        <v>58</v>
      </c>
      <c r="AN433">
        <f t="shared" si="195"/>
        <v>123</v>
      </c>
      <c r="AO433">
        <f t="shared" si="196"/>
        <v>112</v>
      </c>
      <c r="AP433">
        <f t="shared" si="197"/>
        <v>80</v>
      </c>
      <c r="AQ433">
        <f t="shared" si="198"/>
        <v>72</v>
      </c>
      <c r="AR433">
        <f t="shared" si="199"/>
        <v>58</v>
      </c>
      <c r="AS433">
        <f t="shared" si="200"/>
        <v>123</v>
      </c>
      <c r="AT433">
        <f t="shared" si="201"/>
        <v>112</v>
      </c>
      <c r="AU433">
        <f t="shared" si="202"/>
        <v>80</v>
      </c>
      <c r="AV433">
        <f t="shared" si="203"/>
        <v>72</v>
      </c>
      <c r="AW433">
        <f t="shared" si="204"/>
        <v>58</v>
      </c>
      <c r="AX433">
        <f t="shared" si="205"/>
        <v>156</v>
      </c>
      <c r="AY433">
        <f t="shared" si="206"/>
        <v>142</v>
      </c>
      <c r="AZ433">
        <f t="shared" si="207"/>
        <v>110</v>
      </c>
      <c r="BA433">
        <f t="shared" si="208"/>
        <v>99</v>
      </c>
      <c r="BB433">
        <f t="shared" si="209"/>
        <v>85</v>
      </c>
    </row>
    <row r="434" spans="1:54" x14ac:dyDescent="0.15">
      <c r="A434">
        <v>286</v>
      </c>
      <c r="B434" t="s">
        <v>1582</v>
      </c>
      <c r="C434">
        <v>336</v>
      </c>
      <c r="D434">
        <v>0</v>
      </c>
      <c r="E434" t="s">
        <v>1583</v>
      </c>
      <c r="G434" t="s">
        <v>1583</v>
      </c>
      <c r="H434" t="s">
        <v>1584</v>
      </c>
      <c r="J434" t="s">
        <v>1585</v>
      </c>
      <c r="K434">
        <v>52.5</v>
      </c>
      <c r="L434">
        <v>2.7</v>
      </c>
      <c r="M434" t="s">
        <v>27</v>
      </c>
      <c r="O434" t="s">
        <v>96</v>
      </c>
      <c r="P434" t="s">
        <v>269</v>
      </c>
      <c r="R434">
        <v>9</v>
      </c>
      <c r="S434">
        <v>73</v>
      </c>
      <c r="T434">
        <v>100</v>
      </c>
      <c r="U434">
        <v>60</v>
      </c>
      <c r="V434">
        <v>100</v>
      </c>
      <c r="W434">
        <v>60</v>
      </c>
      <c r="X434">
        <v>65</v>
      </c>
      <c r="Y434">
        <f t="shared" si="180"/>
        <v>180</v>
      </c>
      <c r="Z434">
        <f t="shared" si="181"/>
        <v>180</v>
      </c>
      <c r="AA434">
        <f t="shared" si="182"/>
        <v>148</v>
      </c>
      <c r="AB434">
        <f t="shared" si="183"/>
        <v>148</v>
      </c>
      <c r="AC434">
        <f t="shared" si="184"/>
        <v>133</v>
      </c>
      <c r="AD434">
        <f t="shared" si="185"/>
        <v>167</v>
      </c>
      <c r="AE434">
        <f t="shared" si="186"/>
        <v>152</v>
      </c>
      <c r="AF434">
        <f t="shared" si="187"/>
        <v>120</v>
      </c>
      <c r="AG434">
        <f t="shared" si="188"/>
        <v>108</v>
      </c>
      <c r="AH434">
        <f t="shared" si="189"/>
        <v>94</v>
      </c>
      <c r="AI434">
        <f t="shared" si="190"/>
        <v>123</v>
      </c>
      <c r="AJ434">
        <f t="shared" si="191"/>
        <v>112</v>
      </c>
      <c r="AK434">
        <f t="shared" si="192"/>
        <v>80</v>
      </c>
      <c r="AL434">
        <f t="shared" si="193"/>
        <v>72</v>
      </c>
      <c r="AM434">
        <f t="shared" si="194"/>
        <v>58</v>
      </c>
      <c r="AN434">
        <f t="shared" si="195"/>
        <v>167</v>
      </c>
      <c r="AO434">
        <f t="shared" si="196"/>
        <v>152</v>
      </c>
      <c r="AP434">
        <f t="shared" si="197"/>
        <v>120</v>
      </c>
      <c r="AQ434">
        <f t="shared" si="198"/>
        <v>108</v>
      </c>
      <c r="AR434">
        <f t="shared" si="199"/>
        <v>94</v>
      </c>
      <c r="AS434">
        <f t="shared" si="200"/>
        <v>123</v>
      </c>
      <c r="AT434">
        <f t="shared" si="201"/>
        <v>112</v>
      </c>
      <c r="AU434">
        <f t="shared" si="202"/>
        <v>80</v>
      </c>
      <c r="AV434">
        <f t="shared" si="203"/>
        <v>72</v>
      </c>
      <c r="AW434">
        <f t="shared" si="204"/>
        <v>58</v>
      </c>
      <c r="AX434">
        <f t="shared" si="205"/>
        <v>128</v>
      </c>
      <c r="AY434">
        <f t="shared" si="206"/>
        <v>117</v>
      </c>
      <c r="AZ434">
        <f t="shared" si="207"/>
        <v>85</v>
      </c>
      <c r="BA434">
        <f t="shared" si="208"/>
        <v>76</v>
      </c>
      <c r="BB434">
        <f t="shared" si="209"/>
        <v>63</v>
      </c>
    </row>
    <row r="435" spans="1:54" x14ac:dyDescent="0.15">
      <c r="B435" t="s">
        <v>1586</v>
      </c>
      <c r="C435">
        <v>337</v>
      </c>
      <c r="D435">
        <v>0</v>
      </c>
      <c r="E435" t="s">
        <v>1587</v>
      </c>
      <c r="G435" t="s">
        <v>1587</v>
      </c>
      <c r="J435" t="s">
        <v>1588</v>
      </c>
      <c r="K435">
        <v>168</v>
      </c>
      <c r="L435">
        <v>1</v>
      </c>
      <c r="M435" t="s">
        <v>371</v>
      </c>
      <c r="N435" t="s">
        <v>191</v>
      </c>
      <c r="O435" t="s">
        <v>547</v>
      </c>
      <c r="R435">
        <v>8</v>
      </c>
      <c r="S435">
        <v>90</v>
      </c>
      <c r="T435">
        <v>55</v>
      </c>
      <c r="U435">
        <v>65</v>
      </c>
      <c r="V435">
        <v>95</v>
      </c>
      <c r="W435">
        <v>85</v>
      </c>
      <c r="X435">
        <v>70</v>
      </c>
      <c r="Y435">
        <f t="shared" si="180"/>
        <v>197</v>
      </c>
      <c r="Z435">
        <f t="shared" si="181"/>
        <v>197</v>
      </c>
      <c r="AA435">
        <f t="shared" si="182"/>
        <v>165</v>
      </c>
      <c r="AB435">
        <f t="shared" si="183"/>
        <v>165</v>
      </c>
      <c r="AC435">
        <f t="shared" si="184"/>
        <v>150</v>
      </c>
      <c r="AD435">
        <f t="shared" si="185"/>
        <v>117</v>
      </c>
      <c r="AE435">
        <f t="shared" si="186"/>
        <v>107</v>
      </c>
      <c r="AF435">
        <f t="shared" si="187"/>
        <v>75</v>
      </c>
      <c r="AG435">
        <f t="shared" si="188"/>
        <v>67</v>
      </c>
      <c r="AH435">
        <f t="shared" si="189"/>
        <v>54</v>
      </c>
      <c r="AI435">
        <f t="shared" si="190"/>
        <v>128</v>
      </c>
      <c r="AJ435">
        <f t="shared" si="191"/>
        <v>117</v>
      </c>
      <c r="AK435">
        <f t="shared" si="192"/>
        <v>85</v>
      </c>
      <c r="AL435">
        <f t="shared" si="193"/>
        <v>76</v>
      </c>
      <c r="AM435">
        <f t="shared" si="194"/>
        <v>63</v>
      </c>
      <c r="AN435">
        <f t="shared" si="195"/>
        <v>161</v>
      </c>
      <c r="AO435">
        <f t="shared" si="196"/>
        <v>147</v>
      </c>
      <c r="AP435">
        <f t="shared" si="197"/>
        <v>115</v>
      </c>
      <c r="AQ435">
        <f t="shared" si="198"/>
        <v>103</v>
      </c>
      <c r="AR435">
        <f t="shared" si="199"/>
        <v>90</v>
      </c>
      <c r="AS435">
        <f t="shared" si="200"/>
        <v>150</v>
      </c>
      <c r="AT435">
        <f t="shared" si="201"/>
        <v>137</v>
      </c>
      <c r="AU435">
        <f t="shared" si="202"/>
        <v>105</v>
      </c>
      <c r="AV435">
        <f t="shared" si="203"/>
        <v>94</v>
      </c>
      <c r="AW435">
        <f t="shared" si="204"/>
        <v>81</v>
      </c>
      <c r="AX435">
        <f t="shared" si="205"/>
        <v>134</v>
      </c>
      <c r="AY435">
        <f t="shared" si="206"/>
        <v>122</v>
      </c>
      <c r="AZ435">
        <f t="shared" si="207"/>
        <v>90</v>
      </c>
      <c r="BA435">
        <f t="shared" si="208"/>
        <v>81</v>
      </c>
      <c r="BB435">
        <f t="shared" si="209"/>
        <v>67</v>
      </c>
    </row>
    <row r="436" spans="1:54" x14ac:dyDescent="0.15">
      <c r="B436" t="s">
        <v>1589</v>
      </c>
      <c r="C436">
        <v>338</v>
      </c>
      <c r="D436">
        <v>0</v>
      </c>
      <c r="E436" t="s">
        <v>1590</v>
      </c>
      <c r="G436" t="s">
        <v>1590</v>
      </c>
      <c r="J436" t="s">
        <v>1588</v>
      </c>
      <c r="K436">
        <v>154</v>
      </c>
      <c r="L436">
        <v>1.2</v>
      </c>
      <c r="M436" t="s">
        <v>371</v>
      </c>
      <c r="N436" t="s">
        <v>191</v>
      </c>
      <c r="O436" t="s">
        <v>547</v>
      </c>
      <c r="R436">
        <v>8</v>
      </c>
      <c r="S436">
        <v>90</v>
      </c>
      <c r="T436">
        <v>95</v>
      </c>
      <c r="U436">
        <v>85</v>
      </c>
      <c r="V436">
        <v>55</v>
      </c>
      <c r="W436">
        <v>65</v>
      </c>
      <c r="X436">
        <v>70</v>
      </c>
      <c r="Y436">
        <f t="shared" si="180"/>
        <v>197</v>
      </c>
      <c r="Z436">
        <f t="shared" si="181"/>
        <v>197</v>
      </c>
      <c r="AA436">
        <f t="shared" si="182"/>
        <v>165</v>
      </c>
      <c r="AB436">
        <f t="shared" si="183"/>
        <v>165</v>
      </c>
      <c r="AC436">
        <f t="shared" si="184"/>
        <v>150</v>
      </c>
      <c r="AD436">
        <f t="shared" si="185"/>
        <v>161</v>
      </c>
      <c r="AE436">
        <f t="shared" si="186"/>
        <v>147</v>
      </c>
      <c r="AF436">
        <f t="shared" si="187"/>
        <v>115</v>
      </c>
      <c r="AG436">
        <f t="shared" si="188"/>
        <v>103</v>
      </c>
      <c r="AH436">
        <f t="shared" si="189"/>
        <v>90</v>
      </c>
      <c r="AI436">
        <f t="shared" si="190"/>
        <v>150</v>
      </c>
      <c r="AJ436">
        <f t="shared" si="191"/>
        <v>137</v>
      </c>
      <c r="AK436">
        <f t="shared" si="192"/>
        <v>105</v>
      </c>
      <c r="AL436">
        <f t="shared" si="193"/>
        <v>94</v>
      </c>
      <c r="AM436">
        <f t="shared" si="194"/>
        <v>81</v>
      </c>
      <c r="AN436">
        <f t="shared" si="195"/>
        <v>117</v>
      </c>
      <c r="AO436">
        <f t="shared" si="196"/>
        <v>107</v>
      </c>
      <c r="AP436">
        <f t="shared" si="197"/>
        <v>75</v>
      </c>
      <c r="AQ436">
        <f t="shared" si="198"/>
        <v>67</v>
      </c>
      <c r="AR436">
        <f t="shared" si="199"/>
        <v>54</v>
      </c>
      <c r="AS436">
        <f t="shared" si="200"/>
        <v>128</v>
      </c>
      <c r="AT436">
        <f t="shared" si="201"/>
        <v>117</v>
      </c>
      <c r="AU436">
        <f t="shared" si="202"/>
        <v>85</v>
      </c>
      <c r="AV436">
        <f t="shared" si="203"/>
        <v>76</v>
      </c>
      <c r="AW436">
        <f t="shared" si="204"/>
        <v>63</v>
      </c>
      <c r="AX436">
        <f t="shared" si="205"/>
        <v>134</v>
      </c>
      <c r="AY436">
        <f t="shared" si="206"/>
        <v>122</v>
      </c>
      <c r="AZ436">
        <f t="shared" si="207"/>
        <v>90</v>
      </c>
      <c r="BA436">
        <f t="shared" si="208"/>
        <v>81</v>
      </c>
      <c r="BB436">
        <f t="shared" si="209"/>
        <v>67</v>
      </c>
    </row>
    <row r="437" spans="1:54" x14ac:dyDescent="0.15">
      <c r="A437">
        <v>287</v>
      </c>
      <c r="B437" t="s">
        <v>1591</v>
      </c>
      <c r="C437">
        <v>339</v>
      </c>
      <c r="D437">
        <v>0</v>
      </c>
      <c r="E437" t="s">
        <v>1592</v>
      </c>
      <c r="G437" t="s">
        <v>1592</v>
      </c>
      <c r="H437" t="s">
        <v>1593</v>
      </c>
      <c r="J437" t="s">
        <v>1594</v>
      </c>
      <c r="K437">
        <v>1.9</v>
      </c>
      <c r="L437">
        <v>0.4</v>
      </c>
      <c r="M437" t="s">
        <v>71</v>
      </c>
      <c r="N437" t="s">
        <v>196</v>
      </c>
      <c r="O437" t="s">
        <v>469</v>
      </c>
      <c r="P437" t="s">
        <v>758</v>
      </c>
      <c r="Q437" t="s">
        <v>513</v>
      </c>
      <c r="R437">
        <v>9</v>
      </c>
      <c r="S437">
        <v>50</v>
      </c>
      <c r="T437">
        <v>48</v>
      </c>
      <c r="U437">
        <v>43</v>
      </c>
      <c r="V437">
        <v>46</v>
      </c>
      <c r="W437">
        <v>41</v>
      </c>
      <c r="X437">
        <v>60</v>
      </c>
      <c r="Y437">
        <f t="shared" si="180"/>
        <v>157</v>
      </c>
      <c r="Z437">
        <f t="shared" si="181"/>
        <v>157</v>
      </c>
      <c r="AA437">
        <f t="shared" si="182"/>
        <v>125</v>
      </c>
      <c r="AB437">
        <f t="shared" si="183"/>
        <v>125</v>
      </c>
      <c r="AC437">
        <f t="shared" si="184"/>
        <v>110</v>
      </c>
      <c r="AD437">
        <f t="shared" si="185"/>
        <v>110</v>
      </c>
      <c r="AE437">
        <f t="shared" si="186"/>
        <v>100</v>
      </c>
      <c r="AF437">
        <f t="shared" si="187"/>
        <v>68</v>
      </c>
      <c r="AG437">
        <f t="shared" si="188"/>
        <v>61</v>
      </c>
      <c r="AH437">
        <f t="shared" si="189"/>
        <v>47</v>
      </c>
      <c r="AI437">
        <f t="shared" si="190"/>
        <v>104</v>
      </c>
      <c r="AJ437">
        <f t="shared" si="191"/>
        <v>95</v>
      </c>
      <c r="AK437">
        <f t="shared" si="192"/>
        <v>63</v>
      </c>
      <c r="AL437">
        <f t="shared" si="193"/>
        <v>56</v>
      </c>
      <c r="AM437">
        <f t="shared" si="194"/>
        <v>43</v>
      </c>
      <c r="AN437">
        <f t="shared" si="195"/>
        <v>107</v>
      </c>
      <c r="AO437">
        <f t="shared" si="196"/>
        <v>98</v>
      </c>
      <c r="AP437">
        <f t="shared" si="197"/>
        <v>66</v>
      </c>
      <c r="AQ437">
        <f t="shared" si="198"/>
        <v>59</v>
      </c>
      <c r="AR437">
        <f t="shared" si="199"/>
        <v>45</v>
      </c>
      <c r="AS437">
        <f t="shared" si="200"/>
        <v>102</v>
      </c>
      <c r="AT437">
        <f t="shared" si="201"/>
        <v>93</v>
      </c>
      <c r="AU437">
        <f t="shared" si="202"/>
        <v>61</v>
      </c>
      <c r="AV437">
        <f t="shared" si="203"/>
        <v>54</v>
      </c>
      <c r="AW437">
        <f t="shared" si="204"/>
        <v>41</v>
      </c>
      <c r="AX437">
        <f t="shared" si="205"/>
        <v>123</v>
      </c>
      <c r="AY437">
        <f t="shared" si="206"/>
        <v>112</v>
      </c>
      <c r="AZ437">
        <f t="shared" si="207"/>
        <v>80</v>
      </c>
      <c r="BA437">
        <f t="shared" si="208"/>
        <v>72</v>
      </c>
      <c r="BB437">
        <f t="shared" si="209"/>
        <v>58</v>
      </c>
    </row>
    <row r="438" spans="1:54" x14ac:dyDescent="0.15">
      <c r="A438">
        <v>288</v>
      </c>
      <c r="B438" t="s">
        <v>1595</v>
      </c>
      <c r="C438">
        <v>340</v>
      </c>
      <c r="D438">
        <v>0</v>
      </c>
      <c r="E438" t="s">
        <v>1596</v>
      </c>
      <c r="G438" t="s">
        <v>1596</v>
      </c>
      <c r="H438" t="s">
        <v>1597</v>
      </c>
      <c r="J438" t="s">
        <v>1594</v>
      </c>
      <c r="K438">
        <v>23.6</v>
      </c>
      <c r="L438">
        <v>0.9</v>
      </c>
      <c r="M438" t="s">
        <v>71</v>
      </c>
      <c r="N438" t="s">
        <v>196</v>
      </c>
      <c r="O438" t="s">
        <v>469</v>
      </c>
      <c r="P438" t="s">
        <v>758</v>
      </c>
      <c r="Q438" t="s">
        <v>513</v>
      </c>
      <c r="R438">
        <v>9</v>
      </c>
      <c r="S438">
        <v>110</v>
      </c>
      <c r="T438">
        <v>78</v>
      </c>
      <c r="U438">
        <v>73</v>
      </c>
      <c r="V438">
        <v>76</v>
      </c>
      <c r="W438">
        <v>71</v>
      </c>
      <c r="X438">
        <v>60</v>
      </c>
      <c r="Y438">
        <f t="shared" si="180"/>
        <v>217</v>
      </c>
      <c r="Z438">
        <f t="shared" si="181"/>
        <v>217</v>
      </c>
      <c r="AA438">
        <f t="shared" si="182"/>
        <v>185</v>
      </c>
      <c r="AB438">
        <f t="shared" si="183"/>
        <v>185</v>
      </c>
      <c r="AC438">
        <f t="shared" si="184"/>
        <v>170</v>
      </c>
      <c r="AD438">
        <f t="shared" si="185"/>
        <v>143</v>
      </c>
      <c r="AE438">
        <f t="shared" si="186"/>
        <v>130</v>
      </c>
      <c r="AF438">
        <f t="shared" si="187"/>
        <v>98</v>
      </c>
      <c r="AG438">
        <f t="shared" si="188"/>
        <v>88</v>
      </c>
      <c r="AH438">
        <f t="shared" si="189"/>
        <v>74</v>
      </c>
      <c r="AI438">
        <f t="shared" si="190"/>
        <v>137</v>
      </c>
      <c r="AJ438">
        <f t="shared" si="191"/>
        <v>125</v>
      </c>
      <c r="AK438">
        <f t="shared" si="192"/>
        <v>93</v>
      </c>
      <c r="AL438">
        <f t="shared" si="193"/>
        <v>83</v>
      </c>
      <c r="AM438">
        <f t="shared" si="194"/>
        <v>70</v>
      </c>
      <c r="AN438">
        <f t="shared" si="195"/>
        <v>140</v>
      </c>
      <c r="AO438">
        <f t="shared" si="196"/>
        <v>128</v>
      </c>
      <c r="AP438">
        <f t="shared" si="197"/>
        <v>96</v>
      </c>
      <c r="AQ438">
        <f t="shared" si="198"/>
        <v>86</v>
      </c>
      <c r="AR438">
        <f t="shared" si="199"/>
        <v>72</v>
      </c>
      <c r="AS438">
        <f t="shared" si="200"/>
        <v>135</v>
      </c>
      <c r="AT438">
        <f t="shared" si="201"/>
        <v>123</v>
      </c>
      <c r="AU438">
        <f t="shared" si="202"/>
        <v>91</v>
      </c>
      <c r="AV438">
        <f t="shared" si="203"/>
        <v>81</v>
      </c>
      <c r="AW438">
        <f t="shared" si="204"/>
        <v>68</v>
      </c>
      <c r="AX438">
        <f t="shared" si="205"/>
        <v>123</v>
      </c>
      <c r="AY438">
        <f t="shared" si="206"/>
        <v>112</v>
      </c>
      <c r="AZ438">
        <f t="shared" si="207"/>
        <v>80</v>
      </c>
      <c r="BA438">
        <f t="shared" si="208"/>
        <v>72</v>
      </c>
      <c r="BB438">
        <f t="shared" si="209"/>
        <v>58</v>
      </c>
    </row>
    <row r="439" spans="1:54" x14ac:dyDescent="0.15">
      <c r="A439">
        <v>289</v>
      </c>
      <c r="B439" t="s">
        <v>1598</v>
      </c>
      <c r="C439">
        <v>341</v>
      </c>
      <c r="D439">
        <v>0</v>
      </c>
      <c r="E439" t="s">
        <v>1599</v>
      </c>
      <c r="G439" t="s">
        <v>1599</v>
      </c>
      <c r="H439" t="s">
        <v>1600</v>
      </c>
      <c r="J439" t="s">
        <v>1601</v>
      </c>
      <c r="K439">
        <v>11.5</v>
      </c>
      <c r="L439">
        <v>0.6</v>
      </c>
      <c r="M439" t="s">
        <v>71</v>
      </c>
      <c r="O439" t="s">
        <v>576</v>
      </c>
      <c r="P439" t="s">
        <v>481</v>
      </c>
      <c r="Q439" t="s">
        <v>116</v>
      </c>
      <c r="R439">
        <v>9</v>
      </c>
      <c r="S439">
        <v>43</v>
      </c>
      <c r="T439">
        <v>80</v>
      </c>
      <c r="U439">
        <v>65</v>
      </c>
      <c r="V439">
        <v>50</v>
      </c>
      <c r="W439">
        <v>35</v>
      </c>
      <c r="X439">
        <v>35</v>
      </c>
      <c r="Y439">
        <f t="shared" si="180"/>
        <v>150</v>
      </c>
      <c r="Z439">
        <f t="shared" si="181"/>
        <v>150</v>
      </c>
      <c r="AA439">
        <f t="shared" si="182"/>
        <v>118</v>
      </c>
      <c r="AB439">
        <f t="shared" si="183"/>
        <v>118</v>
      </c>
      <c r="AC439">
        <f t="shared" si="184"/>
        <v>103</v>
      </c>
      <c r="AD439">
        <f t="shared" si="185"/>
        <v>145</v>
      </c>
      <c r="AE439">
        <f t="shared" si="186"/>
        <v>132</v>
      </c>
      <c r="AF439">
        <f t="shared" si="187"/>
        <v>100</v>
      </c>
      <c r="AG439">
        <f t="shared" si="188"/>
        <v>90</v>
      </c>
      <c r="AH439">
        <f t="shared" si="189"/>
        <v>76</v>
      </c>
      <c r="AI439">
        <f t="shared" si="190"/>
        <v>128</v>
      </c>
      <c r="AJ439">
        <f t="shared" si="191"/>
        <v>117</v>
      </c>
      <c r="AK439">
        <f t="shared" si="192"/>
        <v>85</v>
      </c>
      <c r="AL439">
        <f t="shared" si="193"/>
        <v>76</v>
      </c>
      <c r="AM439">
        <f t="shared" si="194"/>
        <v>63</v>
      </c>
      <c r="AN439">
        <f t="shared" si="195"/>
        <v>112</v>
      </c>
      <c r="AO439">
        <f t="shared" si="196"/>
        <v>102</v>
      </c>
      <c r="AP439">
        <f t="shared" si="197"/>
        <v>70</v>
      </c>
      <c r="AQ439">
        <f t="shared" si="198"/>
        <v>63</v>
      </c>
      <c r="AR439">
        <f t="shared" si="199"/>
        <v>49</v>
      </c>
      <c r="AS439">
        <f t="shared" si="200"/>
        <v>95</v>
      </c>
      <c r="AT439">
        <f t="shared" si="201"/>
        <v>87</v>
      </c>
      <c r="AU439">
        <f t="shared" si="202"/>
        <v>55</v>
      </c>
      <c r="AV439">
        <f t="shared" si="203"/>
        <v>49</v>
      </c>
      <c r="AW439">
        <f t="shared" si="204"/>
        <v>36</v>
      </c>
      <c r="AX439">
        <f t="shared" si="205"/>
        <v>95</v>
      </c>
      <c r="AY439">
        <f t="shared" si="206"/>
        <v>87</v>
      </c>
      <c r="AZ439">
        <f t="shared" si="207"/>
        <v>55</v>
      </c>
      <c r="BA439">
        <f t="shared" si="208"/>
        <v>49</v>
      </c>
      <c r="BB439">
        <f t="shared" si="209"/>
        <v>36</v>
      </c>
    </row>
    <row r="440" spans="1:54" x14ac:dyDescent="0.15">
      <c r="A440">
        <v>290</v>
      </c>
      <c r="B440" t="s">
        <v>1602</v>
      </c>
      <c r="C440">
        <v>342</v>
      </c>
      <c r="D440">
        <v>0</v>
      </c>
      <c r="E440" t="s">
        <v>1603</v>
      </c>
      <c r="G440" t="s">
        <v>1603</v>
      </c>
      <c r="H440" t="s">
        <v>1604</v>
      </c>
      <c r="J440" t="s">
        <v>1605</v>
      </c>
      <c r="K440">
        <v>32.799999999999997</v>
      </c>
      <c r="L440">
        <v>1.1000000000000001</v>
      </c>
      <c r="M440" t="s">
        <v>71</v>
      </c>
      <c r="N440" t="s">
        <v>140</v>
      </c>
      <c r="O440" t="s">
        <v>576</v>
      </c>
      <c r="P440" t="s">
        <v>481</v>
      </c>
      <c r="Q440" t="s">
        <v>116</v>
      </c>
      <c r="R440">
        <v>9</v>
      </c>
      <c r="S440">
        <v>63</v>
      </c>
      <c r="T440">
        <v>120</v>
      </c>
      <c r="U440">
        <v>85</v>
      </c>
      <c r="V440">
        <v>90</v>
      </c>
      <c r="W440">
        <v>55</v>
      </c>
      <c r="X440">
        <v>55</v>
      </c>
      <c r="Y440">
        <f t="shared" si="180"/>
        <v>170</v>
      </c>
      <c r="Z440">
        <f t="shared" si="181"/>
        <v>170</v>
      </c>
      <c r="AA440">
        <f t="shared" si="182"/>
        <v>138</v>
      </c>
      <c r="AB440">
        <f t="shared" si="183"/>
        <v>138</v>
      </c>
      <c r="AC440">
        <f t="shared" si="184"/>
        <v>123</v>
      </c>
      <c r="AD440">
        <f t="shared" si="185"/>
        <v>189</v>
      </c>
      <c r="AE440">
        <f t="shared" si="186"/>
        <v>172</v>
      </c>
      <c r="AF440">
        <f t="shared" si="187"/>
        <v>140</v>
      </c>
      <c r="AG440">
        <f t="shared" si="188"/>
        <v>126</v>
      </c>
      <c r="AH440">
        <f t="shared" si="189"/>
        <v>112</v>
      </c>
      <c r="AI440">
        <f t="shared" si="190"/>
        <v>150</v>
      </c>
      <c r="AJ440">
        <f t="shared" si="191"/>
        <v>137</v>
      </c>
      <c r="AK440">
        <f t="shared" si="192"/>
        <v>105</v>
      </c>
      <c r="AL440">
        <f t="shared" si="193"/>
        <v>94</v>
      </c>
      <c r="AM440">
        <f t="shared" si="194"/>
        <v>81</v>
      </c>
      <c r="AN440">
        <f t="shared" si="195"/>
        <v>156</v>
      </c>
      <c r="AO440">
        <f t="shared" si="196"/>
        <v>142</v>
      </c>
      <c r="AP440">
        <f t="shared" si="197"/>
        <v>110</v>
      </c>
      <c r="AQ440">
        <f t="shared" si="198"/>
        <v>99</v>
      </c>
      <c r="AR440">
        <f t="shared" si="199"/>
        <v>85</v>
      </c>
      <c r="AS440">
        <f t="shared" si="200"/>
        <v>117</v>
      </c>
      <c r="AT440">
        <f t="shared" si="201"/>
        <v>107</v>
      </c>
      <c r="AU440">
        <f t="shared" si="202"/>
        <v>75</v>
      </c>
      <c r="AV440">
        <f t="shared" si="203"/>
        <v>67</v>
      </c>
      <c r="AW440">
        <f t="shared" si="204"/>
        <v>54</v>
      </c>
      <c r="AX440">
        <f t="shared" si="205"/>
        <v>117</v>
      </c>
      <c r="AY440">
        <f t="shared" si="206"/>
        <v>107</v>
      </c>
      <c r="AZ440">
        <f t="shared" si="207"/>
        <v>75</v>
      </c>
      <c r="BA440">
        <f t="shared" si="208"/>
        <v>67</v>
      </c>
      <c r="BB440">
        <f t="shared" si="209"/>
        <v>54</v>
      </c>
    </row>
    <row r="441" spans="1:54" x14ac:dyDescent="0.15">
      <c r="B441" t="s">
        <v>1606</v>
      </c>
      <c r="C441">
        <v>343</v>
      </c>
      <c r="D441">
        <v>0</v>
      </c>
      <c r="E441" t="s">
        <v>1607</v>
      </c>
      <c r="G441" t="s">
        <v>1607</v>
      </c>
      <c r="J441" t="s">
        <v>1608</v>
      </c>
      <c r="K441">
        <v>21.5</v>
      </c>
      <c r="L441">
        <v>0.5</v>
      </c>
      <c r="M441" t="s">
        <v>196</v>
      </c>
      <c r="N441" t="s">
        <v>191</v>
      </c>
      <c r="O441" t="s">
        <v>547</v>
      </c>
      <c r="R441">
        <v>8</v>
      </c>
      <c r="S441">
        <v>40</v>
      </c>
      <c r="T441">
        <v>40</v>
      </c>
      <c r="U441">
        <v>55</v>
      </c>
      <c r="V441">
        <v>40</v>
      </c>
      <c r="W441">
        <v>70</v>
      </c>
      <c r="X441">
        <v>55</v>
      </c>
      <c r="Y441">
        <f t="shared" si="180"/>
        <v>147</v>
      </c>
      <c r="Z441">
        <f t="shared" si="181"/>
        <v>147</v>
      </c>
      <c r="AA441">
        <f t="shared" si="182"/>
        <v>115</v>
      </c>
      <c r="AB441">
        <f t="shared" si="183"/>
        <v>115</v>
      </c>
      <c r="AC441">
        <f t="shared" si="184"/>
        <v>100</v>
      </c>
      <c r="AD441">
        <f t="shared" si="185"/>
        <v>101</v>
      </c>
      <c r="AE441">
        <f t="shared" si="186"/>
        <v>92</v>
      </c>
      <c r="AF441">
        <f t="shared" si="187"/>
        <v>60</v>
      </c>
      <c r="AG441">
        <f t="shared" si="188"/>
        <v>54</v>
      </c>
      <c r="AH441">
        <f t="shared" si="189"/>
        <v>40</v>
      </c>
      <c r="AI441">
        <f t="shared" si="190"/>
        <v>117</v>
      </c>
      <c r="AJ441">
        <f t="shared" si="191"/>
        <v>107</v>
      </c>
      <c r="AK441">
        <f t="shared" si="192"/>
        <v>75</v>
      </c>
      <c r="AL441">
        <f t="shared" si="193"/>
        <v>67</v>
      </c>
      <c r="AM441">
        <f t="shared" si="194"/>
        <v>54</v>
      </c>
      <c r="AN441">
        <f t="shared" si="195"/>
        <v>101</v>
      </c>
      <c r="AO441">
        <f t="shared" si="196"/>
        <v>92</v>
      </c>
      <c r="AP441">
        <f t="shared" si="197"/>
        <v>60</v>
      </c>
      <c r="AQ441">
        <f t="shared" si="198"/>
        <v>54</v>
      </c>
      <c r="AR441">
        <f t="shared" si="199"/>
        <v>40</v>
      </c>
      <c r="AS441">
        <f t="shared" si="200"/>
        <v>134</v>
      </c>
      <c r="AT441">
        <f t="shared" si="201"/>
        <v>122</v>
      </c>
      <c r="AU441">
        <f t="shared" si="202"/>
        <v>90</v>
      </c>
      <c r="AV441">
        <f t="shared" si="203"/>
        <v>81</v>
      </c>
      <c r="AW441">
        <f t="shared" si="204"/>
        <v>67</v>
      </c>
      <c r="AX441">
        <f t="shared" si="205"/>
        <v>117</v>
      </c>
      <c r="AY441">
        <f t="shared" si="206"/>
        <v>107</v>
      </c>
      <c r="AZ441">
        <f t="shared" si="207"/>
        <v>75</v>
      </c>
      <c r="BA441">
        <f t="shared" si="208"/>
        <v>67</v>
      </c>
      <c r="BB441">
        <f t="shared" si="209"/>
        <v>54</v>
      </c>
    </row>
    <row r="442" spans="1:54" x14ac:dyDescent="0.15">
      <c r="B442" t="s">
        <v>1609</v>
      </c>
      <c r="C442">
        <v>344</v>
      </c>
      <c r="D442">
        <v>0</v>
      </c>
      <c r="E442" t="s">
        <v>1610</v>
      </c>
      <c r="G442" t="s">
        <v>1610</v>
      </c>
      <c r="J442" t="s">
        <v>1608</v>
      </c>
      <c r="K442">
        <v>108</v>
      </c>
      <c r="L442">
        <v>1.5</v>
      </c>
      <c r="M442" t="s">
        <v>196</v>
      </c>
      <c r="N442" t="s">
        <v>191</v>
      </c>
      <c r="O442" t="s">
        <v>547</v>
      </c>
      <c r="R442">
        <v>8</v>
      </c>
      <c r="S442">
        <v>60</v>
      </c>
      <c r="T442">
        <v>70</v>
      </c>
      <c r="U442">
        <v>105</v>
      </c>
      <c r="V442">
        <v>70</v>
      </c>
      <c r="W442">
        <v>120</v>
      </c>
      <c r="X442">
        <v>75</v>
      </c>
      <c r="Y442">
        <f t="shared" si="180"/>
        <v>167</v>
      </c>
      <c r="Z442">
        <f t="shared" si="181"/>
        <v>167</v>
      </c>
      <c r="AA442">
        <f t="shared" si="182"/>
        <v>135</v>
      </c>
      <c r="AB442">
        <f t="shared" si="183"/>
        <v>135</v>
      </c>
      <c r="AC442">
        <f t="shared" si="184"/>
        <v>120</v>
      </c>
      <c r="AD442">
        <f t="shared" si="185"/>
        <v>134</v>
      </c>
      <c r="AE442">
        <f t="shared" si="186"/>
        <v>122</v>
      </c>
      <c r="AF442">
        <f t="shared" si="187"/>
        <v>90</v>
      </c>
      <c r="AG442">
        <f t="shared" si="188"/>
        <v>81</v>
      </c>
      <c r="AH442">
        <f t="shared" si="189"/>
        <v>67</v>
      </c>
      <c r="AI442">
        <f t="shared" si="190"/>
        <v>172</v>
      </c>
      <c r="AJ442">
        <f t="shared" si="191"/>
        <v>157</v>
      </c>
      <c r="AK442">
        <f t="shared" si="192"/>
        <v>125</v>
      </c>
      <c r="AL442">
        <f t="shared" si="193"/>
        <v>112</v>
      </c>
      <c r="AM442">
        <f t="shared" si="194"/>
        <v>99</v>
      </c>
      <c r="AN442">
        <f t="shared" si="195"/>
        <v>134</v>
      </c>
      <c r="AO442">
        <f t="shared" si="196"/>
        <v>122</v>
      </c>
      <c r="AP442">
        <f t="shared" si="197"/>
        <v>90</v>
      </c>
      <c r="AQ442">
        <f t="shared" si="198"/>
        <v>81</v>
      </c>
      <c r="AR442">
        <f t="shared" si="199"/>
        <v>67</v>
      </c>
      <c r="AS442">
        <f t="shared" si="200"/>
        <v>189</v>
      </c>
      <c r="AT442">
        <f t="shared" si="201"/>
        <v>172</v>
      </c>
      <c r="AU442">
        <f t="shared" si="202"/>
        <v>140</v>
      </c>
      <c r="AV442">
        <f t="shared" si="203"/>
        <v>126</v>
      </c>
      <c r="AW442">
        <f t="shared" si="204"/>
        <v>112</v>
      </c>
      <c r="AX442">
        <f t="shared" si="205"/>
        <v>139</v>
      </c>
      <c r="AY442">
        <f t="shared" si="206"/>
        <v>127</v>
      </c>
      <c r="AZ442">
        <f t="shared" si="207"/>
        <v>95</v>
      </c>
      <c r="BA442">
        <f t="shared" si="208"/>
        <v>85</v>
      </c>
      <c r="BB442">
        <f t="shared" si="209"/>
        <v>72</v>
      </c>
    </row>
    <row r="443" spans="1:54" x14ac:dyDescent="0.15">
      <c r="B443" t="s">
        <v>1611</v>
      </c>
      <c r="C443">
        <v>345</v>
      </c>
      <c r="D443">
        <v>0</v>
      </c>
      <c r="E443" t="s">
        <v>1612</v>
      </c>
      <c r="G443" t="s">
        <v>1612</v>
      </c>
      <c r="J443" t="s">
        <v>1613</v>
      </c>
      <c r="K443">
        <v>23.8</v>
      </c>
      <c r="L443">
        <v>1</v>
      </c>
      <c r="M443" t="s">
        <v>371</v>
      </c>
      <c r="N443" t="s">
        <v>26</v>
      </c>
      <c r="O443" t="s">
        <v>1145</v>
      </c>
      <c r="P443" t="s">
        <v>1614</v>
      </c>
      <c r="R443">
        <v>8</v>
      </c>
      <c r="S443">
        <v>66</v>
      </c>
      <c r="T443">
        <v>41</v>
      </c>
      <c r="U443">
        <v>77</v>
      </c>
      <c r="V443">
        <v>61</v>
      </c>
      <c r="W443">
        <v>87</v>
      </c>
      <c r="X443">
        <v>23</v>
      </c>
      <c r="Y443">
        <f t="shared" si="180"/>
        <v>173</v>
      </c>
      <c r="Z443">
        <f t="shared" si="181"/>
        <v>173</v>
      </c>
      <c r="AA443">
        <f t="shared" si="182"/>
        <v>141</v>
      </c>
      <c r="AB443">
        <f t="shared" si="183"/>
        <v>141</v>
      </c>
      <c r="AC443">
        <f t="shared" si="184"/>
        <v>126</v>
      </c>
      <c r="AD443">
        <f t="shared" si="185"/>
        <v>102</v>
      </c>
      <c r="AE443">
        <f t="shared" si="186"/>
        <v>93</v>
      </c>
      <c r="AF443">
        <f t="shared" si="187"/>
        <v>61</v>
      </c>
      <c r="AG443">
        <f t="shared" si="188"/>
        <v>54</v>
      </c>
      <c r="AH443">
        <f t="shared" si="189"/>
        <v>41</v>
      </c>
      <c r="AI443">
        <f t="shared" si="190"/>
        <v>141</v>
      </c>
      <c r="AJ443">
        <f t="shared" si="191"/>
        <v>129</v>
      </c>
      <c r="AK443">
        <f t="shared" si="192"/>
        <v>97</v>
      </c>
      <c r="AL443">
        <f t="shared" si="193"/>
        <v>87</v>
      </c>
      <c r="AM443">
        <f t="shared" si="194"/>
        <v>73</v>
      </c>
      <c r="AN443">
        <f t="shared" si="195"/>
        <v>124</v>
      </c>
      <c r="AO443">
        <f t="shared" si="196"/>
        <v>113</v>
      </c>
      <c r="AP443">
        <f t="shared" si="197"/>
        <v>81</v>
      </c>
      <c r="AQ443">
        <f t="shared" si="198"/>
        <v>72</v>
      </c>
      <c r="AR443">
        <f t="shared" si="199"/>
        <v>59</v>
      </c>
      <c r="AS443">
        <f t="shared" si="200"/>
        <v>152</v>
      </c>
      <c r="AT443">
        <f t="shared" si="201"/>
        <v>139</v>
      </c>
      <c r="AU443">
        <f t="shared" si="202"/>
        <v>107</v>
      </c>
      <c r="AV443">
        <f t="shared" si="203"/>
        <v>96</v>
      </c>
      <c r="AW443">
        <f t="shared" si="204"/>
        <v>82</v>
      </c>
      <c r="AX443">
        <f t="shared" si="205"/>
        <v>82</v>
      </c>
      <c r="AY443">
        <f t="shared" si="206"/>
        <v>75</v>
      </c>
      <c r="AZ443">
        <f t="shared" si="207"/>
        <v>43</v>
      </c>
      <c r="BA443">
        <f t="shared" si="208"/>
        <v>38</v>
      </c>
      <c r="BB443">
        <f t="shared" si="209"/>
        <v>25</v>
      </c>
    </row>
    <row r="444" spans="1:54" x14ac:dyDescent="0.15">
      <c r="B444" t="s">
        <v>1615</v>
      </c>
      <c r="C444">
        <v>346</v>
      </c>
      <c r="D444">
        <v>0</v>
      </c>
      <c r="E444" t="s">
        <v>1616</v>
      </c>
      <c r="G444" t="s">
        <v>1616</v>
      </c>
      <c r="J444" t="s">
        <v>1617</v>
      </c>
      <c r="K444">
        <v>60.4</v>
      </c>
      <c r="L444">
        <v>1.5</v>
      </c>
      <c r="M444" t="s">
        <v>371</v>
      </c>
      <c r="N444" t="s">
        <v>26</v>
      </c>
      <c r="O444" t="s">
        <v>1145</v>
      </c>
      <c r="P444" t="s">
        <v>1614</v>
      </c>
      <c r="R444">
        <v>8</v>
      </c>
      <c r="S444">
        <v>86</v>
      </c>
      <c r="T444">
        <v>81</v>
      </c>
      <c r="U444">
        <v>97</v>
      </c>
      <c r="V444">
        <v>81</v>
      </c>
      <c r="W444">
        <v>107</v>
      </c>
      <c r="X444">
        <v>43</v>
      </c>
      <c r="Y444">
        <f t="shared" si="180"/>
        <v>193</v>
      </c>
      <c r="Z444">
        <f t="shared" si="181"/>
        <v>193</v>
      </c>
      <c r="AA444">
        <f t="shared" si="182"/>
        <v>161</v>
      </c>
      <c r="AB444">
        <f t="shared" si="183"/>
        <v>161</v>
      </c>
      <c r="AC444">
        <f t="shared" si="184"/>
        <v>146</v>
      </c>
      <c r="AD444">
        <f t="shared" si="185"/>
        <v>146</v>
      </c>
      <c r="AE444">
        <f t="shared" si="186"/>
        <v>133</v>
      </c>
      <c r="AF444">
        <f t="shared" si="187"/>
        <v>101</v>
      </c>
      <c r="AG444">
        <f t="shared" si="188"/>
        <v>90</v>
      </c>
      <c r="AH444">
        <f t="shared" si="189"/>
        <v>77</v>
      </c>
      <c r="AI444">
        <f t="shared" si="190"/>
        <v>163</v>
      </c>
      <c r="AJ444">
        <f t="shared" si="191"/>
        <v>149</v>
      </c>
      <c r="AK444">
        <f t="shared" si="192"/>
        <v>117</v>
      </c>
      <c r="AL444">
        <f t="shared" si="193"/>
        <v>105</v>
      </c>
      <c r="AM444">
        <f t="shared" si="194"/>
        <v>91</v>
      </c>
      <c r="AN444">
        <f t="shared" si="195"/>
        <v>146</v>
      </c>
      <c r="AO444">
        <f t="shared" si="196"/>
        <v>133</v>
      </c>
      <c r="AP444">
        <f t="shared" si="197"/>
        <v>101</v>
      </c>
      <c r="AQ444">
        <f t="shared" si="198"/>
        <v>90</v>
      </c>
      <c r="AR444">
        <f t="shared" si="199"/>
        <v>77</v>
      </c>
      <c r="AS444">
        <f t="shared" si="200"/>
        <v>174</v>
      </c>
      <c r="AT444">
        <f t="shared" si="201"/>
        <v>159</v>
      </c>
      <c r="AU444">
        <f t="shared" si="202"/>
        <v>127</v>
      </c>
      <c r="AV444">
        <f t="shared" si="203"/>
        <v>114</v>
      </c>
      <c r="AW444">
        <f t="shared" si="204"/>
        <v>100</v>
      </c>
      <c r="AX444">
        <f t="shared" si="205"/>
        <v>104</v>
      </c>
      <c r="AY444">
        <f t="shared" si="206"/>
        <v>95</v>
      </c>
      <c r="AZ444">
        <f t="shared" si="207"/>
        <v>63</v>
      </c>
      <c r="BA444">
        <f t="shared" si="208"/>
        <v>56</v>
      </c>
      <c r="BB444">
        <f t="shared" si="209"/>
        <v>43</v>
      </c>
    </row>
    <row r="445" spans="1:54" x14ac:dyDescent="0.15">
      <c r="B445" t="s">
        <v>1618</v>
      </c>
      <c r="C445">
        <v>347</v>
      </c>
      <c r="D445">
        <v>0</v>
      </c>
      <c r="E445" t="s">
        <v>1619</v>
      </c>
      <c r="G445" t="s">
        <v>1619</v>
      </c>
      <c r="J445" t="s">
        <v>1620</v>
      </c>
      <c r="K445">
        <v>12.5</v>
      </c>
      <c r="L445">
        <v>0.7</v>
      </c>
      <c r="M445" t="s">
        <v>371</v>
      </c>
      <c r="N445" t="s">
        <v>90</v>
      </c>
      <c r="O445" t="s">
        <v>613</v>
      </c>
      <c r="P445" t="s">
        <v>346</v>
      </c>
      <c r="R445">
        <v>8</v>
      </c>
      <c r="S445">
        <v>45</v>
      </c>
      <c r="T445">
        <v>95</v>
      </c>
      <c r="U445">
        <v>50</v>
      </c>
      <c r="V445">
        <v>40</v>
      </c>
      <c r="W445">
        <v>50</v>
      </c>
      <c r="X445">
        <v>75</v>
      </c>
      <c r="Y445">
        <f t="shared" si="180"/>
        <v>152</v>
      </c>
      <c r="Z445">
        <f t="shared" si="181"/>
        <v>152</v>
      </c>
      <c r="AA445">
        <f t="shared" si="182"/>
        <v>120</v>
      </c>
      <c r="AB445">
        <f t="shared" si="183"/>
        <v>120</v>
      </c>
      <c r="AC445">
        <f t="shared" si="184"/>
        <v>105</v>
      </c>
      <c r="AD445">
        <f t="shared" si="185"/>
        <v>161</v>
      </c>
      <c r="AE445">
        <f t="shared" si="186"/>
        <v>147</v>
      </c>
      <c r="AF445">
        <f t="shared" si="187"/>
        <v>115</v>
      </c>
      <c r="AG445">
        <f t="shared" si="188"/>
        <v>103</v>
      </c>
      <c r="AH445">
        <f t="shared" si="189"/>
        <v>90</v>
      </c>
      <c r="AI445">
        <f t="shared" si="190"/>
        <v>112</v>
      </c>
      <c r="AJ445">
        <f t="shared" si="191"/>
        <v>102</v>
      </c>
      <c r="AK445">
        <f t="shared" si="192"/>
        <v>70</v>
      </c>
      <c r="AL445">
        <f t="shared" si="193"/>
        <v>63</v>
      </c>
      <c r="AM445">
        <f t="shared" si="194"/>
        <v>49</v>
      </c>
      <c r="AN445">
        <f t="shared" si="195"/>
        <v>101</v>
      </c>
      <c r="AO445">
        <f t="shared" si="196"/>
        <v>92</v>
      </c>
      <c r="AP445">
        <f t="shared" si="197"/>
        <v>60</v>
      </c>
      <c r="AQ445">
        <f t="shared" si="198"/>
        <v>54</v>
      </c>
      <c r="AR445">
        <f t="shared" si="199"/>
        <v>40</v>
      </c>
      <c r="AS445">
        <f t="shared" si="200"/>
        <v>112</v>
      </c>
      <c r="AT445">
        <f t="shared" si="201"/>
        <v>102</v>
      </c>
      <c r="AU445">
        <f t="shared" si="202"/>
        <v>70</v>
      </c>
      <c r="AV445">
        <f t="shared" si="203"/>
        <v>63</v>
      </c>
      <c r="AW445">
        <f t="shared" si="204"/>
        <v>49</v>
      </c>
      <c r="AX445">
        <f t="shared" si="205"/>
        <v>139</v>
      </c>
      <c r="AY445">
        <f t="shared" si="206"/>
        <v>127</v>
      </c>
      <c r="AZ445">
        <f t="shared" si="207"/>
        <v>95</v>
      </c>
      <c r="BA445">
        <f t="shared" si="208"/>
        <v>85</v>
      </c>
      <c r="BB445">
        <f t="shared" si="209"/>
        <v>72</v>
      </c>
    </row>
    <row r="446" spans="1:54" x14ac:dyDescent="0.15">
      <c r="B446" t="s">
        <v>1621</v>
      </c>
      <c r="C446">
        <v>348</v>
      </c>
      <c r="D446">
        <v>0</v>
      </c>
      <c r="E446" t="s">
        <v>1622</v>
      </c>
      <c r="G446" t="s">
        <v>1622</v>
      </c>
      <c r="J446" t="s">
        <v>1623</v>
      </c>
      <c r="K446">
        <v>68.2</v>
      </c>
      <c r="L446">
        <v>1.5</v>
      </c>
      <c r="M446" t="s">
        <v>371</v>
      </c>
      <c r="N446" t="s">
        <v>90</v>
      </c>
      <c r="O446" t="s">
        <v>613</v>
      </c>
      <c r="P446" t="s">
        <v>346</v>
      </c>
      <c r="R446">
        <v>8</v>
      </c>
      <c r="S446">
        <v>75</v>
      </c>
      <c r="T446">
        <v>125</v>
      </c>
      <c r="U446">
        <v>100</v>
      </c>
      <c r="V446">
        <v>70</v>
      </c>
      <c r="W446">
        <v>80</v>
      </c>
      <c r="X446">
        <v>45</v>
      </c>
      <c r="Y446">
        <f t="shared" si="180"/>
        <v>182</v>
      </c>
      <c r="Z446">
        <f t="shared" si="181"/>
        <v>182</v>
      </c>
      <c r="AA446">
        <f t="shared" si="182"/>
        <v>150</v>
      </c>
      <c r="AB446">
        <f t="shared" si="183"/>
        <v>150</v>
      </c>
      <c r="AC446">
        <f t="shared" si="184"/>
        <v>135</v>
      </c>
      <c r="AD446">
        <f t="shared" si="185"/>
        <v>194</v>
      </c>
      <c r="AE446">
        <f t="shared" si="186"/>
        <v>177</v>
      </c>
      <c r="AF446">
        <f t="shared" si="187"/>
        <v>145</v>
      </c>
      <c r="AG446">
        <f t="shared" si="188"/>
        <v>130</v>
      </c>
      <c r="AH446">
        <f t="shared" si="189"/>
        <v>117</v>
      </c>
      <c r="AI446">
        <f t="shared" si="190"/>
        <v>167</v>
      </c>
      <c r="AJ446">
        <f t="shared" si="191"/>
        <v>152</v>
      </c>
      <c r="AK446">
        <f t="shared" si="192"/>
        <v>120</v>
      </c>
      <c r="AL446">
        <f t="shared" si="193"/>
        <v>108</v>
      </c>
      <c r="AM446">
        <f t="shared" si="194"/>
        <v>94</v>
      </c>
      <c r="AN446">
        <f t="shared" si="195"/>
        <v>134</v>
      </c>
      <c r="AO446">
        <f t="shared" si="196"/>
        <v>122</v>
      </c>
      <c r="AP446">
        <f t="shared" si="197"/>
        <v>90</v>
      </c>
      <c r="AQ446">
        <f t="shared" si="198"/>
        <v>81</v>
      </c>
      <c r="AR446">
        <f t="shared" si="199"/>
        <v>67</v>
      </c>
      <c r="AS446">
        <f t="shared" si="200"/>
        <v>145</v>
      </c>
      <c r="AT446">
        <f t="shared" si="201"/>
        <v>132</v>
      </c>
      <c r="AU446">
        <f t="shared" si="202"/>
        <v>100</v>
      </c>
      <c r="AV446">
        <f t="shared" si="203"/>
        <v>90</v>
      </c>
      <c r="AW446">
        <f t="shared" si="204"/>
        <v>76</v>
      </c>
      <c r="AX446">
        <f t="shared" si="205"/>
        <v>106</v>
      </c>
      <c r="AY446">
        <f t="shared" si="206"/>
        <v>97</v>
      </c>
      <c r="AZ446">
        <f t="shared" si="207"/>
        <v>65</v>
      </c>
      <c r="BA446">
        <f t="shared" si="208"/>
        <v>58</v>
      </c>
      <c r="BB446">
        <f t="shared" si="209"/>
        <v>45</v>
      </c>
    </row>
    <row r="447" spans="1:54" x14ac:dyDescent="0.15">
      <c r="A447">
        <v>291</v>
      </c>
      <c r="B447" t="s">
        <v>1624</v>
      </c>
      <c r="C447">
        <v>349</v>
      </c>
      <c r="D447">
        <v>0</v>
      </c>
      <c r="E447" t="s">
        <v>1625</v>
      </c>
      <c r="G447" t="s">
        <v>1625</v>
      </c>
      <c r="H447" t="s">
        <v>1626</v>
      </c>
      <c r="J447" t="s">
        <v>735</v>
      </c>
      <c r="K447">
        <v>7.4</v>
      </c>
      <c r="L447">
        <v>0.6</v>
      </c>
      <c r="M447" t="s">
        <v>71</v>
      </c>
      <c r="O447" t="s">
        <v>346</v>
      </c>
      <c r="P447" t="s">
        <v>469</v>
      </c>
      <c r="Q447" t="s">
        <v>116</v>
      </c>
      <c r="R447">
        <v>9</v>
      </c>
      <c r="S447">
        <v>20</v>
      </c>
      <c r="T447">
        <v>15</v>
      </c>
      <c r="U447">
        <v>20</v>
      </c>
      <c r="V447">
        <v>10</v>
      </c>
      <c r="W447">
        <v>55</v>
      </c>
      <c r="X447">
        <v>80</v>
      </c>
      <c r="Y447">
        <f t="shared" si="180"/>
        <v>127</v>
      </c>
      <c r="Z447">
        <f t="shared" si="181"/>
        <v>127</v>
      </c>
      <c r="AA447">
        <f t="shared" si="182"/>
        <v>95</v>
      </c>
      <c r="AB447">
        <f t="shared" si="183"/>
        <v>95</v>
      </c>
      <c r="AC447">
        <f t="shared" si="184"/>
        <v>80</v>
      </c>
      <c r="AD447">
        <f t="shared" si="185"/>
        <v>73</v>
      </c>
      <c r="AE447">
        <f t="shared" si="186"/>
        <v>67</v>
      </c>
      <c r="AF447">
        <f t="shared" si="187"/>
        <v>35</v>
      </c>
      <c r="AG447">
        <f t="shared" si="188"/>
        <v>31</v>
      </c>
      <c r="AH447">
        <f t="shared" si="189"/>
        <v>18</v>
      </c>
      <c r="AI447">
        <f t="shared" si="190"/>
        <v>79</v>
      </c>
      <c r="AJ447">
        <f t="shared" si="191"/>
        <v>72</v>
      </c>
      <c r="AK447">
        <f t="shared" si="192"/>
        <v>40</v>
      </c>
      <c r="AL447">
        <f t="shared" si="193"/>
        <v>36</v>
      </c>
      <c r="AM447">
        <f t="shared" si="194"/>
        <v>22</v>
      </c>
      <c r="AN447">
        <f t="shared" si="195"/>
        <v>68</v>
      </c>
      <c r="AO447">
        <f t="shared" si="196"/>
        <v>62</v>
      </c>
      <c r="AP447">
        <f t="shared" si="197"/>
        <v>30</v>
      </c>
      <c r="AQ447">
        <f t="shared" si="198"/>
        <v>27</v>
      </c>
      <c r="AR447">
        <f t="shared" si="199"/>
        <v>13</v>
      </c>
      <c r="AS447">
        <f t="shared" si="200"/>
        <v>117</v>
      </c>
      <c r="AT447">
        <f t="shared" si="201"/>
        <v>107</v>
      </c>
      <c r="AU447">
        <f t="shared" si="202"/>
        <v>75</v>
      </c>
      <c r="AV447">
        <f t="shared" si="203"/>
        <v>67</v>
      </c>
      <c r="AW447">
        <f t="shared" si="204"/>
        <v>54</v>
      </c>
      <c r="AX447">
        <f t="shared" si="205"/>
        <v>145</v>
      </c>
      <c r="AY447">
        <f t="shared" si="206"/>
        <v>132</v>
      </c>
      <c r="AZ447">
        <f t="shared" si="207"/>
        <v>100</v>
      </c>
      <c r="BA447">
        <f t="shared" si="208"/>
        <v>90</v>
      </c>
      <c r="BB447">
        <f t="shared" si="209"/>
        <v>76</v>
      </c>
    </row>
    <row r="448" spans="1:54" x14ac:dyDescent="0.15">
      <c r="A448">
        <v>292</v>
      </c>
      <c r="B448" t="s">
        <v>1627</v>
      </c>
      <c r="C448">
        <v>350</v>
      </c>
      <c r="D448">
        <v>0</v>
      </c>
      <c r="E448" t="s">
        <v>1628</v>
      </c>
      <c r="G448" t="s">
        <v>1628</v>
      </c>
      <c r="H448" t="s">
        <v>1629</v>
      </c>
      <c r="J448" t="s">
        <v>1630</v>
      </c>
      <c r="K448">
        <v>162</v>
      </c>
      <c r="L448">
        <v>6.2</v>
      </c>
      <c r="M448" t="s">
        <v>71</v>
      </c>
      <c r="O448" t="s">
        <v>828</v>
      </c>
      <c r="P448" t="s">
        <v>260</v>
      </c>
      <c r="Q448" t="s">
        <v>234</v>
      </c>
      <c r="R448">
        <v>9</v>
      </c>
      <c r="S448">
        <v>95</v>
      </c>
      <c r="T448">
        <v>60</v>
      </c>
      <c r="U448">
        <v>79</v>
      </c>
      <c r="V448">
        <v>100</v>
      </c>
      <c r="W448">
        <v>125</v>
      </c>
      <c r="X448">
        <v>81</v>
      </c>
      <c r="Y448">
        <f t="shared" si="180"/>
        <v>202</v>
      </c>
      <c r="Z448">
        <f t="shared" si="181"/>
        <v>202</v>
      </c>
      <c r="AA448">
        <f t="shared" si="182"/>
        <v>170</v>
      </c>
      <c r="AB448">
        <f t="shared" si="183"/>
        <v>170</v>
      </c>
      <c r="AC448">
        <f t="shared" si="184"/>
        <v>155</v>
      </c>
      <c r="AD448">
        <f t="shared" si="185"/>
        <v>123</v>
      </c>
      <c r="AE448">
        <f t="shared" si="186"/>
        <v>112</v>
      </c>
      <c r="AF448">
        <f t="shared" si="187"/>
        <v>80</v>
      </c>
      <c r="AG448">
        <f t="shared" si="188"/>
        <v>72</v>
      </c>
      <c r="AH448">
        <f t="shared" si="189"/>
        <v>58</v>
      </c>
      <c r="AI448">
        <f t="shared" si="190"/>
        <v>144</v>
      </c>
      <c r="AJ448">
        <f t="shared" si="191"/>
        <v>131</v>
      </c>
      <c r="AK448">
        <f t="shared" si="192"/>
        <v>99</v>
      </c>
      <c r="AL448">
        <f t="shared" si="193"/>
        <v>89</v>
      </c>
      <c r="AM448">
        <f t="shared" si="194"/>
        <v>75</v>
      </c>
      <c r="AN448">
        <f t="shared" si="195"/>
        <v>167</v>
      </c>
      <c r="AO448">
        <f t="shared" si="196"/>
        <v>152</v>
      </c>
      <c r="AP448">
        <f t="shared" si="197"/>
        <v>120</v>
      </c>
      <c r="AQ448">
        <f t="shared" si="198"/>
        <v>108</v>
      </c>
      <c r="AR448">
        <f t="shared" si="199"/>
        <v>94</v>
      </c>
      <c r="AS448">
        <f t="shared" si="200"/>
        <v>194</v>
      </c>
      <c r="AT448">
        <f t="shared" si="201"/>
        <v>177</v>
      </c>
      <c r="AU448">
        <f t="shared" si="202"/>
        <v>145</v>
      </c>
      <c r="AV448">
        <f t="shared" si="203"/>
        <v>130</v>
      </c>
      <c r="AW448">
        <f t="shared" si="204"/>
        <v>117</v>
      </c>
      <c r="AX448">
        <f t="shared" si="205"/>
        <v>146</v>
      </c>
      <c r="AY448">
        <f t="shared" si="206"/>
        <v>133</v>
      </c>
      <c r="AZ448">
        <f t="shared" si="207"/>
        <v>101</v>
      </c>
      <c r="BA448">
        <f t="shared" si="208"/>
        <v>90</v>
      </c>
      <c r="BB448">
        <f t="shared" si="209"/>
        <v>77</v>
      </c>
    </row>
    <row r="449" spans="1:54" x14ac:dyDescent="0.15">
      <c r="B449" t="s">
        <v>1631</v>
      </c>
      <c r="C449">
        <v>351</v>
      </c>
      <c r="D449">
        <v>0</v>
      </c>
      <c r="E449" t="s">
        <v>1632</v>
      </c>
      <c r="F449" t="s">
        <v>1633</v>
      </c>
      <c r="G449" t="s">
        <v>1632</v>
      </c>
      <c r="J449" t="s">
        <v>1634</v>
      </c>
      <c r="K449">
        <v>0.8</v>
      </c>
      <c r="L449">
        <v>0.3</v>
      </c>
      <c r="M449" t="s">
        <v>120</v>
      </c>
      <c r="O449" t="s">
        <v>1635</v>
      </c>
      <c r="R449">
        <v>8</v>
      </c>
      <c r="S449">
        <v>70</v>
      </c>
      <c r="T449">
        <v>70</v>
      </c>
      <c r="U449">
        <v>70</v>
      </c>
      <c r="V449">
        <v>70</v>
      </c>
      <c r="W449">
        <v>70</v>
      </c>
      <c r="X449">
        <v>70</v>
      </c>
      <c r="Y449">
        <f t="shared" si="180"/>
        <v>177</v>
      </c>
      <c r="Z449">
        <f t="shared" si="181"/>
        <v>177</v>
      </c>
      <c r="AA449">
        <f t="shared" si="182"/>
        <v>145</v>
      </c>
      <c r="AB449">
        <f t="shared" si="183"/>
        <v>145</v>
      </c>
      <c r="AC449">
        <f t="shared" si="184"/>
        <v>130</v>
      </c>
      <c r="AD449">
        <f t="shared" si="185"/>
        <v>134</v>
      </c>
      <c r="AE449">
        <f t="shared" si="186"/>
        <v>122</v>
      </c>
      <c r="AF449">
        <f t="shared" si="187"/>
        <v>90</v>
      </c>
      <c r="AG449">
        <f t="shared" si="188"/>
        <v>81</v>
      </c>
      <c r="AH449">
        <f t="shared" si="189"/>
        <v>67</v>
      </c>
      <c r="AI449">
        <f t="shared" si="190"/>
        <v>134</v>
      </c>
      <c r="AJ449">
        <f t="shared" si="191"/>
        <v>122</v>
      </c>
      <c r="AK449">
        <f t="shared" si="192"/>
        <v>90</v>
      </c>
      <c r="AL449">
        <f t="shared" si="193"/>
        <v>81</v>
      </c>
      <c r="AM449">
        <f t="shared" si="194"/>
        <v>67</v>
      </c>
      <c r="AN449">
        <f t="shared" si="195"/>
        <v>134</v>
      </c>
      <c r="AO449">
        <f t="shared" si="196"/>
        <v>122</v>
      </c>
      <c r="AP449">
        <f t="shared" si="197"/>
        <v>90</v>
      </c>
      <c r="AQ449">
        <f t="shared" si="198"/>
        <v>81</v>
      </c>
      <c r="AR449">
        <f t="shared" si="199"/>
        <v>67</v>
      </c>
      <c r="AS449">
        <f t="shared" si="200"/>
        <v>134</v>
      </c>
      <c r="AT449">
        <f t="shared" si="201"/>
        <v>122</v>
      </c>
      <c r="AU449">
        <f t="shared" si="202"/>
        <v>90</v>
      </c>
      <c r="AV449">
        <f t="shared" si="203"/>
        <v>81</v>
      </c>
      <c r="AW449">
        <f t="shared" si="204"/>
        <v>67</v>
      </c>
      <c r="AX449">
        <f t="shared" si="205"/>
        <v>134</v>
      </c>
      <c r="AY449">
        <f t="shared" si="206"/>
        <v>122</v>
      </c>
      <c r="AZ449">
        <f t="shared" si="207"/>
        <v>90</v>
      </c>
      <c r="BA449">
        <f t="shared" si="208"/>
        <v>81</v>
      </c>
      <c r="BB449">
        <f t="shared" si="209"/>
        <v>67</v>
      </c>
    </row>
    <row r="450" spans="1:54" x14ac:dyDescent="0.15">
      <c r="B450" t="s">
        <v>1636</v>
      </c>
      <c r="C450">
        <v>352</v>
      </c>
      <c r="D450">
        <v>0</v>
      </c>
      <c r="E450" t="s">
        <v>1637</v>
      </c>
      <c r="G450" t="s">
        <v>1637</v>
      </c>
      <c r="J450" t="s">
        <v>1638</v>
      </c>
      <c r="K450">
        <v>22</v>
      </c>
      <c r="L450">
        <v>1</v>
      </c>
      <c r="M450" t="s">
        <v>120</v>
      </c>
      <c r="O450" t="s">
        <v>1639</v>
      </c>
      <c r="P450" t="s">
        <v>1640</v>
      </c>
      <c r="R450">
        <v>8</v>
      </c>
      <c r="S450">
        <v>60</v>
      </c>
      <c r="T450">
        <v>90</v>
      </c>
      <c r="U450">
        <v>70</v>
      </c>
      <c r="V450">
        <v>60</v>
      </c>
      <c r="W450">
        <v>120</v>
      </c>
      <c r="X450">
        <v>40</v>
      </c>
      <c r="Y450">
        <f t="shared" ref="Y450:Y513" si="210">IF(S450="", "", S450+107)</f>
        <v>167</v>
      </c>
      <c r="Z450">
        <f t="shared" ref="Z450:Z513" si="211">IF(S450="", "", S450+107)</f>
        <v>167</v>
      </c>
      <c r="AA450">
        <f t="shared" ref="AA450:AA513" si="212">IF(S450="", "", INT(INT(S450*2 + 31)/2) + 60)</f>
        <v>135</v>
      </c>
      <c r="AB450">
        <f t="shared" ref="AB450:AB513" si="213">IF(S450="", "", INT(INT(S450*2 + 31)/2) + 60)</f>
        <v>135</v>
      </c>
      <c r="AC450">
        <f t="shared" ref="AC450:AC513" si="214">IF(S450="", "", S450 + 60)</f>
        <v>120</v>
      </c>
      <c r="AD450">
        <f t="shared" ref="AD450:AD513" si="215">IF(T450="","",INT((T450+52)*1.1))</f>
        <v>156</v>
      </c>
      <c r="AE450">
        <f t="shared" ref="AE450:AE513" si="216">IF(T450="","",T450+52)</f>
        <v>142</v>
      </c>
      <c r="AF450">
        <f t="shared" ref="AF450:AF513" si="217">IF(T450="", "", INT((T450*2 + 31)/2) + 5)</f>
        <v>110</v>
      </c>
      <c r="AG450">
        <f t="shared" ref="AG450:AG513" si="218">IF(T450="", "", INT((INT((T450*2 + 31)/2) + 5)*0.9) )</f>
        <v>99</v>
      </c>
      <c r="AH450">
        <f t="shared" ref="AH450:AH513" si="219">IF(T450="", "", INT((T450 + 5) * 0.9))</f>
        <v>85</v>
      </c>
      <c r="AI450">
        <f t="shared" ref="AI450:AI513" si="220">IF(U450="","",INT((U450+52)*1.1))</f>
        <v>134</v>
      </c>
      <c r="AJ450">
        <f t="shared" ref="AJ450:AJ513" si="221">IF(U450="","",U450+52)</f>
        <v>122</v>
      </c>
      <c r="AK450">
        <f t="shared" ref="AK450:AK513" si="222">IF(U450="", "", INT((U450*2 + 31)/2) + 5)</f>
        <v>90</v>
      </c>
      <c r="AL450">
        <f t="shared" ref="AL450:AL513" si="223">IF(U450="", "", INT((INT((U450*2 + 31)/2) + 5)*0.9) )</f>
        <v>81</v>
      </c>
      <c r="AM450">
        <f t="shared" ref="AM450:AM513" si="224">IF(U450="", "", INT((U450 + 5) * 0.9))</f>
        <v>67</v>
      </c>
      <c r="AN450">
        <f t="shared" ref="AN450:AN513" si="225">IF(V450="","",INT((V450+52)*1.1))</f>
        <v>123</v>
      </c>
      <c r="AO450">
        <f t="shared" ref="AO450:AO513" si="226">IF(V450="","",V450+52)</f>
        <v>112</v>
      </c>
      <c r="AP450">
        <f t="shared" ref="AP450:AP513" si="227">IF(V450="", "", INT((V450*2 + 31)/2) + 5)</f>
        <v>80</v>
      </c>
      <c r="AQ450">
        <f t="shared" ref="AQ450:AQ513" si="228">IF(V450="", "", INT((INT((V450*2 + 31)/2) + 5)*0.9) )</f>
        <v>72</v>
      </c>
      <c r="AR450">
        <f t="shared" ref="AR450:AR513" si="229">IF(V450="", "", INT((V450 + 5) * 0.9))</f>
        <v>58</v>
      </c>
      <c r="AS450">
        <f t="shared" ref="AS450:AS513" si="230">IF(W450="","",INT((W450+52)*1.1))</f>
        <v>189</v>
      </c>
      <c r="AT450">
        <f t="shared" ref="AT450:AT513" si="231">IF(W450="","",W450+52)</f>
        <v>172</v>
      </c>
      <c r="AU450">
        <f t="shared" ref="AU450:AU513" si="232">IF(W450="", "", INT((W450*2 + 31)/2) + 5)</f>
        <v>140</v>
      </c>
      <c r="AV450">
        <f t="shared" ref="AV450:AV513" si="233">IF(W450="", "", INT((INT((W450*2 + 31)/2) + 5)*0.9) )</f>
        <v>126</v>
      </c>
      <c r="AW450">
        <f t="shared" ref="AW450:AW513" si="234">IF(W450="", "", INT((W450 + 5) * 0.9))</f>
        <v>112</v>
      </c>
      <c r="AX450">
        <f t="shared" ref="AX450:AX513" si="235">IF(X450="","",INT((X450+52)*1.1))</f>
        <v>101</v>
      </c>
      <c r="AY450">
        <f t="shared" ref="AY450:AY513" si="236">IF(X450="","",X450+52)</f>
        <v>92</v>
      </c>
      <c r="AZ450">
        <f t="shared" ref="AZ450:AZ513" si="237">IF(X450="", "", INT((X450*2 + 31)/2) + 5)</f>
        <v>60</v>
      </c>
      <c r="BA450">
        <f t="shared" ref="BA450:BA513" si="238">IF(X450="", "", INT((INT((X450*2 + 31)/2) + 5)*0.9) )</f>
        <v>54</v>
      </c>
      <c r="BB450">
        <f t="shared" ref="BB450:BB513" si="239">IF(X450="", "", INT((X450 + 5) * 0.9))</f>
        <v>40</v>
      </c>
    </row>
    <row r="451" spans="1:54" x14ac:dyDescent="0.15">
      <c r="A451">
        <v>293</v>
      </c>
      <c r="B451" t="s">
        <v>1641</v>
      </c>
      <c r="C451">
        <v>353</v>
      </c>
      <c r="D451">
        <v>0</v>
      </c>
      <c r="E451" t="s">
        <v>1642</v>
      </c>
      <c r="G451" t="s">
        <v>1642</v>
      </c>
      <c r="H451" t="s">
        <v>1643</v>
      </c>
      <c r="J451" t="s">
        <v>1644</v>
      </c>
      <c r="K451">
        <v>2.2999999999999998</v>
      </c>
      <c r="L451">
        <v>0.6</v>
      </c>
      <c r="M451" t="s">
        <v>546</v>
      </c>
      <c r="O451" t="s">
        <v>568</v>
      </c>
      <c r="P451" t="s">
        <v>264</v>
      </c>
      <c r="Q451" t="s">
        <v>554</v>
      </c>
      <c r="R451">
        <v>9</v>
      </c>
      <c r="S451">
        <v>44</v>
      </c>
      <c r="T451">
        <v>75</v>
      </c>
      <c r="U451">
        <v>35</v>
      </c>
      <c r="V451">
        <v>63</v>
      </c>
      <c r="W451">
        <v>33</v>
      </c>
      <c r="X451">
        <v>45</v>
      </c>
      <c r="Y451">
        <f t="shared" si="210"/>
        <v>151</v>
      </c>
      <c r="Z451">
        <f t="shared" si="211"/>
        <v>151</v>
      </c>
      <c r="AA451">
        <f t="shared" si="212"/>
        <v>119</v>
      </c>
      <c r="AB451">
        <f t="shared" si="213"/>
        <v>119</v>
      </c>
      <c r="AC451">
        <f t="shared" si="214"/>
        <v>104</v>
      </c>
      <c r="AD451">
        <f t="shared" si="215"/>
        <v>139</v>
      </c>
      <c r="AE451">
        <f t="shared" si="216"/>
        <v>127</v>
      </c>
      <c r="AF451">
        <f t="shared" si="217"/>
        <v>95</v>
      </c>
      <c r="AG451">
        <f t="shared" si="218"/>
        <v>85</v>
      </c>
      <c r="AH451">
        <f t="shared" si="219"/>
        <v>72</v>
      </c>
      <c r="AI451">
        <f t="shared" si="220"/>
        <v>95</v>
      </c>
      <c r="AJ451">
        <f t="shared" si="221"/>
        <v>87</v>
      </c>
      <c r="AK451">
        <f t="shared" si="222"/>
        <v>55</v>
      </c>
      <c r="AL451">
        <f t="shared" si="223"/>
        <v>49</v>
      </c>
      <c r="AM451">
        <f t="shared" si="224"/>
        <v>36</v>
      </c>
      <c r="AN451">
        <f t="shared" si="225"/>
        <v>126</v>
      </c>
      <c r="AO451">
        <f t="shared" si="226"/>
        <v>115</v>
      </c>
      <c r="AP451">
        <f t="shared" si="227"/>
        <v>83</v>
      </c>
      <c r="AQ451">
        <f t="shared" si="228"/>
        <v>74</v>
      </c>
      <c r="AR451">
        <f t="shared" si="229"/>
        <v>61</v>
      </c>
      <c r="AS451">
        <f t="shared" si="230"/>
        <v>93</v>
      </c>
      <c r="AT451">
        <f t="shared" si="231"/>
        <v>85</v>
      </c>
      <c r="AU451">
        <f t="shared" si="232"/>
        <v>53</v>
      </c>
      <c r="AV451">
        <f t="shared" si="233"/>
        <v>47</v>
      </c>
      <c r="AW451">
        <f t="shared" si="234"/>
        <v>34</v>
      </c>
      <c r="AX451">
        <f t="shared" si="235"/>
        <v>106</v>
      </c>
      <c r="AY451">
        <f t="shared" si="236"/>
        <v>97</v>
      </c>
      <c r="AZ451">
        <f t="shared" si="237"/>
        <v>65</v>
      </c>
      <c r="BA451">
        <f t="shared" si="238"/>
        <v>58</v>
      </c>
      <c r="BB451">
        <f t="shared" si="239"/>
        <v>45</v>
      </c>
    </row>
    <row r="452" spans="1:54" x14ac:dyDescent="0.15">
      <c r="A452">
        <v>294</v>
      </c>
      <c r="B452" t="s">
        <v>1645</v>
      </c>
      <c r="C452">
        <v>354</v>
      </c>
      <c r="D452">
        <v>0</v>
      </c>
      <c r="E452" t="s">
        <v>1646</v>
      </c>
      <c r="G452" t="s">
        <v>1646</v>
      </c>
      <c r="H452" t="s">
        <v>1647</v>
      </c>
      <c r="J452" t="s">
        <v>1648</v>
      </c>
      <c r="K452">
        <v>12.5</v>
      </c>
      <c r="L452">
        <v>1.1000000000000001</v>
      </c>
      <c r="M452" t="s">
        <v>546</v>
      </c>
      <c r="O452" t="s">
        <v>568</v>
      </c>
      <c r="P452" t="s">
        <v>264</v>
      </c>
      <c r="Q452" t="s">
        <v>554</v>
      </c>
      <c r="R452">
        <v>9</v>
      </c>
      <c r="S452">
        <v>64</v>
      </c>
      <c r="T452">
        <v>115</v>
      </c>
      <c r="U452">
        <v>65</v>
      </c>
      <c r="V452">
        <v>83</v>
      </c>
      <c r="W452">
        <v>63</v>
      </c>
      <c r="X452">
        <v>65</v>
      </c>
      <c r="Y452">
        <f t="shared" si="210"/>
        <v>171</v>
      </c>
      <c r="Z452">
        <f t="shared" si="211"/>
        <v>171</v>
      </c>
      <c r="AA452">
        <f t="shared" si="212"/>
        <v>139</v>
      </c>
      <c r="AB452">
        <f t="shared" si="213"/>
        <v>139</v>
      </c>
      <c r="AC452">
        <f t="shared" si="214"/>
        <v>124</v>
      </c>
      <c r="AD452">
        <f t="shared" si="215"/>
        <v>183</v>
      </c>
      <c r="AE452">
        <f t="shared" si="216"/>
        <v>167</v>
      </c>
      <c r="AF452">
        <f t="shared" si="217"/>
        <v>135</v>
      </c>
      <c r="AG452">
        <f t="shared" si="218"/>
        <v>121</v>
      </c>
      <c r="AH452">
        <f t="shared" si="219"/>
        <v>108</v>
      </c>
      <c r="AI452">
        <f t="shared" si="220"/>
        <v>128</v>
      </c>
      <c r="AJ452">
        <f t="shared" si="221"/>
        <v>117</v>
      </c>
      <c r="AK452">
        <f t="shared" si="222"/>
        <v>85</v>
      </c>
      <c r="AL452">
        <f t="shared" si="223"/>
        <v>76</v>
      </c>
      <c r="AM452">
        <f t="shared" si="224"/>
        <v>63</v>
      </c>
      <c r="AN452">
        <f t="shared" si="225"/>
        <v>148</v>
      </c>
      <c r="AO452">
        <f t="shared" si="226"/>
        <v>135</v>
      </c>
      <c r="AP452">
        <f t="shared" si="227"/>
        <v>103</v>
      </c>
      <c r="AQ452">
        <f t="shared" si="228"/>
        <v>92</v>
      </c>
      <c r="AR452">
        <f t="shared" si="229"/>
        <v>79</v>
      </c>
      <c r="AS452">
        <f t="shared" si="230"/>
        <v>126</v>
      </c>
      <c r="AT452">
        <f t="shared" si="231"/>
        <v>115</v>
      </c>
      <c r="AU452">
        <f t="shared" si="232"/>
        <v>83</v>
      </c>
      <c r="AV452">
        <f t="shared" si="233"/>
        <v>74</v>
      </c>
      <c r="AW452">
        <f t="shared" si="234"/>
        <v>61</v>
      </c>
      <c r="AX452">
        <f t="shared" si="235"/>
        <v>128</v>
      </c>
      <c r="AY452">
        <f t="shared" si="236"/>
        <v>117</v>
      </c>
      <c r="AZ452">
        <f t="shared" si="237"/>
        <v>85</v>
      </c>
      <c r="BA452">
        <f t="shared" si="238"/>
        <v>76</v>
      </c>
      <c r="BB452">
        <f t="shared" si="239"/>
        <v>63</v>
      </c>
    </row>
    <row r="453" spans="1:54" x14ac:dyDescent="0.15">
      <c r="B453" t="s">
        <v>1649</v>
      </c>
      <c r="C453">
        <v>354</v>
      </c>
      <c r="D453">
        <v>1</v>
      </c>
      <c r="E453" t="s">
        <v>1646</v>
      </c>
      <c r="F453" t="s">
        <v>1650</v>
      </c>
      <c r="G453" t="s">
        <v>1650</v>
      </c>
      <c r="J453" t="s">
        <v>1648</v>
      </c>
      <c r="K453">
        <v>13</v>
      </c>
      <c r="L453">
        <v>1.2</v>
      </c>
      <c r="M453" t="s">
        <v>546</v>
      </c>
      <c r="O453" t="s">
        <v>1027</v>
      </c>
      <c r="P453" t="s">
        <v>554</v>
      </c>
      <c r="R453">
        <v>7</v>
      </c>
      <c r="S453">
        <v>64</v>
      </c>
      <c r="T453">
        <v>115</v>
      </c>
      <c r="U453">
        <v>65</v>
      </c>
      <c r="V453">
        <v>83</v>
      </c>
      <c r="W453">
        <v>63</v>
      </c>
      <c r="X453">
        <v>65</v>
      </c>
      <c r="Y453">
        <f t="shared" si="210"/>
        <v>171</v>
      </c>
      <c r="Z453">
        <f t="shared" si="211"/>
        <v>171</v>
      </c>
      <c r="AA453">
        <f t="shared" si="212"/>
        <v>139</v>
      </c>
      <c r="AB453">
        <f t="shared" si="213"/>
        <v>139</v>
      </c>
      <c r="AC453">
        <f t="shared" si="214"/>
        <v>124</v>
      </c>
      <c r="AD453">
        <f t="shared" si="215"/>
        <v>183</v>
      </c>
      <c r="AE453">
        <f t="shared" si="216"/>
        <v>167</v>
      </c>
      <c r="AF453">
        <f t="shared" si="217"/>
        <v>135</v>
      </c>
      <c r="AG453">
        <f t="shared" si="218"/>
        <v>121</v>
      </c>
      <c r="AH453">
        <f t="shared" si="219"/>
        <v>108</v>
      </c>
      <c r="AI453">
        <f t="shared" si="220"/>
        <v>128</v>
      </c>
      <c r="AJ453">
        <f t="shared" si="221"/>
        <v>117</v>
      </c>
      <c r="AK453">
        <f t="shared" si="222"/>
        <v>85</v>
      </c>
      <c r="AL453">
        <f t="shared" si="223"/>
        <v>76</v>
      </c>
      <c r="AM453">
        <f t="shared" si="224"/>
        <v>63</v>
      </c>
      <c r="AN453">
        <f t="shared" si="225"/>
        <v>148</v>
      </c>
      <c r="AO453">
        <f t="shared" si="226"/>
        <v>135</v>
      </c>
      <c r="AP453">
        <f t="shared" si="227"/>
        <v>103</v>
      </c>
      <c r="AQ453">
        <f t="shared" si="228"/>
        <v>92</v>
      </c>
      <c r="AR453">
        <f t="shared" si="229"/>
        <v>79</v>
      </c>
      <c r="AS453">
        <f t="shared" si="230"/>
        <v>126</v>
      </c>
      <c r="AT453">
        <f t="shared" si="231"/>
        <v>115</v>
      </c>
      <c r="AU453">
        <f t="shared" si="232"/>
        <v>83</v>
      </c>
      <c r="AV453">
        <f t="shared" si="233"/>
        <v>74</v>
      </c>
      <c r="AW453">
        <f t="shared" si="234"/>
        <v>61</v>
      </c>
      <c r="AX453">
        <f t="shared" si="235"/>
        <v>128</v>
      </c>
      <c r="AY453">
        <f t="shared" si="236"/>
        <v>117</v>
      </c>
      <c r="AZ453">
        <f t="shared" si="237"/>
        <v>85</v>
      </c>
      <c r="BA453">
        <f t="shared" si="238"/>
        <v>76</v>
      </c>
      <c r="BB453">
        <f t="shared" si="239"/>
        <v>63</v>
      </c>
    </row>
    <row r="454" spans="1:54" x14ac:dyDescent="0.15">
      <c r="A454">
        <v>295</v>
      </c>
      <c r="B454" t="s">
        <v>1651</v>
      </c>
      <c r="C454">
        <v>355</v>
      </c>
      <c r="D454">
        <v>0</v>
      </c>
      <c r="E454" t="s">
        <v>1652</v>
      </c>
      <c r="G454" t="s">
        <v>1652</v>
      </c>
      <c r="H454" t="s">
        <v>1653</v>
      </c>
      <c r="J454" t="s">
        <v>1654</v>
      </c>
      <c r="K454">
        <v>15</v>
      </c>
      <c r="L454">
        <v>0.8</v>
      </c>
      <c r="M454" t="s">
        <v>546</v>
      </c>
      <c r="O454" t="s">
        <v>547</v>
      </c>
      <c r="P454" t="s">
        <v>264</v>
      </c>
      <c r="R454">
        <v>9</v>
      </c>
      <c r="S454">
        <v>20</v>
      </c>
      <c r="T454">
        <v>40</v>
      </c>
      <c r="U454">
        <v>90</v>
      </c>
      <c r="V454">
        <v>30</v>
      </c>
      <c r="W454">
        <v>90</v>
      </c>
      <c r="X454">
        <v>25</v>
      </c>
      <c r="Y454">
        <f t="shared" si="210"/>
        <v>127</v>
      </c>
      <c r="Z454">
        <f t="shared" si="211"/>
        <v>127</v>
      </c>
      <c r="AA454">
        <f t="shared" si="212"/>
        <v>95</v>
      </c>
      <c r="AB454">
        <f t="shared" si="213"/>
        <v>95</v>
      </c>
      <c r="AC454">
        <f t="shared" si="214"/>
        <v>80</v>
      </c>
      <c r="AD454">
        <f t="shared" si="215"/>
        <v>101</v>
      </c>
      <c r="AE454">
        <f t="shared" si="216"/>
        <v>92</v>
      </c>
      <c r="AF454">
        <f t="shared" si="217"/>
        <v>60</v>
      </c>
      <c r="AG454">
        <f t="shared" si="218"/>
        <v>54</v>
      </c>
      <c r="AH454">
        <f t="shared" si="219"/>
        <v>40</v>
      </c>
      <c r="AI454">
        <f t="shared" si="220"/>
        <v>156</v>
      </c>
      <c r="AJ454">
        <f t="shared" si="221"/>
        <v>142</v>
      </c>
      <c r="AK454">
        <f t="shared" si="222"/>
        <v>110</v>
      </c>
      <c r="AL454">
        <f t="shared" si="223"/>
        <v>99</v>
      </c>
      <c r="AM454">
        <f t="shared" si="224"/>
        <v>85</v>
      </c>
      <c r="AN454">
        <f t="shared" si="225"/>
        <v>90</v>
      </c>
      <c r="AO454">
        <f t="shared" si="226"/>
        <v>82</v>
      </c>
      <c r="AP454">
        <f t="shared" si="227"/>
        <v>50</v>
      </c>
      <c r="AQ454">
        <f t="shared" si="228"/>
        <v>45</v>
      </c>
      <c r="AR454">
        <f t="shared" si="229"/>
        <v>31</v>
      </c>
      <c r="AS454">
        <f t="shared" si="230"/>
        <v>156</v>
      </c>
      <c r="AT454">
        <f t="shared" si="231"/>
        <v>142</v>
      </c>
      <c r="AU454">
        <f t="shared" si="232"/>
        <v>110</v>
      </c>
      <c r="AV454">
        <f t="shared" si="233"/>
        <v>99</v>
      </c>
      <c r="AW454">
        <f t="shared" si="234"/>
        <v>85</v>
      </c>
      <c r="AX454">
        <f t="shared" si="235"/>
        <v>84</v>
      </c>
      <c r="AY454">
        <f t="shared" si="236"/>
        <v>77</v>
      </c>
      <c r="AZ454">
        <f t="shared" si="237"/>
        <v>45</v>
      </c>
      <c r="BA454">
        <f t="shared" si="238"/>
        <v>40</v>
      </c>
      <c r="BB454">
        <f t="shared" si="239"/>
        <v>27</v>
      </c>
    </row>
    <row r="455" spans="1:54" x14ac:dyDescent="0.15">
      <c r="A455">
        <v>296</v>
      </c>
      <c r="B455" t="s">
        <v>1655</v>
      </c>
      <c r="C455">
        <v>356</v>
      </c>
      <c r="D455">
        <v>0</v>
      </c>
      <c r="E455" t="s">
        <v>1656</v>
      </c>
      <c r="G455" t="s">
        <v>1656</v>
      </c>
      <c r="H455" t="s">
        <v>1657</v>
      </c>
      <c r="J455" t="s">
        <v>1658</v>
      </c>
      <c r="K455">
        <v>30.6</v>
      </c>
      <c r="L455">
        <v>1.6</v>
      </c>
      <c r="M455" t="s">
        <v>546</v>
      </c>
      <c r="O455" t="s">
        <v>792</v>
      </c>
      <c r="P455" t="s">
        <v>264</v>
      </c>
      <c r="R455">
        <v>9</v>
      </c>
      <c r="S455">
        <v>40</v>
      </c>
      <c r="T455">
        <v>70</v>
      </c>
      <c r="U455">
        <v>130</v>
      </c>
      <c r="V455">
        <v>60</v>
      </c>
      <c r="W455">
        <v>130</v>
      </c>
      <c r="X455">
        <v>25</v>
      </c>
      <c r="Y455">
        <f t="shared" si="210"/>
        <v>147</v>
      </c>
      <c r="Z455">
        <f t="shared" si="211"/>
        <v>147</v>
      </c>
      <c r="AA455">
        <f t="shared" si="212"/>
        <v>115</v>
      </c>
      <c r="AB455">
        <f t="shared" si="213"/>
        <v>115</v>
      </c>
      <c r="AC455">
        <f t="shared" si="214"/>
        <v>100</v>
      </c>
      <c r="AD455">
        <f t="shared" si="215"/>
        <v>134</v>
      </c>
      <c r="AE455">
        <f t="shared" si="216"/>
        <v>122</v>
      </c>
      <c r="AF455">
        <f t="shared" si="217"/>
        <v>90</v>
      </c>
      <c r="AG455">
        <f t="shared" si="218"/>
        <v>81</v>
      </c>
      <c r="AH455">
        <f t="shared" si="219"/>
        <v>67</v>
      </c>
      <c r="AI455">
        <f t="shared" si="220"/>
        <v>200</v>
      </c>
      <c r="AJ455">
        <f t="shared" si="221"/>
        <v>182</v>
      </c>
      <c r="AK455">
        <f t="shared" si="222"/>
        <v>150</v>
      </c>
      <c r="AL455">
        <f t="shared" si="223"/>
        <v>135</v>
      </c>
      <c r="AM455">
        <f t="shared" si="224"/>
        <v>121</v>
      </c>
      <c r="AN455">
        <f t="shared" si="225"/>
        <v>123</v>
      </c>
      <c r="AO455">
        <f t="shared" si="226"/>
        <v>112</v>
      </c>
      <c r="AP455">
        <f t="shared" si="227"/>
        <v>80</v>
      </c>
      <c r="AQ455">
        <f t="shared" si="228"/>
        <v>72</v>
      </c>
      <c r="AR455">
        <f t="shared" si="229"/>
        <v>58</v>
      </c>
      <c r="AS455">
        <f t="shared" si="230"/>
        <v>200</v>
      </c>
      <c r="AT455">
        <f t="shared" si="231"/>
        <v>182</v>
      </c>
      <c r="AU455">
        <f t="shared" si="232"/>
        <v>150</v>
      </c>
      <c r="AV455">
        <f t="shared" si="233"/>
        <v>135</v>
      </c>
      <c r="AW455">
        <f t="shared" si="234"/>
        <v>121</v>
      </c>
      <c r="AX455">
        <f t="shared" si="235"/>
        <v>84</v>
      </c>
      <c r="AY455">
        <f t="shared" si="236"/>
        <v>77</v>
      </c>
      <c r="AZ455">
        <f t="shared" si="237"/>
        <v>45</v>
      </c>
      <c r="BA455">
        <f t="shared" si="238"/>
        <v>40</v>
      </c>
      <c r="BB455">
        <f t="shared" si="239"/>
        <v>27</v>
      </c>
    </row>
    <row r="456" spans="1:54" x14ac:dyDescent="0.15">
      <c r="A456">
        <v>297</v>
      </c>
      <c r="B456" t="s">
        <v>1659</v>
      </c>
      <c r="C456">
        <v>357</v>
      </c>
      <c r="D456">
        <v>0</v>
      </c>
      <c r="E456" t="s">
        <v>1660</v>
      </c>
      <c r="G456" t="s">
        <v>1660</v>
      </c>
      <c r="H456" t="s">
        <v>1661</v>
      </c>
      <c r="J456" t="s">
        <v>1662</v>
      </c>
      <c r="K456">
        <v>100</v>
      </c>
      <c r="L456">
        <v>2</v>
      </c>
      <c r="M456" t="s">
        <v>26</v>
      </c>
      <c r="N456" t="s">
        <v>57</v>
      </c>
      <c r="O456" t="s">
        <v>29</v>
      </c>
      <c r="P456" t="s">
        <v>49</v>
      </c>
      <c r="Q456" t="s">
        <v>602</v>
      </c>
      <c r="R456">
        <v>9</v>
      </c>
      <c r="S456">
        <v>99</v>
      </c>
      <c r="T456">
        <v>68</v>
      </c>
      <c r="U456">
        <v>83</v>
      </c>
      <c r="V456">
        <v>72</v>
      </c>
      <c r="W456">
        <v>87</v>
      </c>
      <c r="X456">
        <v>51</v>
      </c>
      <c r="Y456">
        <f t="shared" si="210"/>
        <v>206</v>
      </c>
      <c r="Z456">
        <f t="shared" si="211"/>
        <v>206</v>
      </c>
      <c r="AA456">
        <f t="shared" si="212"/>
        <v>174</v>
      </c>
      <c r="AB456">
        <f t="shared" si="213"/>
        <v>174</v>
      </c>
      <c r="AC456">
        <f t="shared" si="214"/>
        <v>159</v>
      </c>
      <c r="AD456">
        <f t="shared" si="215"/>
        <v>132</v>
      </c>
      <c r="AE456">
        <f t="shared" si="216"/>
        <v>120</v>
      </c>
      <c r="AF456">
        <f t="shared" si="217"/>
        <v>88</v>
      </c>
      <c r="AG456">
        <f t="shared" si="218"/>
        <v>79</v>
      </c>
      <c r="AH456">
        <f t="shared" si="219"/>
        <v>65</v>
      </c>
      <c r="AI456">
        <f t="shared" si="220"/>
        <v>148</v>
      </c>
      <c r="AJ456">
        <f t="shared" si="221"/>
        <v>135</v>
      </c>
      <c r="AK456">
        <f t="shared" si="222"/>
        <v>103</v>
      </c>
      <c r="AL456">
        <f t="shared" si="223"/>
        <v>92</v>
      </c>
      <c r="AM456">
        <f t="shared" si="224"/>
        <v>79</v>
      </c>
      <c r="AN456">
        <f t="shared" si="225"/>
        <v>136</v>
      </c>
      <c r="AO456">
        <f t="shared" si="226"/>
        <v>124</v>
      </c>
      <c r="AP456">
        <f t="shared" si="227"/>
        <v>92</v>
      </c>
      <c r="AQ456">
        <f t="shared" si="228"/>
        <v>82</v>
      </c>
      <c r="AR456">
        <f t="shared" si="229"/>
        <v>69</v>
      </c>
      <c r="AS456">
        <f t="shared" si="230"/>
        <v>152</v>
      </c>
      <c r="AT456">
        <f t="shared" si="231"/>
        <v>139</v>
      </c>
      <c r="AU456">
        <f t="shared" si="232"/>
        <v>107</v>
      </c>
      <c r="AV456">
        <f t="shared" si="233"/>
        <v>96</v>
      </c>
      <c r="AW456">
        <f t="shared" si="234"/>
        <v>82</v>
      </c>
      <c r="AX456">
        <f t="shared" si="235"/>
        <v>113</v>
      </c>
      <c r="AY456">
        <f t="shared" si="236"/>
        <v>103</v>
      </c>
      <c r="AZ456">
        <f t="shared" si="237"/>
        <v>71</v>
      </c>
      <c r="BA456">
        <f t="shared" si="238"/>
        <v>63</v>
      </c>
      <c r="BB456">
        <f t="shared" si="239"/>
        <v>50</v>
      </c>
    </row>
    <row r="457" spans="1:54" x14ac:dyDescent="0.15">
      <c r="A457">
        <v>298</v>
      </c>
      <c r="B457" t="s">
        <v>1663</v>
      </c>
      <c r="C457">
        <v>358</v>
      </c>
      <c r="D457">
        <v>0</v>
      </c>
      <c r="E457" t="s">
        <v>1664</v>
      </c>
      <c r="G457" t="s">
        <v>1664</v>
      </c>
      <c r="H457" t="s">
        <v>1665</v>
      </c>
      <c r="J457" t="s">
        <v>1666</v>
      </c>
      <c r="K457">
        <v>1</v>
      </c>
      <c r="L457">
        <v>0.6</v>
      </c>
      <c r="M457" t="s">
        <v>191</v>
      </c>
      <c r="O457" t="s">
        <v>547</v>
      </c>
      <c r="R457">
        <v>9</v>
      </c>
      <c r="S457">
        <v>75</v>
      </c>
      <c r="T457">
        <v>50</v>
      </c>
      <c r="U457">
        <v>80</v>
      </c>
      <c r="V457">
        <v>95</v>
      </c>
      <c r="W457">
        <v>90</v>
      </c>
      <c r="X457">
        <v>65</v>
      </c>
      <c r="Y457">
        <f t="shared" si="210"/>
        <v>182</v>
      </c>
      <c r="Z457">
        <f t="shared" si="211"/>
        <v>182</v>
      </c>
      <c r="AA457">
        <f t="shared" si="212"/>
        <v>150</v>
      </c>
      <c r="AB457">
        <f t="shared" si="213"/>
        <v>150</v>
      </c>
      <c r="AC457">
        <f t="shared" si="214"/>
        <v>135</v>
      </c>
      <c r="AD457">
        <f t="shared" si="215"/>
        <v>112</v>
      </c>
      <c r="AE457">
        <f t="shared" si="216"/>
        <v>102</v>
      </c>
      <c r="AF457">
        <f t="shared" si="217"/>
        <v>70</v>
      </c>
      <c r="AG457">
        <f t="shared" si="218"/>
        <v>63</v>
      </c>
      <c r="AH457">
        <f t="shared" si="219"/>
        <v>49</v>
      </c>
      <c r="AI457">
        <f t="shared" si="220"/>
        <v>145</v>
      </c>
      <c r="AJ457">
        <f t="shared" si="221"/>
        <v>132</v>
      </c>
      <c r="AK457">
        <f t="shared" si="222"/>
        <v>100</v>
      </c>
      <c r="AL457">
        <f t="shared" si="223"/>
        <v>90</v>
      </c>
      <c r="AM457">
        <f t="shared" si="224"/>
        <v>76</v>
      </c>
      <c r="AN457">
        <f t="shared" si="225"/>
        <v>161</v>
      </c>
      <c r="AO457">
        <f t="shared" si="226"/>
        <v>147</v>
      </c>
      <c r="AP457">
        <f t="shared" si="227"/>
        <v>115</v>
      </c>
      <c r="AQ457">
        <f t="shared" si="228"/>
        <v>103</v>
      </c>
      <c r="AR457">
        <f t="shared" si="229"/>
        <v>90</v>
      </c>
      <c r="AS457">
        <f t="shared" si="230"/>
        <v>156</v>
      </c>
      <c r="AT457">
        <f t="shared" si="231"/>
        <v>142</v>
      </c>
      <c r="AU457">
        <f t="shared" si="232"/>
        <v>110</v>
      </c>
      <c r="AV457">
        <f t="shared" si="233"/>
        <v>99</v>
      </c>
      <c r="AW457">
        <f t="shared" si="234"/>
        <v>85</v>
      </c>
      <c r="AX457">
        <f t="shared" si="235"/>
        <v>128</v>
      </c>
      <c r="AY457">
        <f t="shared" si="236"/>
        <v>117</v>
      </c>
      <c r="AZ457">
        <f t="shared" si="237"/>
        <v>85</v>
      </c>
      <c r="BA457">
        <f t="shared" si="238"/>
        <v>76</v>
      </c>
      <c r="BB457">
        <f t="shared" si="239"/>
        <v>63</v>
      </c>
    </row>
    <row r="458" spans="1:54" x14ac:dyDescent="0.15">
      <c r="B458" t="s">
        <v>1667</v>
      </c>
      <c r="C458">
        <v>359</v>
      </c>
      <c r="D458">
        <v>0</v>
      </c>
      <c r="E458" t="s">
        <v>1668</v>
      </c>
      <c r="G458" t="s">
        <v>1668</v>
      </c>
      <c r="J458" t="s">
        <v>1669</v>
      </c>
      <c r="K458">
        <v>47</v>
      </c>
      <c r="L458">
        <v>1.2</v>
      </c>
      <c r="M458" t="s">
        <v>140</v>
      </c>
      <c r="O458" t="s">
        <v>792</v>
      </c>
      <c r="P458" t="s">
        <v>934</v>
      </c>
      <c r="Q458" t="s">
        <v>365</v>
      </c>
      <c r="R458">
        <v>8</v>
      </c>
      <c r="S458">
        <v>65</v>
      </c>
      <c r="T458">
        <v>130</v>
      </c>
      <c r="U458">
        <v>60</v>
      </c>
      <c r="V458">
        <v>75</v>
      </c>
      <c r="W458">
        <v>60</v>
      </c>
      <c r="X458">
        <v>75</v>
      </c>
      <c r="Y458">
        <f t="shared" si="210"/>
        <v>172</v>
      </c>
      <c r="Z458">
        <f t="shared" si="211"/>
        <v>172</v>
      </c>
      <c r="AA458">
        <f t="shared" si="212"/>
        <v>140</v>
      </c>
      <c r="AB458">
        <f t="shared" si="213"/>
        <v>140</v>
      </c>
      <c r="AC458">
        <f t="shared" si="214"/>
        <v>125</v>
      </c>
      <c r="AD458">
        <f t="shared" si="215"/>
        <v>200</v>
      </c>
      <c r="AE458">
        <f t="shared" si="216"/>
        <v>182</v>
      </c>
      <c r="AF458">
        <f t="shared" si="217"/>
        <v>150</v>
      </c>
      <c r="AG458">
        <f t="shared" si="218"/>
        <v>135</v>
      </c>
      <c r="AH458">
        <f t="shared" si="219"/>
        <v>121</v>
      </c>
      <c r="AI458">
        <f t="shared" si="220"/>
        <v>123</v>
      </c>
      <c r="AJ458">
        <f t="shared" si="221"/>
        <v>112</v>
      </c>
      <c r="AK458">
        <f t="shared" si="222"/>
        <v>80</v>
      </c>
      <c r="AL458">
        <f t="shared" si="223"/>
        <v>72</v>
      </c>
      <c r="AM458">
        <f t="shared" si="224"/>
        <v>58</v>
      </c>
      <c r="AN458">
        <f t="shared" si="225"/>
        <v>139</v>
      </c>
      <c r="AO458">
        <f t="shared" si="226"/>
        <v>127</v>
      </c>
      <c r="AP458">
        <f t="shared" si="227"/>
        <v>95</v>
      </c>
      <c r="AQ458">
        <f t="shared" si="228"/>
        <v>85</v>
      </c>
      <c r="AR458">
        <f t="shared" si="229"/>
        <v>72</v>
      </c>
      <c r="AS458">
        <f t="shared" si="230"/>
        <v>123</v>
      </c>
      <c r="AT458">
        <f t="shared" si="231"/>
        <v>112</v>
      </c>
      <c r="AU458">
        <f t="shared" si="232"/>
        <v>80</v>
      </c>
      <c r="AV458">
        <f t="shared" si="233"/>
        <v>72</v>
      </c>
      <c r="AW458">
        <f t="shared" si="234"/>
        <v>58</v>
      </c>
      <c r="AX458">
        <f t="shared" si="235"/>
        <v>139</v>
      </c>
      <c r="AY458">
        <f t="shared" si="236"/>
        <v>127</v>
      </c>
      <c r="AZ458">
        <f t="shared" si="237"/>
        <v>95</v>
      </c>
      <c r="BA458">
        <f t="shared" si="238"/>
        <v>85</v>
      </c>
      <c r="BB458">
        <f t="shared" si="239"/>
        <v>72</v>
      </c>
    </row>
    <row r="459" spans="1:54" x14ac:dyDescent="0.15">
      <c r="B459" t="s">
        <v>1670</v>
      </c>
      <c r="C459">
        <v>359</v>
      </c>
      <c r="D459">
        <v>1</v>
      </c>
      <c r="E459" t="s">
        <v>1668</v>
      </c>
      <c r="F459" t="s">
        <v>1671</v>
      </c>
      <c r="G459" t="s">
        <v>1671</v>
      </c>
      <c r="J459" t="s">
        <v>1669</v>
      </c>
      <c r="K459">
        <v>49</v>
      </c>
      <c r="L459">
        <v>1.2</v>
      </c>
      <c r="M459" t="s">
        <v>140</v>
      </c>
      <c r="O459" t="s">
        <v>940</v>
      </c>
      <c r="P459" t="s">
        <v>365</v>
      </c>
      <c r="R459">
        <v>7</v>
      </c>
      <c r="S459">
        <v>65</v>
      </c>
      <c r="T459">
        <v>130</v>
      </c>
      <c r="U459">
        <v>60</v>
      </c>
      <c r="V459">
        <v>75</v>
      </c>
      <c r="W459">
        <v>60</v>
      </c>
      <c r="X459">
        <v>75</v>
      </c>
      <c r="Y459">
        <f t="shared" si="210"/>
        <v>172</v>
      </c>
      <c r="Z459">
        <f t="shared" si="211"/>
        <v>172</v>
      </c>
      <c r="AA459">
        <f t="shared" si="212"/>
        <v>140</v>
      </c>
      <c r="AB459">
        <f t="shared" si="213"/>
        <v>140</v>
      </c>
      <c r="AC459">
        <f t="shared" si="214"/>
        <v>125</v>
      </c>
      <c r="AD459">
        <f t="shared" si="215"/>
        <v>200</v>
      </c>
      <c r="AE459">
        <f t="shared" si="216"/>
        <v>182</v>
      </c>
      <c r="AF459">
        <f t="shared" si="217"/>
        <v>150</v>
      </c>
      <c r="AG459">
        <f t="shared" si="218"/>
        <v>135</v>
      </c>
      <c r="AH459">
        <f t="shared" si="219"/>
        <v>121</v>
      </c>
      <c r="AI459">
        <f t="shared" si="220"/>
        <v>123</v>
      </c>
      <c r="AJ459">
        <f t="shared" si="221"/>
        <v>112</v>
      </c>
      <c r="AK459">
        <f t="shared" si="222"/>
        <v>80</v>
      </c>
      <c r="AL459">
        <f t="shared" si="223"/>
        <v>72</v>
      </c>
      <c r="AM459">
        <f t="shared" si="224"/>
        <v>58</v>
      </c>
      <c r="AN459">
        <f t="shared" si="225"/>
        <v>139</v>
      </c>
      <c r="AO459">
        <f t="shared" si="226"/>
        <v>127</v>
      </c>
      <c r="AP459">
        <f t="shared" si="227"/>
        <v>95</v>
      </c>
      <c r="AQ459">
        <f t="shared" si="228"/>
        <v>85</v>
      </c>
      <c r="AR459">
        <f t="shared" si="229"/>
        <v>72</v>
      </c>
      <c r="AS459">
        <f t="shared" si="230"/>
        <v>123</v>
      </c>
      <c r="AT459">
        <f t="shared" si="231"/>
        <v>112</v>
      </c>
      <c r="AU459">
        <f t="shared" si="232"/>
        <v>80</v>
      </c>
      <c r="AV459">
        <f t="shared" si="233"/>
        <v>72</v>
      </c>
      <c r="AW459">
        <f t="shared" si="234"/>
        <v>58</v>
      </c>
      <c r="AX459">
        <f t="shared" si="235"/>
        <v>139</v>
      </c>
      <c r="AY459">
        <f t="shared" si="236"/>
        <v>127</v>
      </c>
      <c r="AZ459">
        <f t="shared" si="237"/>
        <v>95</v>
      </c>
      <c r="BA459">
        <f t="shared" si="238"/>
        <v>85</v>
      </c>
      <c r="BB459">
        <f t="shared" si="239"/>
        <v>72</v>
      </c>
    </row>
    <row r="460" spans="1:54" x14ac:dyDescent="0.15">
      <c r="B460" t="s">
        <v>1672</v>
      </c>
      <c r="C460">
        <v>360</v>
      </c>
      <c r="D460">
        <v>0</v>
      </c>
      <c r="E460" t="s">
        <v>1673</v>
      </c>
      <c r="G460" t="s">
        <v>1673</v>
      </c>
      <c r="J460" t="s">
        <v>1674</v>
      </c>
      <c r="K460">
        <v>14</v>
      </c>
      <c r="L460">
        <v>0.6</v>
      </c>
      <c r="M460" t="s">
        <v>191</v>
      </c>
      <c r="O460" t="s">
        <v>557</v>
      </c>
      <c r="P460" t="s">
        <v>1048</v>
      </c>
      <c r="R460">
        <v>8</v>
      </c>
      <c r="S460">
        <v>95</v>
      </c>
      <c r="T460">
        <v>23</v>
      </c>
      <c r="U460">
        <v>48</v>
      </c>
      <c r="V460">
        <v>23</v>
      </c>
      <c r="W460">
        <v>48</v>
      </c>
      <c r="X460">
        <v>23</v>
      </c>
      <c r="Y460">
        <f t="shared" si="210"/>
        <v>202</v>
      </c>
      <c r="Z460">
        <f t="shared" si="211"/>
        <v>202</v>
      </c>
      <c r="AA460">
        <f t="shared" si="212"/>
        <v>170</v>
      </c>
      <c r="AB460">
        <f t="shared" si="213"/>
        <v>170</v>
      </c>
      <c r="AC460">
        <f t="shared" si="214"/>
        <v>155</v>
      </c>
      <c r="AD460">
        <f t="shared" si="215"/>
        <v>82</v>
      </c>
      <c r="AE460">
        <f t="shared" si="216"/>
        <v>75</v>
      </c>
      <c r="AF460">
        <f t="shared" si="217"/>
        <v>43</v>
      </c>
      <c r="AG460">
        <f t="shared" si="218"/>
        <v>38</v>
      </c>
      <c r="AH460">
        <f t="shared" si="219"/>
        <v>25</v>
      </c>
      <c r="AI460">
        <f t="shared" si="220"/>
        <v>110</v>
      </c>
      <c r="AJ460">
        <f t="shared" si="221"/>
        <v>100</v>
      </c>
      <c r="AK460">
        <f t="shared" si="222"/>
        <v>68</v>
      </c>
      <c r="AL460">
        <f t="shared" si="223"/>
        <v>61</v>
      </c>
      <c r="AM460">
        <f t="shared" si="224"/>
        <v>47</v>
      </c>
      <c r="AN460">
        <f t="shared" si="225"/>
        <v>82</v>
      </c>
      <c r="AO460">
        <f t="shared" si="226"/>
        <v>75</v>
      </c>
      <c r="AP460">
        <f t="shared" si="227"/>
        <v>43</v>
      </c>
      <c r="AQ460">
        <f t="shared" si="228"/>
        <v>38</v>
      </c>
      <c r="AR460">
        <f t="shared" si="229"/>
        <v>25</v>
      </c>
      <c r="AS460">
        <f t="shared" si="230"/>
        <v>110</v>
      </c>
      <c r="AT460">
        <f t="shared" si="231"/>
        <v>100</v>
      </c>
      <c r="AU460">
        <f t="shared" si="232"/>
        <v>68</v>
      </c>
      <c r="AV460">
        <f t="shared" si="233"/>
        <v>61</v>
      </c>
      <c r="AW460">
        <f t="shared" si="234"/>
        <v>47</v>
      </c>
      <c r="AX460">
        <f t="shared" si="235"/>
        <v>82</v>
      </c>
      <c r="AY460">
        <f t="shared" si="236"/>
        <v>75</v>
      </c>
      <c r="AZ460">
        <f t="shared" si="237"/>
        <v>43</v>
      </c>
      <c r="BA460">
        <f t="shared" si="238"/>
        <v>38</v>
      </c>
      <c r="BB460">
        <f t="shared" si="239"/>
        <v>25</v>
      </c>
    </row>
    <row r="461" spans="1:54" x14ac:dyDescent="0.15">
      <c r="A461">
        <v>299</v>
      </c>
      <c r="B461" t="s">
        <v>1675</v>
      </c>
      <c r="C461">
        <v>361</v>
      </c>
      <c r="D461">
        <v>0</v>
      </c>
      <c r="E461" t="s">
        <v>1676</v>
      </c>
      <c r="G461" t="s">
        <v>1676</v>
      </c>
      <c r="H461" t="s">
        <v>1677</v>
      </c>
      <c r="J461" t="s">
        <v>1678</v>
      </c>
      <c r="K461">
        <v>16.8</v>
      </c>
      <c r="L461">
        <v>0.7</v>
      </c>
      <c r="M461" t="s">
        <v>202</v>
      </c>
      <c r="O461" t="s">
        <v>268</v>
      </c>
      <c r="P461" t="s">
        <v>514</v>
      </c>
      <c r="Q461" t="s">
        <v>1142</v>
      </c>
      <c r="R461">
        <v>9</v>
      </c>
      <c r="S461">
        <v>50</v>
      </c>
      <c r="T461">
        <v>50</v>
      </c>
      <c r="U461">
        <v>50</v>
      </c>
      <c r="V461">
        <v>50</v>
      </c>
      <c r="W461">
        <v>50</v>
      </c>
      <c r="X461">
        <v>50</v>
      </c>
      <c r="Y461">
        <f t="shared" si="210"/>
        <v>157</v>
      </c>
      <c r="Z461">
        <f t="shared" si="211"/>
        <v>157</v>
      </c>
      <c r="AA461">
        <f t="shared" si="212"/>
        <v>125</v>
      </c>
      <c r="AB461">
        <f t="shared" si="213"/>
        <v>125</v>
      </c>
      <c r="AC461">
        <f t="shared" si="214"/>
        <v>110</v>
      </c>
      <c r="AD461">
        <f t="shared" si="215"/>
        <v>112</v>
      </c>
      <c r="AE461">
        <f t="shared" si="216"/>
        <v>102</v>
      </c>
      <c r="AF461">
        <f t="shared" si="217"/>
        <v>70</v>
      </c>
      <c r="AG461">
        <f t="shared" si="218"/>
        <v>63</v>
      </c>
      <c r="AH461">
        <f t="shared" si="219"/>
        <v>49</v>
      </c>
      <c r="AI461">
        <f t="shared" si="220"/>
        <v>112</v>
      </c>
      <c r="AJ461">
        <f t="shared" si="221"/>
        <v>102</v>
      </c>
      <c r="AK461">
        <f t="shared" si="222"/>
        <v>70</v>
      </c>
      <c r="AL461">
        <f t="shared" si="223"/>
        <v>63</v>
      </c>
      <c r="AM461">
        <f t="shared" si="224"/>
        <v>49</v>
      </c>
      <c r="AN461">
        <f t="shared" si="225"/>
        <v>112</v>
      </c>
      <c r="AO461">
        <f t="shared" si="226"/>
        <v>102</v>
      </c>
      <c r="AP461">
        <f t="shared" si="227"/>
        <v>70</v>
      </c>
      <c r="AQ461">
        <f t="shared" si="228"/>
        <v>63</v>
      </c>
      <c r="AR461">
        <f t="shared" si="229"/>
        <v>49</v>
      </c>
      <c r="AS461">
        <f t="shared" si="230"/>
        <v>112</v>
      </c>
      <c r="AT461">
        <f t="shared" si="231"/>
        <v>102</v>
      </c>
      <c r="AU461">
        <f t="shared" si="232"/>
        <v>70</v>
      </c>
      <c r="AV461">
        <f t="shared" si="233"/>
        <v>63</v>
      </c>
      <c r="AW461">
        <f t="shared" si="234"/>
        <v>49</v>
      </c>
      <c r="AX461">
        <f t="shared" si="235"/>
        <v>112</v>
      </c>
      <c r="AY461">
        <f t="shared" si="236"/>
        <v>102</v>
      </c>
      <c r="AZ461">
        <f t="shared" si="237"/>
        <v>70</v>
      </c>
      <c r="BA461">
        <f t="shared" si="238"/>
        <v>63</v>
      </c>
      <c r="BB461">
        <f t="shared" si="239"/>
        <v>49</v>
      </c>
    </row>
    <row r="462" spans="1:54" x14ac:dyDescent="0.15">
      <c r="A462">
        <v>300</v>
      </c>
      <c r="B462" t="s">
        <v>1679</v>
      </c>
      <c r="C462">
        <v>362</v>
      </c>
      <c r="D462">
        <v>0</v>
      </c>
      <c r="E462" t="s">
        <v>1680</v>
      </c>
      <c r="G462" t="s">
        <v>1680</v>
      </c>
      <c r="H462" t="s">
        <v>1681</v>
      </c>
      <c r="J462" t="s">
        <v>1682</v>
      </c>
      <c r="K462">
        <v>256.5</v>
      </c>
      <c r="L462">
        <v>1.5</v>
      </c>
      <c r="M462" t="s">
        <v>202</v>
      </c>
      <c r="O462" t="s">
        <v>268</v>
      </c>
      <c r="P462" t="s">
        <v>514</v>
      </c>
      <c r="Q462" t="s">
        <v>1142</v>
      </c>
      <c r="R462">
        <v>9</v>
      </c>
      <c r="S462">
        <v>80</v>
      </c>
      <c r="T462">
        <v>80</v>
      </c>
      <c r="U462">
        <v>80</v>
      </c>
      <c r="V462">
        <v>80</v>
      </c>
      <c r="W462">
        <v>80</v>
      </c>
      <c r="X462">
        <v>80</v>
      </c>
      <c r="Y462">
        <f t="shared" si="210"/>
        <v>187</v>
      </c>
      <c r="Z462">
        <f t="shared" si="211"/>
        <v>187</v>
      </c>
      <c r="AA462">
        <f t="shared" si="212"/>
        <v>155</v>
      </c>
      <c r="AB462">
        <f t="shared" si="213"/>
        <v>155</v>
      </c>
      <c r="AC462">
        <f t="shared" si="214"/>
        <v>140</v>
      </c>
      <c r="AD462">
        <f t="shared" si="215"/>
        <v>145</v>
      </c>
      <c r="AE462">
        <f t="shared" si="216"/>
        <v>132</v>
      </c>
      <c r="AF462">
        <f t="shared" si="217"/>
        <v>100</v>
      </c>
      <c r="AG462">
        <f t="shared" si="218"/>
        <v>90</v>
      </c>
      <c r="AH462">
        <f t="shared" si="219"/>
        <v>76</v>
      </c>
      <c r="AI462">
        <f t="shared" si="220"/>
        <v>145</v>
      </c>
      <c r="AJ462">
        <f t="shared" si="221"/>
        <v>132</v>
      </c>
      <c r="AK462">
        <f t="shared" si="222"/>
        <v>100</v>
      </c>
      <c r="AL462">
        <f t="shared" si="223"/>
        <v>90</v>
      </c>
      <c r="AM462">
        <f t="shared" si="224"/>
        <v>76</v>
      </c>
      <c r="AN462">
        <f t="shared" si="225"/>
        <v>145</v>
      </c>
      <c r="AO462">
        <f t="shared" si="226"/>
        <v>132</v>
      </c>
      <c r="AP462">
        <f t="shared" si="227"/>
        <v>100</v>
      </c>
      <c r="AQ462">
        <f t="shared" si="228"/>
        <v>90</v>
      </c>
      <c r="AR462">
        <f t="shared" si="229"/>
        <v>76</v>
      </c>
      <c r="AS462">
        <f t="shared" si="230"/>
        <v>145</v>
      </c>
      <c r="AT462">
        <f t="shared" si="231"/>
        <v>132</v>
      </c>
      <c r="AU462">
        <f t="shared" si="232"/>
        <v>100</v>
      </c>
      <c r="AV462">
        <f t="shared" si="233"/>
        <v>90</v>
      </c>
      <c r="AW462">
        <f t="shared" si="234"/>
        <v>76</v>
      </c>
      <c r="AX462">
        <f t="shared" si="235"/>
        <v>145</v>
      </c>
      <c r="AY462">
        <f t="shared" si="236"/>
        <v>132</v>
      </c>
      <c r="AZ462">
        <f t="shared" si="237"/>
        <v>100</v>
      </c>
      <c r="BA462">
        <f t="shared" si="238"/>
        <v>90</v>
      </c>
      <c r="BB462">
        <f t="shared" si="239"/>
        <v>76</v>
      </c>
    </row>
    <row r="463" spans="1:54" x14ac:dyDescent="0.15">
      <c r="B463" t="s">
        <v>1683</v>
      </c>
      <c r="C463">
        <v>362</v>
      </c>
      <c r="D463">
        <v>1</v>
      </c>
      <c r="E463" t="s">
        <v>1680</v>
      </c>
      <c r="F463" t="s">
        <v>1684</v>
      </c>
      <c r="G463" t="s">
        <v>1684</v>
      </c>
      <c r="J463" t="s">
        <v>1682</v>
      </c>
      <c r="K463">
        <v>350.2</v>
      </c>
      <c r="L463">
        <v>2.1</v>
      </c>
      <c r="M463" t="s">
        <v>202</v>
      </c>
      <c r="O463" t="s">
        <v>1685</v>
      </c>
      <c r="P463" t="s">
        <v>1142</v>
      </c>
      <c r="R463">
        <v>7</v>
      </c>
      <c r="S463">
        <v>80</v>
      </c>
      <c r="T463">
        <v>80</v>
      </c>
      <c r="U463">
        <v>80</v>
      </c>
      <c r="V463">
        <v>80</v>
      </c>
      <c r="W463">
        <v>80</v>
      </c>
      <c r="X463">
        <v>80</v>
      </c>
      <c r="Y463">
        <f t="shared" si="210"/>
        <v>187</v>
      </c>
      <c r="Z463">
        <f t="shared" si="211"/>
        <v>187</v>
      </c>
      <c r="AA463">
        <f t="shared" si="212"/>
        <v>155</v>
      </c>
      <c r="AB463">
        <f t="shared" si="213"/>
        <v>155</v>
      </c>
      <c r="AC463">
        <f t="shared" si="214"/>
        <v>140</v>
      </c>
      <c r="AD463">
        <f t="shared" si="215"/>
        <v>145</v>
      </c>
      <c r="AE463">
        <f t="shared" si="216"/>
        <v>132</v>
      </c>
      <c r="AF463">
        <f t="shared" si="217"/>
        <v>100</v>
      </c>
      <c r="AG463">
        <f t="shared" si="218"/>
        <v>90</v>
      </c>
      <c r="AH463">
        <f t="shared" si="219"/>
        <v>76</v>
      </c>
      <c r="AI463">
        <f t="shared" si="220"/>
        <v>145</v>
      </c>
      <c r="AJ463">
        <f t="shared" si="221"/>
        <v>132</v>
      </c>
      <c r="AK463">
        <f t="shared" si="222"/>
        <v>100</v>
      </c>
      <c r="AL463">
        <f t="shared" si="223"/>
        <v>90</v>
      </c>
      <c r="AM463">
        <f t="shared" si="224"/>
        <v>76</v>
      </c>
      <c r="AN463">
        <f t="shared" si="225"/>
        <v>145</v>
      </c>
      <c r="AO463">
        <f t="shared" si="226"/>
        <v>132</v>
      </c>
      <c r="AP463">
        <f t="shared" si="227"/>
        <v>100</v>
      </c>
      <c r="AQ463">
        <f t="shared" si="228"/>
        <v>90</v>
      </c>
      <c r="AR463">
        <f t="shared" si="229"/>
        <v>76</v>
      </c>
      <c r="AS463">
        <f t="shared" si="230"/>
        <v>145</v>
      </c>
      <c r="AT463">
        <f t="shared" si="231"/>
        <v>132</v>
      </c>
      <c r="AU463">
        <f t="shared" si="232"/>
        <v>100</v>
      </c>
      <c r="AV463">
        <f t="shared" si="233"/>
        <v>90</v>
      </c>
      <c r="AW463">
        <f t="shared" si="234"/>
        <v>76</v>
      </c>
      <c r="AX463">
        <f t="shared" si="235"/>
        <v>145</v>
      </c>
      <c r="AY463">
        <f t="shared" si="236"/>
        <v>132</v>
      </c>
      <c r="AZ463">
        <f t="shared" si="237"/>
        <v>100</v>
      </c>
      <c r="BA463">
        <f t="shared" si="238"/>
        <v>90</v>
      </c>
      <c r="BB463">
        <f t="shared" si="239"/>
        <v>76</v>
      </c>
    </row>
    <row r="464" spans="1:54" x14ac:dyDescent="0.15">
      <c r="B464" t="s">
        <v>1686</v>
      </c>
      <c r="C464">
        <v>363</v>
      </c>
      <c r="D464">
        <v>0</v>
      </c>
      <c r="E464" t="s">
        <v>1687</v>
      </c>
      <c r="G464" t="s">
        <v>1687</v>
      </c>
      <c r="J464" t="s">
        <v>1688</v>
      </c>
      <c r="K464">
        <v>39.5</v>
      </c>
      <c r="L464">
        <v>0.8</v>
      </c>
      <c r="M464" t="s">
        <v>202</v>
      </c>
      <c r="N464" t="s">
        <v>71</v>
      </c>
      <c r="O464" t="s">
        <v>38</v>
      </c>
      <c r="P464" t="s">
        <v>514</v>
      </c>
      <c r="Q464" t="s">
        <v>469</v>
      </c>
      <c r="R464">
        <v>8</v>
      </c>
      <c r="S464">
        <v>70</v>
      </c>
      <c r="T464">
        <v>40</v>
      </c>
      <c r="U464">
        <v>50</v>
      </c>
      <c r="V464">
        <v>55</v>
      </c>
      <c r="W464">
        <v>50</v>
      </c>
      <c r="X464">
        <v>25</v>
      </c>
      <c r="Y464">
        <f t="shared" si="210"/>
        <v>177</v>
      </c>
      <c r="Z464">
        <f t="shared" si="211"/>
        <v>177</v>
      </c>
      <c r="AA464">
        <f t="shared" si="212"/>
        <v>145</v>
      </c>
      <c r="AB464">
        <f t="shared" si="213"/>
        <v>145</v>
      </c>
      <c r="AC464">
        <f t="shared" si="214"/>
        <v>130</v>
      </c>
      <c r="AD464">
        <f t="shared" si="215"/>
        <v>101</v>
      </c>
      <c r="AE464">
        <f t="shared" si="216"/>
        <v>92</v>
      </c>
      <c r="AF464">
        <f t="shared" si="217"/>
        <v>60</v>
      </c>
      <c r="AG464">
        <f t="shared" si="218"/>
        <v>54</v>
      </c>
      <c r="AH464">
        <f t="shared" si="219"/>
        <v>40</v>
      </c>
      <c r="AI464">
        <f t="shared" si="220"/>
        <v>112</v>
      </c>
      <c r="AJ464">
        <f t="shared" si="221"/>
        <v>102</v>
      </c>
      <c r="AK464">
        <f t="shared" si="222"/>
        <v>70</v>
      </c>
      <c r="AL464">
        <f t="shared" si="223"/>
        <v>63</v>
      </c>
      <c r="AM464">
        <f t="shared" si="224"/>
        <v>49</v>
      </c>
      <c r="AN464">
        <f t="shared" si="225"/>
        <v>117</v>
      </c>
      <c r="AO464">
        <f t="shared" si="226"/>
        <v>107</v>
      </c>
      <c r="AP464">
        <f t="shared" si="227"/>
        <v>75</v>
      </c>
      <c r="AQ464">
        <f t="shared" si="228"/>
        <v>67</v>
      </c>
      <c r="AR464">
        <f t="shared" si="229"/>
        <v>54</v>
      </c>
      <c r="AS464">
        <f t="shared" si="230"/>
        <v>112</v>
      </c>
      <c r="AT464">
        <f t="shared" si="231"/>
        <v>102</v>
      </c>
      <c r="AU464">
        <f t="shared" si="232"/>
        <v>70</v>
      </c>
      <c r="AV464">
        <f t="shared" si="233"/>
        <v>63</v>
      </c>
      <c r="AW464">
        <f t="shared" si="234"/>
        <v>49</v>
      </c>
      <c r="AX464">
        <f t="shared" si="235"/>
        <v>84</v>
      </c>
      <c r="AY464">
        <f t="shared" si="236"/>
        <v>77</v>
      </c>
      <c r="AZ464">
        <f t="shared" si="237"/>
        <v>45</v>
      </c>
      <c r="BA464">
        <f t="shared" si="238"/>
        <v>40</v>
      </c>
      <c r="BB464">
        <f t="shared" si="239"/>
        <v>27</v>
      </c>
    </row>
    <row r="465" spans="1:54" x14ac:dyDescent="0.15">
      <c r="B465" t="s">
        <v>1689</v>
      </c>
      <c r="C465">
        <v>364</v>
      </c>
      <c r="D465">
        <v>0</v>
      </c>
      <c r="E465" t="s">
        <v>1690</v>
      </c>
      <c r="G465" t="s">
        <v>1690</v>
      </c>
      <c r="J465" t="s">
        <v>1691</v>
      </c>
      <c r="K465">
        <v>87.6</v>
      </c>
      <c r="L465">
        <v>1.1000000000000001</v>
      </c>
      <c r="M465" t="s">
        <v>202</v>
      </c>
      <c r="N465" t="s">
        <v>71</v>
      </c>
      <c r="O465" t="s">
        <v>38</v>
      </c>
      <c r="P465" t="s">
        <v>514</v>
      </c>
      <c r="Q465" t="s">
        <v>469</v>
      </c>
      <c r="R465">
        <v>8</v>
      </c>
      <c r="S465">
        <v>90</v>
      </c>
      <c r="T465">
        <v>60</v>
      </c>
      <c r="U465">
        <v>70</v>
      </c>
      <c r="V465">
        <v>75</v>
      </c>
      <c r="W465">
        <v>70</v>
      </c>
      <c r="X465">
        <v>45</v>
      </c>
      <c r="Y465">
        <f t="shared" si="210"/>
        <v>197</v>
      </c>
      <c r="Z465">
        <f t="shared" si="211"/>
        <v>197</v>
      </c>
      <c r="AA465">
        <f t="shared" si="212"/>
        <v>165</v>
      </c>
      <c r="AB465">
        <f t="shared" si="213"/>
        <v>165</v>
      </c>
      <c r="AC465">
        <f t="shared" si="214"/>
        <v>150</v>
      </c>
      <c r="AD465">
        <f t="shared" si="215"/>
        <v>123</v>
      </c>
      <c r="AE465">
        <f t="shared" si="216"/>
        <v>112</v>
      </c>
      <c r="AF465">
        <f t="shared" si="217"/>
        <v>80</v>
      </c>
      <c r="AG465">
        <f t="shared" si="218"/>
        <v>72</v>
      </c>
      <c r="AH465">
        <f t="shared" si="219"/>
        <v>58</v>
      </c>
      <c r="AI465">
        <f t="shared" si="220"/>
        <v>134</v>
      </c>
      <c r="AJ465">
        <f t="shared" si="221"/>
        <v>122</v>
      </c>
      <c r="AK465">
        <f t="shared" si="222"/>
        <v>90</v>
      </c>
      <c r="AL465">
        <f t="shared" si="223"/>
        <v>81</v>
      </c>
      <c r="AM465">
        <f t="shared" si="224"/>
        <v>67</v>
      </c>
      <c r="AN465">
        <f t="shared" si="225"/>
        <v>139</v>
      </c>
      <c r="AO465">
        <f t="shared" si="226"/>
        <v>127</v>
      </c>
      <c r="AP465">
        <f t="shared" si="227"/>
        <v>95</v>
      </c>
      <c r="AQ465">
        <f t="shared" si="228"/>
        <v>85</v>
      </c>
      <c r="AR465">
        <f t="shared" si="229"/>
        <v>72</v>
      </c>
      <c r="AS465">
        <f t="shared" si="230"/>
        <v>134</v>
      </c>
      <c r="AT465">
        <f t="shared" si="231"/>
        <v>122</v>
      </c>
      <c r="AU465">
        <f t="shared" si="232"/>
        <v>90</v>
      </c>
      <c r="AV465">
        <f t="shared" si="233"/>
        <v>81</v>
      </c>
      <c r="AW465">
        <f t="shared" si="234"/>
        <v>67</v>
      </c>
      <c r="AX465">
        <f t="shared" si="235"/>
        <v>106</v>
      </c>
      <c r="AY465">
        <f t="shared" si="236"/>
        <v>97</v>
      </c>
      <c r="AZ465">
        <f t="shared" si="237"/>
        <v>65</v>
      </c>
      <c r="BA465">
        <f t="shared" si="238"/>
        <v>58</v>
      </c>
      <c r="BB465">
        <f t="shared" si="239"/>
        <v>45</v>
      </c>
    </row>
    <row r="466" spans="1:54" x14ac:dyDescent="0.15">
      <c r="B466" t="s">
        <v>1692</v>
      </c>
      <c r="C466">
        <v>365</v>
      </c>
      <c r="D466">
        <v>0</v>
      </c>
      <c r="E466" t="s">
        <v>1693</v>
      </c>
      <c r="G466" t="s">
        <v>1693</v>
      </c>
      <c r="J466" t="s">
        <v>1694</v>
      </c>
      <c r="K466">
        <v>150.6</v>
      </c>
      <c r="L466">
        <v>1.4</v>
      </c>
      <c r="M466" t="s">
        <v>202</v>
      </c>
      <c r="N466" t="s">
        <v>71</v>
      </c>
      <c r="O466" t="s">
        <v>38</v>
      </c>
      <c r="P466" t="s">
        <v>514</v>
      </c>
      <c r="Q466" t="s">
        <v>469</v>
      </c>
      <c r="R466">
        <v>8</v>
      </c>
      <c r="S466">
        <v>110</v>
      </c>
      <c r="T466">
        <v>80</v>
      </c>
      <c r="U466">
        <v>90</v>
      </c>
      <c r="V466">
        <v>95</v>
      </c>
      <c r="W466">
        <v>90</v>
      </c>
      <c r="X466">
        <v>65</v>
      </c>
      <c r="Y466">
        <f t="shared" si="210"/>
        <v>217</v>
      </c>
      <c r="Z466">
        <f t="shared" si="211"/>
        <v>217</v>
      </c>
      <c r="AA466">
        <f t="shared" si="212"/>
        <v>185</v>
      </c>
      <c r="AB466">
        <f t="shared" si="213"/>
        <v>185</v>
      </c>
      <c r="AC466">
        <f t="shared" si="214"/>
        <v>170</v>
      </c>
      <c r="AD466">
        <f t="shared" si="215"/>
        <v>145</v>
      </c>
      <c r="AE466">
        <f t="shared" si="216"/>
        <v>132</v>
      </c>
      <c r="AF466">
        <f t="shared" si="217"/>
        <v>100</v>
      </c>
      <c r="AG466">
        <f t="shared" si="218"/>
        <v>90</v>
      </c>
      <c r="AH466">
        <f t="shared" si="219"/>
        <v>76</v>
      </c>
      <c r="AI466">
        <f t="shared" si="220"/>
        <v>156</v>
      </c>
      <c r="AJ466">
        <f t="shared" si="221"/>
        <v>142</v>
      </c>
      <c r="AK466">
        <f t="shared" si="222"/>
        <v>110</v>
      </c>
      <c r="AL466">
        <f t="shared" si="223"/>
        <v>99</v>
      </c>
      <c r="AM466">
        <f t="shared" si="224"/>
        <v>85</v>
      </c>
      <c r="AN466">
        <f t="shared" si="225"/>
        <v>161</v>
      </c>
      <c r="AO466">
        <f t="shared" si="226"/>
        <v>147</v>
      </c>
      <c r="AP466">
        <f t="shared" si="227"/>
        <v>115</v>
      </c>
      <c r="AQ466">
        <f t="shared" si="228"/>
        <v>103</v>
      </c>
      <c r="AR466">
        <f t="shared" si="229"/>
        <v>90</v>
      </c>
      <c r="AS466">
        <f t="shared" si="230"/>
        <v>156</v>
      </c>
      <c r="AT466">
        <f t="shared" si="231"/>
        <v>142</v>
      </c>
      <c r="AU466">
        <f t="shared" si="232"/>
        <v>110</v>
      </c>
      <c r="AV466">
        <f t="shared" si="233"/>
        <v>99</v>
      </c>
      <c r="AW466">
        <f t="shared" si="234"/>
        <v>85</v>
      </c>
      <c r="AX466">
        <f t="shared" si="235"/>
        <v>128</v>
      </c>
      <c r="AY466">
        <f t="shared" si="236"/>
        <v>117</v>
      </c>
      <c r="AZ466">
        <f t="shared" si="237"/>
        <v>85</v>
      </c>
      <c r="BA466">
        <f t="shared" si="238"/>
        <v>76</v>
      </c>
      <c r="BB466">
        <f t="shared" si="239"/>
        <v>63</v>
      </c>
    </row>
    <row r="467" spans="1:54" x14ac:dyDescent="0.15">
      <c r="B467" t="s">
        <v>1695</v>
      </c>
      <c r="C467">
        <v>366</v>
      </c>
      <c r="D467">
        <v>0</v>
      </c>
      <c r="E467" t="s">
        <v>1696</v>
      </c>
      <c r="G467" t="s">
        <v>1696</v>
      </c>
      <c r="J467" t="s">
        <v>536</v>
      </c>
      <c r="K467">
        <v>52.5</v>
      </c>
      <c r="L467">
        <v>0.4</v>
      </c>
      <c r="M467" t="s">
        <v>71</v>
      </c>
      <c r="O467" t="s">
        <v>481</v>
      </c>
      <c r="P467" t="s">
        <v>736</v>
      </c>
      <c r="R467">
        <v>8</v>
      </c>
      <c r="S467">
        <v>35</v>
      </c>
      <c r="T467">
        <v>64</v>
      </c>
      <c r="U467">
        <v>85</v>
      </c>
      <c r="V467">
        <v>74</v>
      </c>
      <c r="W467">
        <v>55</v>
      </c>
      <c r="X467">
        <v>32</v>
      </c>
      <c r="Y467">
        <f t="shared" si="210"/>
        <v>142</v>
      </c>
      <c r="Z467">
        <f t="shared" si="211"/>
        <v>142</v>
      </c>
      <c r="AA467">
        <f t="shared" si="212"/>
        <v>110</v>
      </c>
      <c r="AB467">
        <f t="shared" si="213"/>
        <v>110</v>
      </c>
      <c r="AC467">
        <f t="shared" si="214"/>
        <v>95</v>
      </c>
      <c r="AD467">
        <f t="shared" si="215"/>
        <v>127</v>
      </c>
      <c r="AE467">
        <f t="shared" si="216"/>
        <v>116</v>
      </c>
      <c r="AF467">
        <f t="shared" si="217"/>
        <v>84</v>
      </c>
      <c r="AG467">
        <f t="shared" si="218"/>
        <v>75</v>
      </c>
      <c r="AH467">
        <f t="shared" si="219"/>
        <v>62</v>
      </c>
      <c r="AI467">
        <f t="shared" si="220"/>
        <v>150</v>
      </c>
      <c r="AJ467">
        <f t="shared" si="221"/>
        <v>137</v>
      </c>
      <c r="AK467">
        <f t="shared" si="222"/>
        <v>105</v>
      </c>
      <c r="AL467">
        <f t="shared" si="223"/>
        <v>94</v>
      </c>
      <c r="AM467">
        <f t="shared" si="224"/>
        <v>81</v>
      </c>
      <c r="AN467">
        <f t="shared" si="225"/>
        <v>138</v>
      </c>
      <c r="AO467">
        <f t="shared" si="226"/>
        <v>126</v>
      </c>
      <c r="AP467">
        <f t="shared" si="227"/>
        <v>94</v>
      </c>
      <c r="AQ467">
        <f t="shared" si="228"/>
        <v>84</v>
      </c>
      <c r="AR467">
        <f t="shared" si="229"/>
        <v>71</v>
      </c>
      <c r="AS467">
        <f t="shared" si="230"/>
        <v>117</v>
      </c>
      <c r="AT467">
        <f t="shared" si="231"/>
        <v>107</v>
      </c>
      <c r="AU467">
        <f t="shared" si="232"/>
        <v>75</v>
      </c>
      <c r="AV467">
        <f t="shared" si="233"/>
        <v>67</v>
      </c>
      <c r="AW467">
        <f t="shared" si="234"/>
        <v>54</v>
      </c>
      <c r="AX467">
        <f t="shared" si="235"/>
        <v>92</v>
      </c>
      <c r="AY467">
        <f t="shared" si="236"/>
        <v>84</v>
      </c>
      <c r="AZ467">
        <f t="shared" si="237"/>
        <v>52</v>
      </c>
      <c r="BA467">
        <f t="shared" si="238"/>
        <v>46</v>
      </c>
      <c r="BB467">
        <f t="shared" si="239"/>
        <v>33</v>
      </c>
    </row>
    <row r="468" spans="1:54" x14ac:dyDescent="0.15">
      <c r="B468" t="s">
        <v>1697</v>
      </c>
      <c r="C468">
        <v>367</v>
      </c>
      <c r="D468">
        <v>0</v>
      </c>
      <c r="E468" t="s">
        <v>1698</v>
      </c>
      <c r="G468" t="s">
        <v>1698</v>
      </c>
      <c r="J468" t="s">
        <v>1699</v>
      </c>
      <c r="K468">
        <v>27</v>
      </c>
      <c r="L468">
        <v>1.7</v>
      </c>
      <c r="M468" t="s">
        <v>71</v>
      </c>
      <c r="O468" t="s">
        <v>346</v>
      </c>
      <c r="P468" t="s">
        <v>677</v>
      </c>
      <c r="R468">
        <v>8</v>
      </c>
      <c r="S468">
        <v>55</v>
      </c>
      <c r="T468">
        <v>104</v>
      </c>
      <c r="U468">
        <v>105</v>
      </c>
      <c r="V468">
        <v>94</v>
      </c>
      <c r="W468">
        <v>75</v>
      </c>
      <c r="X468">
        <v>52</v>
      </c>
      <c r="Y468">
        <f t="shared" si="210"/>
        <v>162</v>
      </c>
      <c r="Z468">
        <f t="shared" si="211"/>
        <v>162</v>
      </c>
      <c r="AA468">
        <f t="shared" si="212"/>
        <v>130</v>
      </c>
      <c r="AB468">
        <f t="shared" si="213"/>
        <v>130</v>
      </c>
      <c r="AC468">
        <f t="shared" si="214"/>
        <v>115</v>
      </c>
      <c r="AD468">
        <f t="shared" si="215"/>
        <v>171</v>
      </c>
      <c r="AE468">
        <f t="shared" si="216"/>
        <v>156</v>
      </c>
      <c r="AF468">
        <f t="shared" si="217"/>
        <v>124</v>
      </c>
      <c r="AG468">
        <f t="shared" si="218"/>
        <v>111</v>
      </c>
      <c r="AH468">
        <f t="shared" si="219"/>
        <v>98</v>
      </c>
      <c r="AI468">
        <f t="shared" si="220"/>
        <v>172</v>
      </c>
      <c r="AJ468">
        <f t="shared" si="221"/>
        <v>157</v>
      </c>
      <c r="AK468">
        <f t="shared" si="222"/>
        <v>125</v>
      </c>
      <c r="AL468">
        <f t="shared" si="223"/>
        <v>112</v>
      </c>
      <c r="AM468">
        <f t="shared" si="224"/>
        <v>99</v>
      </c>
      <c r="AN468">
        <f t="shared" si="225"/>
        <v>160</v>
      </c>
      <c r="AO468">
        <f t="shared" si="226"/>
        <v>146</v>
      </c>
      <c r="AP468">
        <f t="shared" si="227"/>
        <v>114</v>
      </c>
      <c r="AQ468">
        <f t="shared" si="228"/>
        <v>102</v>
      </c>
      <c r="AR468">
        <f t="shared" si="229"/>
        <v>89</v>
      </c>
      <c r="AS468">
        <f t="shared" si="230"/>
        <v>139</v>
      </c>
      <c r="AT468">
        <f t="shared" si="231"/>
        <v>127</v>
      </c>
      <c r="AU468">
        <f t="shared" si="232"/>
        <v>95</v>
      </c>
      <c r="AV468">
        <f t="shared" si="233"/>
        <v>85</v>
      </c>
      <c r="AW468">
        <f t="shared" si="234"/>
        <v>72</v>
      </c>
      <c r="AX468">
        <f t="shared" si="235"/>
        <v>114</v>
      </c>
      <c r="AY468">
        <f t="shared" si="236"/>
        <v>104</v>
      </c>
      <c r="AZ468">
        <f t="shared" si="237"/>
        <v>72</v>
      </c>
      <c r="BA468">
        <f t="shared" si="238"/>
        <v>64</v>
      </c>
      <c r="BB468">
        <f t="shared" si="239"/>
        <v>51</v>
      </c>
    </row>
    <row r="469" spans="1:54" x14ac:dyDescent="0.15">
      <c r="B469" t="s">
        <v>1700</v>
      </c>
      <c r="C469">
        <v>368</v>
      </c>
      <c r="D469">
        <v>0</v>
      </c>
      <c r="E469" t="s">
        <v>1701</v>
      </c>
      <c r="G469" t="s">
        <v>1701</v>
      </c>
      <c r="J469" t="s">
        <v>1702</v>
      </c>
      <c r="K469">
        <v>22.6</v>
      </c>
      <c r="L469">
        <v>1.8</v>
      </c>
      <c r="M469" t="s">
        <v>71</v>
      </c>
      <c r="O469" t="s">
        <v>346</v>
      </c>
      <c r="P469" t="s">
        <v>513</v>
      </c>
      <c r="R469">
        <v>8</v>
      </c>
      <c r="S469">
        <v>55</v>
      </c>
      <c r="T469">
        <v>84</v>
      </c>
      <c r="U469">
        <v>105</v>
      </c>
      <c r="V469">
        <v>114</v>
      </c>
      <c r="W469">
        <v>75</v>
      </c>
      <c r="X469">
        <v>52</v>
      </c>
      <c r="Y469">
        <f t="shared" si="210"/>
        <v>162</v>
      </c>
      <c r="Z469">
        <f t="shared" si="211"/>
        <v>162</v>
      </c>
      <c r="AA469">
        <f t="shared" si="212"/>
        <v>130</v>
      </c>
      <c r="AB469">
        <f t="shared" si="213"/>
        <v>130</v>
      </c>
      <c r="AC469">
        <f t="shared" si="214"/>
        <v>115</v>
      </c>
      <c r="AD469">
        <f t="shared" si="215"/>
        <v>149</v>
      </c>
      <c r="AE469">
        <f t="shared" si="216"/>
        <v>136</v>
      </c>
      <c r="AF469">
        <f t="shared" si="217"/>
        <v>104</v>
      </c>
      <c r="AG469">
        <f t="shared" si="218"/>
        <v>93</v>
      </c>
      <c r="AH469">
        <f t="shared" si="219"/>
        <v>80</v>
      </c>
      <c r="AI469">
        <f t="shared" si="220"/>
        <v>172</v>
      </c>
      <c r="AJ469">
        <f t="shared" si="221"/>
        <v>157</v>
      </c>
      <c r="AK469">
        <f t="shared" si="222"/>
        <v>125</v>
      </c>
      <c r="AL469">
        <f t="shared" si="223"/>
        <v>112</v>
      </c>
      <c r="AM469">
        <f t="shared" si="224"/>
        <v>99</v>
      </c>
      <c r="AN469">
        <f t="shared" si="225"/>
        <v>182</v>
      </c>
      <c r="AO469">
        <f t="shared" si="226"/>
        <v>166</v>
      </c>
      <c r="AP469">
        <f t="shared" si="227"/>
        <v>134</v>
      </c>
      <c r="AQ469">
        <f t="shared" si="228"/>
        <v>120</v>
      </c>
      <c r="AR469">
        <f t="shared" si="229"/>
        <v>107</v>
      </c>
      <c r="AS469">
        <f t="shared" si="230"/>
        <v>139</v>
      </c>
      <c r="AT469">
        <f t="shared" si="231"/>
        <v>127</v>
      </c>
      <c r="AU469">
        <f t="shared" si="232"/>
        <v>95</v>
      </c>
      <c r="AV469">
        <f t="shared" si="233"/>
        <v>85</v>
      </c>
      <c r="AW469">
        <f t="shared" si="234"/>
        <v>72</v>
      </c>
      <c r="AX469">
        <f t="shared" si="235"/>
        <v>114</v>
      </c>
      <c r="AY469">
        <f t="shared" si="236"/>
        <v>104</v>
      </c>
      <c r="AZ469">
        <f t="shared" si="237"/>
        <v>72</v>
      </c>
      <c r="BA469">
        <f t="shared" si="238"/>
        <v>64</v>
      </c>
      <c r="BB469">
        <f t="shared" si="239"/>
        <v>51</v>
      </c>
    </row>
    <row r="470" spans="1:54" x14ac:dyDescent="0.15">
      <c r="B470" t="s">
        <v>1703</v>
      </c>
      <c r="C470">
        <v>369</v>
      </c>
      <c r="D470">
        <v>0</v>
      </c>
      <c r="E470" t="s">
        <v>1704</v>
      </c>
      <c r="G470" t="s">
        <v>1704</v>
      </c>
      <c r="J470" t="s">
        <v>1705</v>
      </c>
      <c r="K470">
        <v>23.4</v>
      </c>
      <c r="L470">
        <v>1</v>
      </c>
      <c r="M470" t="s">
        <v>71</v>
      </c>
      <c r="N470" t="s">
        <v>371</v>
      </c>
      <c r="O470" t="s">
        <v>346</v>
      </c>
      <c r="P470" t="s">
        <v>434</v>
      </c>
      <c r="Q470" t="s">
        <v>435</v>
      </c>
      <c r="R470">
        <v>8</v>
      </c>
      <c r="S470">
        <v>100</v>
      </c>
      <c r="T470">
        <v>90</v>
      </c>
      <c r="U470">
        <v>130</v>
      </c>
      <c r="V470">
        <v>45</v>
      </c>
      <c r="W470">
        <v>65</v>
      </c>
      <c r="X470">
        <v>55</v>
      </c>
      <c r="Y470">
        <f t="shared" si="210"/>
        <v>207</v>
      </c>
      <c r="Z470">
        <f t="shared" si="211"/>
        <v>207</v>
      </c>
      <c r="AA470">
        <f t="shared" si="212"/>
        <v>175</v>
      </c>
      <c r="AB470">
        <f t="shared" si="213"/>
        <v>175</v>
      </c>
      <c r="AC470">
        <f t="shared" si="214"/>
        <v>160</v>
      </c>
      <c r="AD470">
        <f t="shared" si="215"/>
        <v>156</v>
      </c>
      <c r="AE470">
        <f t="shared" si="216"/>
        <v>142</v>
      </c>
      <c r="AF470">
        <f t="shared" si="217"/>
        <v>110</v>
      </c>
      <c r="AG470">
        <f t="shared" si="218"/>
        <v>99</v>
      </c>
      <c r="AH470">
        <f t="shared" si="219"/>
        <v>85</v>
      </c>
      <c r="AI470">
        <f t="shared" si="220"/>
        <v>200</v>
      </c>
      <c r="AJ470">
        <f t="shared" si="221"/>
        <v>182</v>
      </c>
      <c r="AK470">
        <f t="shared" si="222"/>
        <v>150</v>
      </c>
      <c r="AL470">
        <f t="shared" si="223"/>
        <v>135</v>
      </c>
      <c r="AM470">
        <f t="shared" si="224"/>
        <v>121</v>
      </c>
      <c r="AN470">
        <f t="shared" si="225"/>
        <v>106</v>
      </c>
      <c r="AO470">
        <f t="shared" si="226"/>
        <v>97</v>
      </c>
      <c r="AP470">
        <f t="shared" si="227"/>
        <v>65</v>
      </c>
      <c r="AQ470">
        <f t="shared" si="228"/>
        <v>58</v>
      </c>
      <c r="AR470">
        <f t="shared" si="229"/>
        <v>45</v>
      </c>
      <c r="AS470">
        <f t="shared" si="230"/>
        <v>128</v>
      </c>
      <c r="AT470">
        <f t="shared" si="231"/>
        <v>117</v>
      </c>
      <c r="AU470">
        <f t="shared" si="232"/>
        <v>85</v>
      </c>
      <c r="AV470">
        <f t="shared" si="233"/>
        <v>76</v>
      </c>
      <c r="AW470">
        <f t="shared" si="234"/>
        <v>63</v>
      </c>
      <c r="AX470">
        <f t="shared" si="235"/>
        <v>117</v>
      </c>
      <c r="AY470">
        <f t="shared" si="236"/>
        <v>107</v>
      </c>
      <c r="AZ470">
        <f t="shared" si="237"/>
        <v>75</v>
      </c>
      <c r="BA470">
        <f t="shared" si="238"/>
        <v>67</v>
      </c>
      <c r="BB470">
        <f t="shared" si="239"/>
        <v>54</v>
      </c>
    </row>
    <row r="471" spans="1:54" x14ac:dyDescent="0.15">
      <c r="A471">
        <v>301</v>
      </c>
      <c r="B471" t="s">
        <v>1706</v>
      </c>
      <c r="C471">
        <v>370</v>
      </c>
      <c r="D471">
        <v>0</v>
      </c>
      <c r="E471" t="s">
        <v>1707</v>
      </c>
      <c r="G471" t="s">
        <v>1707</v>
      </c>
      <c r="H471" t="s">
        <v>1708</v>
      </c>
      <c r="J471" t="s">
        <v>1709</v>
      </c>
      <c r="K471">
        <v>8.6999999999999993</v>
      </c>
      <c r="L471">
        <v>0.6</v>
      </c>
      <c r="M471" t="s">
        <v>71</v>
      </c>
      <c r="O471" t="s">
        <v>346</v>
      </c>
      <c r="P471" t="s">
        <v>513</v>
      </c>
      <c r="R471">
        <v>9</v>
      </c>
      <c r="S471">
        <v>43</v>
      </c>
      <c r="T471">
        <v>30</v>
      </c>
      <c r="U471">
        <v>55</v>
      </c>
      <c r="V471">
        <v>40</v>
      </c>
      <c r="W471">
        <v>65</v>
      </c>
      <c r="X471">
        <v>97</v>
      </c>
      <c r="Y471">
        <f t="shared" si="210"/>
        <v>150</v>
      </c>
      <c r="Z471">
        <f t="shared" si="211"/>
        <v>150</v>
      </c>
      <c r="AA471">
        <f t="shared" si="212"/>
        <v>118</v>
      </c>
      <c r="AB471">
        <f t="shared" si="213"/>
        <v>118</v>
      </c>
      <c r="AC471">
        <f t="shared" si="214"/>
        <v>103</v>
      </c>
      <c r="AD471">
        <f t="shared" si="215"/>
        <v>90</v>
      </c>
      <c r="AE471">
        <f t="shared" si="216"/>
        <v>82</v>
      </c>
      <c r="AF471">
        <f t="shared" si="217"/>
        <v>50</v>
      </c>
      <c r="AG471">
        <f t="shared" si="218"/>
        <v>45</v>
      </c>
      <c r="AH471">
        <f t="shared" si="219"/>
        <v>31</v>
      </c>
      <c r="AI471">
        <f t="shared" si="220"/>
        <v>117</v>
      </c>
      <c r="AJ471">
        <f t="shared" si="221"/>
        <v>107</v>
      </c>
      <c r="AK471">
        <f t="shared" si="222"/>
        <v>75</v>
      </c>
      <c r="AL471">
        <f t="shared" si="223"/>
        <v>67</v>
      </c>
      <c r="AM471">
        <f t="shared" si="224"/>
        <v>54</v>
      </c>
      <c r="AN471">
        <f t="shared" si="225"/>
        <v>101</v>
      </c>
      <c r="AO471">
        <f t="shared" si="226"/>
        <v>92</v>
      </c>
      <c r="AP471">
        <f t="shared" si="227"/>
        <v>60</v>
      </c>
      <c r="AQ471">
        <f t="shared" si="228"/>
        <v>54</v>
      </c>
      <c r="AR471">
        <f t="shared" si="229"/>
        <v>40</v>
      </c>
      <c r="AS471">
        <f t="shared" si="230"/>
        <v>128</v>
      </c>
      <c r="AT471">
        <f t="shared" si="231"/>
        <v>117</v>
      </c>
      <c r="AU471">
        <f t="shared" si="232"/>
        <v>85</v>
      </c>
      <c r="AV471">
        <f t="shared" si="233"/>
        <v>76</v>
      </c>
      <c r="AW471">
        <f t="shared" si="234"/>
        <v>63</v>
      </c>
      <c r="AX471">
        <f t="shared" si="235"/>
        <v>163</v>
      </c>
      <c r="AY471">
        <f t="shared" si="236"/>
        <v>149</v>
      </c>
      <c r="AZ471">
        <f t="shared" si="237"/>
        <v>117</v>
      </c>
      <c r="BA471">
        <f t="shared" si="238"/>
        <v>105</v>
      </c>
      <c r="BB471">
        <f t="shared" si="239"/>
        <v>91</v>
      </c>
    </row>
    <row r="472" spans="1:54" x14ac:dyDescent="0.15">
      <c r="A472">
        <v>302</v>
      </c>
      <c r="B472" t="s">
        <v>1710</v>
      </c>
      <c r="C472">
        <v>371</v>
      </c>
      <c r="D472">
        <v>0</v>
      </c>
      <c r="E472" t="s">
        <v>1711</v>
      </c>
      <c r="G472" t="s">
        <v>1711</v>
      </c>
      <c r="H472" t="s">
        <v>1712</v>
      </c>
      <c r="J472" t="s">
        <v>1713</v>
      </c>
      <c r="K472">
        <v>42.1</v>
      </c>
      <c r="L472">
        <v>0.6</v>
      </c>
      <c r="M472" t="s">
        <v>60</v>
      </c>
      <c r="O472" t="s">
        <v>434</v>
      </c>
      <c r="P472" t="s">
        <v>222</v>
      </c>
      <c r="R472">
        <v>9</v>
      </c>
      <c r="S472">
        <v>45</v>
      </c>
      <c r="T472">
        <v>75</v>
      </c>
      <c r="U472">
        <v>60</v>
      </c>
      <c r="V472">
        <v>40</v>
      </c>
      <c r="W472">
        <v>30</v>
      </c>
      <c r="X472">
        <v>50</v>
      </c>
      <c r="Y472">
        <f t="shared" si="210"/>
        <v>152</v>
      </c>
      <c r="Z472">
        <f t="shared" si="211"/>
        <v>152</v>
      </c>
      <c r="AA472">
        <f t="shared" si="212"/>
        <v>120</v>
      </c>
      <c r="AB472">
        <f t="shared" si="213"/>
        <v>120</v>
      </c>
      <c r="AC472">
        <f t="shared" si="214"/>
        <v>105</v>
      </c>
      <c r="AD472">
        <f t="shared" si="215"/>
        <v>139</v>
      </c>
      <c r="AE472">
        <f t="shared" si="216"/>
        <v>127</v>
      </c>
      <c r="AF472">
        <f t="shared" si="217"/>
        <v>95</v>
      </c>
      <c r="AG472">
        <f t="shared" si="218"/>
        <v>85</v>
      </c>
      <c r="AH472">
        <f t="shared" si="219"/>
        <v>72</v>
      </c>
      <c r="AI472">
        <f t="shared" si="220"/>
        <v>123</v>
      </c>
      <c r="AJ472">
        <f t="shared" si="221"/>
        <v>112</v>
      </c>
      <c r="AK472">
        <f t="shared" si="222"/>
        <v>80</v>
      </c>
      <c r="AL472">
        <f t="shared" si="223"/>
        <v>72</v>
      </c>
      <c r="AM472">
        <f t="shared" si="224"/>
        <v>58</v>
      </c>
      <c r="AN472">
        <f t="shared" si="225"/>
        <v>101</v>
      </c>
      <c r="AO472">
        <f t="shared" si="226"/>
        <v>92</v>
      </c>
      <c r="AP472">
        <f t="shared" si="227"/>
        <v>60</v>
      </c>
      <c r="AQ472">
        <f t="shared" si="228"/>
        <v>54</v>
      </c>
      <c r="AR472">
        <f t="shared" si="229"/>
        <v>40</v>
      </c>
      <c r="AS472">
        <f t="shared" si="230"/>
        <v>90</v>
      </c>
      <c r="AT472">
        <f t="shared" si="231"/>
        <v>82</v>
      </c>
      <c r="AU472">
        <f t="shared" si="232"/>
        <v>50</v>
      </c>
      <c r="AV472">
        <f t="shared" si="233"/>
        <v>45</v>
      </c>
      <c r="AW472">
        <f t="shared" si="234"/>
        <v>31</v>
      </c>
      <c r="AX472">
        <f t="shared" si="235"/>
        <v>112</v>
      </c>
      <c r="AY472">
        <f t="shared" si="236"/>
        <v>102</v>
      </c>
      <c r="AZ472">
        <f t="shared" si="237"/>
        <v>70</v>
      </c>
      <c r="BA472">
        <f t="shared" si="238"/>
        <v>63</v>
      </c>
      <c r="BB472">
        <f t="shared" si="239"/>
        <v>49</v>
      </c>
    </row>
    <row r="473" spans="1:54" x14ac:dyDescent="0.15">
      <c r="A473">
        <v>303</v>
      </c>
      <c r="B473" t="s">
        <v>1714</v>
      </c>
      <c r="C473">
        <v>372</v>
      </c>
      <c r="D473">
        <v>0</v>
      </c>
      <c r="E473" t="s">
        <v>1715</v>
      </c>
      <c r="G473" t="s">
        <v>1715</v>
      </c>
      <c r="H473" t="s">
        <v>1716</v>
      </c>
      <c r="J473" t="s">
        <v>1717</v>
      </c>
      <c r="K473">
        <v>110.5</v>
      </c>
      <c r="L473">
        <v>1.1000000000000001</v>
      </c>
      <c r="M473" t="s">
        <v>60</v>
      </c>
      <c r="O473" t="s">
        <v>434</v>
      </c>
      <c r="P473" t="s">
        <v>538</v>
      </c>
      <c r="R473">
        <v>9</v>
      </c>
      <c r="S473">
        <v>65</v>
      </c>
      <c r="T473">
        <v>95</v>
      </c>
      <c r="U473">
        <v>100</v>
      </c>
      <c r="V473">
        <v>60</v>
      </c>
      <c r="W473">
        <v>50</v>
      </c>
      <c r="X473">
        <v>50</v>
      </c>
      <c r="Y473">
        <f t="shared" si="210"/>
        <v>172</v>
      </c>
      <c r="Z473">
        <f t="shared" si="211"/>
        <v>172</v>
      </c>
      <c r="AA473">
        <f t="shared" si="212"/>
        <v>140</v>
      </c>
      <c r="AB473">
        <f t="shared" si="213"/>
        <v>140</v>
      </c>
      <c r="AC473">
        <f t="shared" si="214"/>
        <v>125</v>
      </c>
      <c r="AD473">
        <f t="shared" si="215"/>
        <v>161</v>
      </c>
      <c r="AE473">
        <f t="shared" si="216"/>
        <v>147</v>
      </c>
      <c r="AF473">
        <f t="shared" si="217"/>
        <v>115</v>
      </c>
      <c r="AG473">
        <f t="shared" si="218"/>
        <v>103</v>
      </c>
      <c r="AH473">
        <f t="shared" si="219"/>
        <v>90</v>
      </c>
      <c r="AI473">
        <f t="shared" si="220"/>
        <v>167</v>
      </c>
      <c r="AJ473">
        <f t="shared" si="221"/>
        <v>152</v>
      </c>
      <c r="AK473">
        <f t="shared" si="222"/>
        <v>120</v>
      </c>
      <c r="AL473">
        <f t="shared" si="223"/>
        <v>108</v>
      </c>
      <c r="AM473">
        <f t="shared" si="224"/>
        <v>94</v>
      </c>
      <c r="AN473">
        <f t="shared" si="225"/>
        <v>123</v>
      </c>
      <c r="AO473">
        <f t="shared" si="226"/>
        <v>112</v>
      </c>
      <c r="AP473">
        <f t="shared" si="227"/>
        <v>80</v>
      </c>
      <c r="AQ473">
        <f t="shared" si="228"/>
        <v>72</v>
      </c>
      <c r="AR473">
        <f t="shared" si="229"/>
        <v>58</v>
      </c>
      <c r="AS473">
        <f t="shared" si="230"/>
        <v>112</v>
      </c>
      <c r="AT473">
        <f t="shared" si="231"/>
        <v>102</v>
      </c>
      <c r="AU473">
        <f t="shared" si="232"/>
        <v>70</v>
      </c>
      <c r="AV473">
        <f t="shared" si="233"/>
        <v>63</v>
      </c>
      <c r="AW473">
        <f t="shared" si="234"/>
        <v>49</v>
      </c>
      <c r="AX473">
        <f t="shared" si="235"/>
        <v>112</v>
      </c>
      <c r="AY473">
        <f t="shared" si="236"/>
        <v>102</v>
      </c>
      <c r="AZ473">
        <f t="shared" si="237"/>
        <v>70</v>
      </c>
      <c r="BA473">
        <f t="shared" si="238"/>
        <v>63</v>
      </c>
      <c r="BB473">
        <f t="shared" si="239"/>
        <v>49</v>
      </c>
    </row>
    <row r="474" spans="1:54" x14ac:dyDescent="0.15">
      <c r="A474">
        <v>304</v>
      </c>
      <c r="B474" t="s">
        <v>1718</v>
      </c>
      <c r="C474">
        <v>373</v>
      </c>
      <c r="D474">
        <v>0</v>
      </c>
      <c r="E474" t="s">
        <v>1719</v>
      </c>
      <c r="G474" t="s">
        <v>1719</v>
      </c>
      <c r="H474" t="s">
        <v>1720</v>
      </c>
      <c r="J474" t="s">
        <v>670</v>
      </c>
      <c r="K474">
        <v>102.6</v>
      </c>
      <c r="L474">
        <v>1.5</v>
      </c>
      <c r="M474" t="s">
        <v>60</v>
      </c>
      <c r="N474" t="s">
        <v>57</v>
      </c>
      <c r="O474" t="s">
        <v>155</v>
      </c>
      <c r="P474" t="s">
        <v>714</v>
      </c>
      <c r="R474">
        <v>9</v>
      </c>
      <c r="S474">
        <v>95</v>
      </c>
      <c r="T474">
        <v>135</v>
      </c>
      <c r="U474">
        <v>80</v>
      </c>
      <c r="V474">
        <v>110</v>
      </c>
      <c r="W474">
        <v>80</v>
      </c>
      <c r="X474">
        <v>100</v>
      </c>
      <c r="Y474">
        <f t="shared" si="210"/>
        <v>202</v>
      </c>
      <c r="Z474">
        <f t="shared" si="211"/>
        <v>202</v>
      </c>
      <c r="AA474">
        <f t="shared" si="212"/>
        <v>170</v>
      </c>
      <c r="AB474">
        <f t="shared" si="213"/>
        <v>170</v>
      </c>
      <c r="AC474">
        <f t="shared" si="214"/>
        <v>155</v>
      </c>
      <c r="AD474">
        <f t="shared" si="215"/>
        <v>205</v>
      </c>
      <c r="AE474">
        <f t="shared" si="216"/>
        <v>187</v>
      </c>
      <c r="AF474">
        <f t="shared" si="217"/>
        <v>155</v>
      </c>
      <c r="AG474">
        <f t="shared" si="218"/>
        <v>139</v>
      </c>
      <c r="AH474">
        <f t="shared" si="219"/>
        <v>126</v>
      </c>
      <c r="AI474">
        <f t="shared" si="220"/>
        <v>145</v>
      </c>
      <c r="AJ474">
        <f t="shared" si="221"/>
        <v>132</v>
      </c>
      <c r="AK474">
        <f t="shared" si="222"/>
        <v>100</v>
      </c>
      <c r="AL474">
        <f t="shared" si="223"/>
        <v>90</v>
      </c>
      <c r="AM474">
        <f t="shared" si="224"/>
        <v>76</v>
      </c>
      <c r="AN474">
        <f t="shared" si="225"/>
        <v>178</v>
      </c>
      <c r="AO474">
        <f t="shared" si="226"/>
        <v>162</v>
      </c>
      <c r="AP474">
        <f t="shared" si="227"/>
        <v>130</v>
      </c>
      <c r="AQ474">
        <f t="shared" si="228"/>
        <v>117</v>
      </c>
      <c r="AR474">
        <f t="shared" si="229"/>
        <v>103</v>
      </c>
      <c r="AS474">
        <f t="shared" si="230"/>
        <v>145</v>
      </c>
      <c r="AT474">
        <f t="shared" si="231"/>
        <v>132</v>
      </c>
      <c r="AU474">
        <f t="shared" si="232"/>
        <v>100</v>
      </c>
      <c r="AV474">
        <f t="shared" si="233"/>
        <v>90</v>
      </c>
      <c r="AW474">
        <f t="shared" si="234"/>
        <v>76</v>
      </c>
      <c r="AX474">
        <f t="shared" si="235"/>
        <v>167</v>
      </c>
      <c r="AY474">
        <f t="shared" si="236"/>
        <v>152</v>
      </c>
      <c r="AZ474">
        <f t="shared" si="237"/>
        <v>120</v>
      </c>
      <c r="BA474">
        <f t="shared" si="238"/>
        <v>108</v>
      </c>
      <c r="BB474">
        <f t="shared" si="239"/>
        <v>94</v>
      </c>
    </row>
    <row r="475" spans="1:54" x14ac:dyDescent="0.15">
      <c r="B475" t="s">
        <v>1721</v>
      </c>
      <c r="C475">
        <v>373</v>
      </c>
      <c r="D475">
        <v>1</v>
      </c>
      <c r="E475" t="s">
        <v>1719</v>
      </c>
      <c r="F475" t="s">
        <v>1722</v>
      </c>
      <c r="G475" t="s">
        <v>1722</v>
      </c>
      <c r="J475" t="s">
        <v>670</v>
      </c>
      <c r="K475">
        <v>112.6</v>
      </c>
      <c r="L475">
        <v>1.8</v>
      </c>
      <c r="M475" t="s">
        <v>60</v>
      </c>
      <c r="N475" t="s">
        <v>57</v>
      </c>
      <c r="O475" t="s">
        <v>717</v>
      </c>
      <c r="P475" t="s">
        <v>714</v>
      </c>
      <c r="R475">
        <v>7</v>
      </c>
      <c r="S475">
        <v>95</v>
      </c>
      <c r="T475">
        <v>135</v>
      </c>
      <c r="U475">
        <v>80</v>
      </c>
      <c r="V475">
        <v>110</v>
      </c>
      <c r="W475">
        <v>80</v>
      </c>
      <c r="X475">
        <v>100</v>
      </c>
      <c r="Y475">
        <f t="shared" si="210"/>
        <v>202</v>
      </c>
      <c r="Z475">
        <f t="shared" si="211"/>
        <v>202</v>
      </c>
      <c r="AA475">
        <f t="shared" si="212"/>
        <v>170</v>
      </c>
      <c r="AB475">
        <f t="shared" si="213"/>
        <v>170</v>
      </c>
      <c r="AC475">
        <f t="shared" si="214"/>
        <v>155</v>
      </c>
      <c r="AD475">
        <f t="shared" si="215"/>
        <v>205</v>
      </c>
      <c r="AE475">
        <f t="shared" si="216"/>
        <v>187</v>
      </c>
      <c r="AF475">
        <f t="shared" si="217"/>
        <v>155</v>
      </c>
      <c r="AG475">
        <f t="shared" si="218"/>
        <v>139</v>
      </c>
      <c r="AH475">
        <f t="shared" si="219"/>
        <v>126</v>
      </c>
      <c r="AI475">
        <f t="shared" si="220"/>
        <v>145</v>
      </c>
      <c r="AJ475">
        <f t="shared" si="221"/>
        <v>132</v>
      </c>
      <c r="AK475">
        <f t="shared" si="222"/>
        <v>100</v>
      </c>
      <c r="AL475">
        <f t="shared" si="223"/>
        <v>90</v>
      </c>
      <c r="AM475">
        <f t="shared" si="224"/>
        <v>76</v>
      </c>
      <c r="AN475">
        <f t="shared" si="225"/>
        <v>178</v>
      </c>
      <c r="AO475">
        <f t="shared" si="226"/>
        <v>162</v>
      </c>
      <c r="AP475">
        <f t="shared" si="227"/>
        <v>130</v>
      </c>
      <c r="AQ475">
        <f t="shared" si="228"/>
        <v>117</v>
      </c>
      <c r="AR475">
        <f t="shared" si="229"/>
        <v>103</v>
      </c>
      <c r="AS475">
        <f t="shared" si="230"/>
        <v>145</v>
      </c>
      <c r="AT475">
        <f t="shared" si="231"/>
        <v>132</v>
      </c>
      <c r="AU475">
        <f t="shared" si="232"/>
        <v>100</v>
      </c>
      <c r="AV475">
        <f t="shared" si="233"/>
        <v>90</v>
      </c>
      <c r="AW475">
        <f t="shared" si="234"/>
        <v>76</v>
      </c>
      <c r="AX475">
        <f t="shared" si="235"/>
        <v>167</v>
      </c>
      <c r="AY475">
        <f t="shared" si="236"/>
        <v>152</v>
      </c>
      <c r="AZ475">
        <f t="shared" si="237"/>
        <v>120</v>
      </c>
      <c r="BA475">
        <f t="shared" si="238"/>
        <v>108</v>
      </c>
      <c r="BB475">
        <f t="shared" si="239"/>
        <v>94</v>
      </c>
    </row>
    <row r="476" spans="1:54" x14ac:dyDescent="0.15">
      <c r="A476">
        <v>305</v>
      </c>
      <c r="B476" t="s">
        <v>1723</v>
      </c>
      <c r="C476">
        <v>374</v>
      </c>
      <c r="D476">
        <v>0</v>
      </c>
      <c r="E476" t="s">
        <v>1724</v>
      </c>
      <c r="G476" t="s">
        <v>1724</v>
      </c>
      <c r="H476" t="s">
        <v>1725</v>
      </c>
      <c r="J476" t="s">
        <v>1726</v>
      </c>
      <c r="K476">
        <v>95.2</v>
      </c>
      <c r="L476">
        <v>0.6</v>
      </c>
      <c r="M476" t="s">
        <v>203</v>
      </c>
      <c r="N476" t="s">
        <v>191</v>
      </c>
      <c r="O476" t="s">
        <v>425</v>
      </c>
      <c r="P476" t="s">
        <v>1088</v>
      </c>
      <c r="R476">
        <v>9</v>
      </c>
      <c r="S476">
        <v>40</v>
      </c>
      <c r="T476">
        <v>55</v>
      </c>
      <c r="U476">
        <v>80</v>
      </c>
      <c r="V476">
        <v>35</v>
      </c>
      <c r="W476">
        <v>60</v>
      </c>
      <c r="X476">
        <v>30</v>
      </c>
      <c r="Y476">
        <f t="shared" si="210"/>
        <v>147</v>
      </c>
      <c r="Z476">
        <f t="shared" si="211"/>
        <v>147</v>
      </c>
      <c r="AA476">
        <f t="shared" si="212"/>
        <v>115</v>
      </c>
      <c r="AB476">
        <f t="shared" si="213"/>
        <v>115</v>
      </c>
      <c r="AC476">
        <f t="shared" si="214"/>
        <v>100</v>
      </c>
      <c r="AD476">
        <f t="shared" si="215"/>
        <v>117</v>
      </c>
      <c r="AE476">
        <f t="shared" si="216"/>
        <v>107</v>
      </c>
      <c r="AF476">
        <f t="shared" si="217"/>
        <v>75</v>
      </c>
      <c r="AG476">
        <f t="shared" si="218"/>
        <v>67</v>
      </c>
      <c r="AH476">
        <f t="shared" si="219"/>
        <v>54</v>
      </c>
      <c r="AI476">
        <f t="shared" si="220"/>
        <v>145</v>
      </c>
      <c r="AJ476">
        <f t="shared" si="221"/>
        <v>132</v>
      </c>
      <c r="AK476">
        <f t="shared" si="222"/>
        <v>100</v>
      </c>
      <c r="AL476">
        <f t="shared" si="223"/>
        <v>90</v>
      </c>
      <c r="AM476">
        <f t="shared" si="224"/>
        <v>76</v>
      </c>
      <c r="AN476">
        <f t="shared" si="225"/>
        <v>95</v>
      </c>
      <c r="AO476">
        <f t="shared" si="226"/>
        <v>87</v>
      </c>
      <c r="AP476">
        <f t="shared" si="227"/>
        <v>55</v>
      </c>
      <c r="AQ476">
        <f t="shared" si="228"/>
        <v>49</v>
      </c>
      <c r="AR476">
        <f t="shared" si="229"/>
        <v>36</v>
      </c>
      <c r="AS476">
        <f t="shared" si="230"/>
        <v>123</v>
      </c>
      <c r="AT476">
        <f t="shared" si="231"/>
        <v>112</v>
      </c>
      <c r="AU476">
        <f t="shared" si="232"/>
        <v>80</v>
      </c>
      <c r="AV476">
        <f t="shared" si="233"/>
        <v>72</v>
      </c>
      <c r="AW476">
        <f t="shared" si="234"/>
        <v>58</v>
      </c>
      <c r="AX476">
        <f t="shared" si="235"/>
        <v>90</v>
      </c>
      <c r="AY476">
        <f t="shared" si="236"/>
        <v>82</v>
      </c>
      <c r="AZ476">
        <f t="shared" si="237"/>
        <v>50</v>
      </c>
      <c r="BA476">
        <f t="shared" si="238"/>
        <v>45</v>
      </c>
      <c r="BB476">
        <f t="shared" si="239"/>
        <v>31</v>
      </c>
    </row>
    <row r="477" spans="1:54" x14ac:dyDescent="0.15">
      <c r="A477">
        <v>306</v>
      </c>
      <c r="B477" t="s">
        <v>1727</v>
      </c>
      <c r="C477">
        <v>375</v>
      </c>
      <c r="D477">
        <v>0</v>
      </c>
      <c r="E477" t="s">
        <v>1728</v>
      </c>
      <c r="G477" t="s">
        <v>1728</v>
      </c>
      <c r="H477" t="s">
        <v>1729</v>
      </c>
      <c r="J477" t="s">
        <v>1730</v>
      </c>
      <c r="K477">
        <v>202.5</v>
      </c>
      <c r="L477">
        <v>1.2</v>
      </c>
      <c r="M477" t="s">
        <v>203</v>
      </c>
      <c r="N477" t="s">
        <v>191</v>
      </c>
      <c r="O477" t="s">
        <v>425</v>
      </c>
      <c r="P477" t="s">
        <v>1088</v>
      </c>
      <c r="R477">
        <v>9</v>
      </c>
      <c r="S477">
        <v>60</v>
      </c>
      <c r="T477">
        <v>75</v>
      </c>
      <c r="U477">
        <v>100</v>
      </c>
      <c r="V477">
        <v>55</v>
      </c>
      <c r="W477">
        <v>80</v>
      </c>
      <c r="X477">
        <v>50</v>
      </c>
      <c r="Y477">
        <f t="shared" si="210"/>
        <v>167</v>
      </c>
      <c r="Z477">
        <f t="shared" si="211"/>
        <v>167</v>
      </c>
      <c r="AA477">
        <f t="shared" si="212"/>
        <v>135</v>
      </c>
      <c r="AB477">
        <f t="shared" si="213"/>
        <v>135</v>
      </c>
      <c r="AC477">
        <f t="shared" si="214"/>
        <v>120</v>
      </c>
      <c r="AD477">
        <f t="shared" si="215"/>
        <v>139</v>
      </c>
      <c r="AE477">
        <f t="shared" si="216"/>
        <v>127</v>
      </c>
      <c r="AF477">
        <f t="shared" si="217"/>
        <v>95</v>
      </c>
      <c r="AG477">
        <f t="shared" si="218"/>
        <v>85</v>
      </c>
      <c r="AH477">
        <f t="shared" si="219"/>
        <v>72</v>
      </c>
      <c r="AI477">
        <f t="shared" si="220"/>
        <v>167</v>
      </c>
      <c r="AJ477">
        <f t="shared" si="221"/>
        <v>152</v>
      </c>
      <c r="AK477">
        <f t="shared" si="222"/>
        <v>120</v>
      </c>
      <c r="AL477">
        <f t="shared" si="223"/>
        <v>108</v>
      </c>
      <c r="AM477">
        <f t="shared" si="224"/>
        <v>94</v>
      </c>
      <c r="AN477">
        <f t="shared" si="225"/>
        <v>117</v>
      </c>
      <c r="AO477">
        <f t="shared" si="226"/>
        <v>107</v>
      </c>
      <c r="AP477">
        <f t="shared" si="227"/>
        <v>75</v>
      </c>
      <c r="AQ477">
        <f t="shared" si="228"/>
        <v>67</v>
      </c>
      <c r="AR477">
        <f t="shared" si="229"/>
        <v>54</v>
      </c>
      <c r="AS477">
        <f t="shared" si="230"/>
        <v>145</v>
      </c>
      <c r="AT477">
        <f t="shared" si="231"/>
        <v>132</v>
      </c>
      <c r="AU477">
        <f t="shared" si="232"/>
        <v>100</v>
      </c>
      <c r="AV477">
        <f t="shared" si="233"/>
        <v>90</v>
      </c>
      <c r="AW477">
        <f t="shared" si="234"/>
        <v>76</v>
      </c>
      <c r="AX477">
        <f t="shared" si="235"/>
        <v>112</v>
      </c>
      <c r="AY477">
        <f t="shared" si="236"/>
        <v>102</v>
      </c>
      <c r="AZ477">
        <f t="shared" si="237"/>
        <v>70</v>
      </c>
      <c r="BA477">
        <f t="shared" si="238"/>
        <v>63</v>
      </c>
      <c r="BB477">
        <f t="shared" si="239"/>
        <v>49</v>
      </c>
    </row>
    <row r="478" spans="1:54" x14ac:dyDescent="0.15">
      <c r="A478">
        <v>307</v>
      </c>
      <c r="B478" t="s">
        <v>1731</v>
      </c>
      <c r="C478">
        <v>376</v>
      </c>
      <c r="D478">
        <v>0</v>
      </c>
      <c r="E478" t="s">
        <v>1732</v>
      </c>
      <c r="G478" t="s">
        <v>1732</v>
      </c>
      <c r="H478" t="s">
        <v>1733</v>
      </c>
      <c r="J478" t="s">
        <v>1734</v>
      </c>
      <c r="K478">
        <v>550</v>
      </c>
      <c r="L478">
        <v>1.6</v>
      </c>
      <c r="M478" t="s">
        <v>203</v>
      </c>
      <c r="N478" t="s">
        <v>191</v>
      </c>
      <c r="O478" t="s">
        <v>425</v>
      </c>
      <c r="P478" t="s">
        <v>1088</v>
      </c>
      <c r="R478">
        <v>9</v>
      </c>
      <c r="S478">
        <v>80</v>
      </c>
      <c r="T478">
        <v>135</v>
      </c>
      <c r="U478">
        <v>130</v>
      </c>
      <c r="V478">
        <v>95</v>
      </c>
      <c r="W478">
        <v>90</v>
      </c>
      <c r="X478">
        <v>70</v>
      </c>
      <c r="Y478">
        <f t="shared" si="210"/>
        <v>187</v>
      </c>
      <c r="Z478">
        <f t="shared" si="211"/>
        <v>187</v>
      </c>
      <c r="AA478">
        <f t="shared" si="212"/>
        <v>155</v>
      </c>
      <c r="AB478">
        <f t="shared" si="213"/>
        <v>155</v>
      </c>
      <c r="AC478">
        <f t="shared" si="214"/>
        <v>140</v>
      </c>
      <c r="AD478">
        <f t="shared" si="215"/>
        <v>205</v>
      </c>
      <c r="AE478">
        <f t="shared" si="216"/>
        <v>187</v>
      </c>
      <c r="AF478">
        <f t="shared" si="217"/>
        <v>155</v>
      </c>
      <c r="AG478">
        <f t="shared" si="218"/>
        <v>139</v>
      </c>
      <c r="AH478">
        <f t="shared" si="219"/>
        <v>126</v>
      </c>
      <c r="AI478">
        <f t="shared" si="220"/>
        <v>200</v>
      </c>
      <c r="AJ478">
        <f t="shared" si="221"/>
        <v>182</v>
      </c>
      <c r="AK478">
        <f t="shared" si="222"/>
        <v>150</v>
      </c>
      <c r="AL478">
        <f t="shared" si="223"/>
        <v>135</v>
      </c>
      <c r="AM478">
        <f t="shared" si="224"/>
        <v>121</v>
      </c>
      <c r="AN478">
        <f t="shared" si="225"/>
        <v>161</v>
      </c>
      <c r="AO478">
        <f t="shared" si="226"/>
        <v>147</v>
      </c>
      <c r="AP478">
        <f t="shared" si="227"/>
        <v>115</v>
      </c>
      <c r="AQ478">
        <f t="shared" si="228"/>
        <v>103</v>
      </c>
      <c r="AR478">
        <f t="shared" si="229"/>
        <v>90</v>
      </c>
      <c r="AS478">
        <f t="shared" si="230"/>
        <v>156</v>
      </c>
      <c r="AT478">
        <f t="shared" si="231"/>
        <v>142</v>
      </c>
      <c r="AU478">
        <f t="shared" si="232"/>
        <v>110</v>
      </c>
      <c r="AV478">
        <f t="shared" si="233"/>
        <v>99</v>
      </c>
      <c r="AW478">
        <f t="shared" si="234"/>
        <v>85</v>
      </c>
      <c r="AX478">
        <f t="shared" si="235"/>
        <v>134</v>
      </c>
      <c r="AY478">
        <f t="shared" si="236"/>
        <v>122</v>
      </c>
      <c r="AZ478">
        <f t="shared" si="237"/>
        <v>90</v>
      </c>
      <c r="BA478">
        <f t="shared" si="238"/>
        <v>81</v>
      </c>
      <c r="BB478">
        <f t="shared" si="239"/>
        <v>67</v>
      </c>
    </row>
    <row r="479" spans="1:54" x14ac:dyDescent="0.15">
      <c r="B479" t="s">
        <v>1735</v>
      </c>
      <c r="C479">
        <v>376</v>
      </c>
      <c r="D479">
        <v>1</v>
      </c>
      <c r="E479" t="s">
        <v>1732</v>
      </c>
      <c r="F479" t="s">
        <v>1736</v>
      </c>
      <c r="G479" t="s">
        <v>1736</v>
      </c>
      <c r="J479" t="s">
        <v>1734</v>
      </c>
      <c r="K479">
        <v>942.9</v>
      </c>
      <c r="L479">
        <v>2.5</v>
      </c>
      <c r="M479" t="s">
        <v>203</v>
      </c>
      <c r="N479" t="s">
        <v>191</v>
      </c>
      <c r="O479" t="s">
        <v>61</v>
      </c>
      <c r="P479" t="s">
        <v>1088</v>
      </c>
      <c r="R479">
        <v>7</v>
      </c>
      <c r="S479">
        <v>80</v>
      </c>
      <c r="T479">
        <v>135</v>
      </c>
      <c r="U479">
        <v>130</v>
      </c>
      <c r="V479">
        <v>95</v>
      </c>
      <c r="W479">
        <v>90</v>
      </c>
      <c r="X479">
        <v>70</v>
      </c>
      <c r="Y479">
        <f t="shared" si="210"/>
        <v>187</v>
      </c>
      <c r="Z479">
        <f t="shared" si="211"/>
        <v>187</v>
      </c>
      <c r="AA479">
        <f t="shared" si="212"/>
        <v>155</v>
      </c>
      <c r="AB479">
        <f t="shared" si="213"/>
        <v>155</v>
      </c>
      <c r="AC479">
        <f t="shared" si="214"/>
        <v>140</v>
      </c>
      <c r="AD479">
        <f t="shared" si="215"/>
        <v>205</v>
      </c>
      <c r="AE479">
        <f t="shared" si="216"/>
        <v>187</v>
      </c>
      <c r="AF479">
        <f t="shared" si="217"/>
        <v>155</v>
      </c>
      <c r="AG479">
        <f t="shared" si="218"/>
        <v>139</v>
      </c>
      <c r="AH479">
        <f t="shared" si="219"/>
        <v>126</v>
      </c>
      <c r="AI479">
        <f t="shared" si="220"/>
        <v>200</v>
      </c>
      <c r="AJ479">
        <f t="shared" si="221"/>
        <v>182</v>
      </c>
      <c r="AK479">
        <f t="shared" si="222"/>
        <v>150</v>
      </c>
      <c r="AL479">
        <f t="shared" si="223"/>
        <v>135</v>
      </c>
      <c r="AM479">
        <f t="shared" si="224"/>
        <v>121</v>
      </c>
      <c r="AN479">
        <f t="shared" si="225"/>
        <v>161</v>
      </c>
      <c r="AO479">
        <f t="shared" si="226"/>
        <v>147</v>
      </c>
      <c r="AP479">
        <f t="shared" si="227"/>
        <v>115</v>
      </c>
      <c r="AQ479">
        <f t="shared" si="228"/>
        <v>103</v>
      </c>
      <c r="AR479">
        <f t="shared" si="229"/>
        <v>90</v>
      </c>
      <c r="AS479">
        <f t="shared" si="230"/>
        <v>156</v>
      </c>
      <c r="AT479">
        <f t="shared" si="231"/>
        <v>142</v>
      </c>
      <c r="AU479">
        <f t="shared" si="232"/>
        <v>110</v>
      </c>
      <c r="AV479">
        <f t="shared" si="233"/>
        <v>99</v>
      </c>
      <c r="AW479">
        <f t="shared" si="234"/>
        <v>85</v>
      </c>
      <c r="AX479">
        <f t="shared" si="235"/>
        <v>134</v>
      </c>
      <c r="AY479">
        <f t="shared" si="236"/>
        <v>122</v>
      </c>
      <c r="AZ479">
        <f t="shared" si="237"/>
        <v>90</v>
      </c>
      <c r="BA479">
        <f t="shared" si="238"/>
        <v>81</v>
      </c>
      <c r="BB479">
        <f t="shared" si="239"/>
        <v>67</v>
      </c>
    </row>
    <row r="480" spans="1:54" x14ac:dyDescent="0.15">
      <c r="A480">
        <v>308</v>
      </c>
      <c r="B480" t="s">
        <v>1737</v>
      </c>
      <c r="C480">
        <v>377</v>
      </c>
      <c r="D480">
        <v>0</v>
      </c>
      <c r="E480" t="s">
        <v>1738</v>
      </c>
      <c r="G480" t="s">
        <v>1738</v>
      </c>
      <c r="H480" t="s">
        <v>1739</v>
      </c>
      <c r="J480" t="s">
        <v>1740</v>
      </c>
      <c r="K480">
        <v>230</v>
      </c>
      <c r="L480">
        <v>1.7</v>
      </c>
      <c r="M480" t="s">
        <v>371</v>
      </c>
      <c r="O480" t="s">
        <v>425</v>
      </c>
      <c r="P480" t="s">
        <v>435</v>
      </c>
      <c r="R480">
        <v>9</v>
      </c>
      <c r="S480">
        <v>80</v>
      </c>
      <c r="T480">
        <v>100</v>
      </c>
      <c r="U480">
        <v>200</v>
      </c>
      <c r="V480">
        <v>50</v>
      </c>
      <c r="W480">
        <v>100</v>
      </c>
      <c r="X480">
        <v>50</v>
      </c>
      <c r="Y480">
        <f t="shared" si="210"/>
        <v>187</v>
      </c>
      <c r="Z480">
        <f t="shared" si="211"/>
        <v>187</v>
      </c>
      <c r="AA480">
        <f t="shared" si="212"/>
        <v>155</v>
      </c>
      <c r="AB480">
        <f t="shared" si="213"/>
        <v>155</v>
      </c>
      <c r="AC480">
        <f t="shared" si="214"/>
        <v>140</v>
      </c>
      <c r="AD480">
        <f t="shared" si="215"/>
        <v>167</v>
      </c>
      <c r="AE480">
        <f t="shared" si="216"/>
        <v>152</v>
      </c>
      <c r="AF480">
        <f t="shared" si="217"/>
        <v>120</v>
      </c>
      <c r="AG480">
        <f t="shared" si="218"/>
        <v>108</v>
      </c>
      <c r="AH480">
        <f t="shared" si="219"/>
        <v>94</v>
      </c>
      <c r="AI480">
        <f t="shared" si="220"/>
        <v>277</v>
      </c>
      <c r="AJ480">
        <f t="shared" si="221"/>
        <v>252</v>
      </c>
      <c r="AK480">
        <f t="shared" si="222"/>
        <v>220</v>
      </c>
      <c r="AL480">
        <f t="shared" si="223"/>
        <v>198</v>
      </c>
      <c r="AM480">
        <f t="shared" si="224"/>
        <v>184</v>
      </c>
      <c r="AN480">
        <f t="shared" si="225"/>
        <v>112</v>
      </c>
      <c r="AO480">
        <f t="shared" si="226"/>
        <v>102</v>
      </c>
      <c r="AP480">
        <f t="shared" si="227"/>
        <v>70</v>
      </c>
      <c r="AQ480">
        <f t="shared" si="228"/>
        <v>63</v>
      </c>
      <c r="AR480">
        <f t="shared" si="229"/>
        <v>49</v>
      </c>
      <c r="AS480">
        <f t="shared" si="230"/>
        <v>167</v>
      </c>
      <c r="AT480">
        <f t="shared" si="231"/>
        <v>152</v>
      </c>
      <c r="AU480">
        <f t="shared" si="232"/>
        <v>120</v>
      </c>
      <c r="AV480">
        <f t="shared" si="233"/>
        <v>108</v>
      </c>
      <c r="AW480">
        <f t="shared" si="234"/>
        <v>94</v>
      </c>
      <c r="AX480">
        <f t="shared" si="235"/>
        <v>112</v>
      </c>
      <c r="AY480">
        <f t="shared" si="236"/>
        <v>102</v>
      </c>
      <c r="AZ480">
        <f t="shared" si="237"/>
        <v>70</v>
      </c>
      <c r="BA480">
        <f t="shared" si="238"/>
        <v>63</v>
      </c>
      <c r="BB480">
        <f t="shared" si="239"/>
        <v>49</v>
      </c>
    </row>
    <row r="481" spans="1:54" x14ac:dyDescent="0.15">
      <c r="A481">
        <v>309</v>
      </c>
      <c r="B481" t="s">
        <v>1741</v>
      </c>
      <c r="C481">
        <v>378</v>
      </c>
      <c r="D481">
        <v>0</v>
      </c>
      <c r="E481" t="s">
        <v>1742</v>
      </c>
      <c r="G481" t="s">
        <v>1742</v>
      </c>
      <c r="H481" t="s">
        <v>1743</v>
      </c>
      <c r="J481" t="s">
        <v>1744</v>
      </c>
      <c r="K481">
        <v>175</v>
      </c>
      <c r="L481">
        <v>1.8</v>
      </c>
      <c r="M481" t="s">
        <v>202</v>
      </c>
      <c r="O481" t="s">
        <v>425</v>
      </c>
      <c r="P481" t="s">
        <v>514</v>
      </c>
      <c r="R481">
        <v>9</v>
      </c>
      <c r="S481">
        <v>80</v>
      </c>
      <c r="T481">
        <v>50</v>
      </c>
      <c r="U481">
        <v>100</v>
      </c>
      <c r="V481">
        <v>100</v>
      </c>
      <c r="W481">
        <v>200</v>
      </c>
      <c r="X481">
        <v>50</v>
      </c>
      <c r="Y481">
        <f t="shared" si="210"/>
        <v>187</v>
      </c>
      <c r="Z481">
        <f t="shared" si="211"/>
        <v>187</v>
      </c>
      <c r="AA481">
        <f t="shared" si="212"/>
        <v>155</v>
      </c>
      <c r="AB481">
        <f t="shared" si="213"/>
        <v>155</v>
      </c>
      <c r="AC481">
        <f t="shared" si="214"/>
        <v>140</v>
      </c>
      <c r="AD481">
        <f t="shared" si="215"/>
        <v>112</v>
      </c>
      <c r="AE481">
        <f t="shared" si="216"/>
        <v>102</v>
      </c>
      <c r="AF481">
        <f t="shared" si="217"/>
        <v>70</v>
      </c>
      <c r="AG481">
        <f t="shared" si="218"/>
        <v>63</v>
      </c>
      <c r="AH481">
        <f t="shared" si="219"/>
        <v>49</v>
      </c>
      <c r="AI481">
        <f t="shared" si="220"/>
        <v>167</v>
      </c>
      <c r="AJ481">
        <f t="shared" si="221"/>
        <v>152</v>
      </c>
      <c r="AK481">
        <f t="shared" si="222"/>
        <v>120</v>
      </c>
      <c r="AL481">
        <f t="shared" si="223"/>
        <v>108</v>
      </c>
      <c r="AM481">
        <f t="shared" si="224"/>
        <v>94</v>
      </c>
      <c r="AN481">
        <f t="shared" si="225"/>
        <v>167</v>
      </c>
      <c r="AO481">
        <f t="shared" si="226"/>
        <v>152</v>
      </c>
      <c r="AP481">
        <f t="shared" si="227"/>
        <v>120</v>
      </c>
      <c r="AQ481">
        <f t="shared" si="228"/>
        <v>108</v>
      </c>
      <c r="AR481">
        <f t="shared" si="229"/>
        <v>94</v>
      </c>
      <c r="AS481">
        <f t="shared" si="230"/>
        <v>277</v>
      </c>
      <c r="AT481">
        <f t="shared" si="231"/>
        <v>252</v>
      </c>
      <c r="AU481">
        <f t="shared" si="232"/>
        <v>220</v>
      </c>
      <c r="AV481">
        <f t="shared" si="233"/>
        <v>198</v>
      </c>
      <c r="AW481">
        <f t="shared" si="234"/>
        <v>184</v>
      </c>
      <c r="AX481">
        <f t="shared" si="235"/>
        <v>112</v>
      </c>
      <c r="AY481">
        <f t="shared" si="236"/>
        <v>102</v>
      </c>
      <c r="AZ481">
        <f t="shared" si="237"/>
        <v>70</v>
      </c>
      <c r="BA481">
        <f t="shared" si="238"/>
        <v>63</v>
      </c>
      <c r="BB481">
        <f t="shared" si="239"/>
        <v>49</v>
      </c>
    </row>
    <row r="482" spans="1:54" x14ac:dyDescent="0.15">
      <c r="A482">
        <v>310</v>
      </c>
      <c r="B482" t="s">
        <v>1745</v>
      </c>
      <c r="C482">
        <v>379</v>
      </c>
      <c r="D482">
        <v>0</v>
      </c>
      <c r="E482" t="s">
        <v>1746</v>
      </c>
      <c r="G482" t="s">
        <v>1746</v>
      </c>
      <c r="H482" t="s">
        <v>1747</v>
      </c>
      <c r="J482" t="s">
        <v>1748</v>
      </c>
      <c r="K482">
        <v>205</v>
      </c>
      <c r="L482">
        <v>1.9</v>
      </c>
      <c r="M482" t="s">
        <v>203</v>
      </c>
      <c r="O482" t="s">
        <v>425</v>
      </c>
      <c r="P482" t="s">
        <v>1088</v>
      </c>
      <c r="R482">
        <v>9</v>
      </c>
      <c r="S482">
        <v>80</v>
      </c>
      <c r="T482">
        <v>75</v>
      </c>
      <c r="U482">
        <v>150</v>
      </c>
      <c r="V482">
        <v>75</v>
      </c>
      <c r="W482">
        <v>150</v>
      </c>
      <c r="X482">
        <v>50</v>
      </c>
      <c r="Y482">
        <f t="shared" si="210"/>
        <v>187</v>
      </c>
      <c r="Z482">
        <f t="shared" si="211"/>
        <v>187</v>
      </c>
      <c r="AA482">
        <f t="shared" si="212"/>
        <v>155</v>
      </c>
      <c r="AB482">
        <f t="shared" si="213"/>
        <v>155</v>
      </c>
      <c r="AC482">
        <f t="shared" si="214"/>
        <v>140</v>
      </c>
      <c r="AD482">
        <f t="shared" si="215"/>
        <v>139</v>
      </c>
      <c r="AE482">
        <f t="shared" si="216"/>
        <v>127</v>
      </c>
      <c r="AF482">
        <f t="shared" si="217"/>
        <v>95</v>
      </c>
      <c r="AG482">
        <f t="shared" si="218"/>
        <v>85</v>
      </c>
      <c r="AH482">
        <f t="shared" si="219"/>
        <v>72</v>
      </c>
      <c r="AI482">
        <f t="shared" si="220"/>
        <v>222</v>
      </c>
      <c r="AJ482">
        <f t="shared" si="221"/>
        <v>202</v>
      </c>
      <c r="AK482">
        <f t="shared" si="222"/>
        <v>170</v>
      </c>
      <c r="AL482">
        <f t="shared" si="223"/>
        <v>153</v>
      </c>
      <c r="AM482">
        <f t="shared" si="224"/>
        <v>139</v>
      </c>
      <c r="AN482">
        <f t="shared" si="225"/>
        <v>139</v>
      </c>
      <c r="AO482">
        <f t="shared" si="226"/>
        <v>127</v>
      </c>
      <c r="AP482">
        <f t="shared" si="227"/>
        <v>95</v>
      </c>
      <c r="AQ482">
        <f t="shared" si="228"/>
        <v>85</v>
      </c>
      <c r="AR482">
        <f t="shared" si="229"/>
        <v>72</v>
      </c>
      <c r="AS482">
        <f t="shared" si="230"/>
        <v>222</v>
      </c>
      <c r="AT482">
        <f t="shared" si="231"/>
        <v>202</v>
      </c>
      <c r="AU482">
        <f t="shared" si="232"/>
        <v>170</v>
      </c>
      <c r="AV482">
        <f t="shared" si="233"/>
        <v>153</v>
      </c>
      <c r="AW482">
        <f t="shared" si="234"/>
        <v>139</v>
      </c>
      <c r="AX482">
        <f t="shared" si="235"/>
        <v>112</v>
      </c>
      <c r="AY482">
        <f t="shared" si="236"/>
        <v>102</v>
      </c>
      <c r="AZ482">
        <f t="shared" si="237"/>
        <v>70</v>
      </c>
      <c r="BA482">
        <f t="shared" si="238"/>
        <v>63</v>
      </c>
      <c r="BB482">
        <f t="shared" si="239"/>
        <v>49</v>
      </c>
    </row>
    <row r="483" spans="1:54" x14ac:dyDescent="0.15">
      <c r="A483">
        <v>311</v>
      </c>
      <c r="B483" t="s">
        <v>1749</v>
      </c>
      <c r="C483">
        <v>380</v>
      </c>
      <c r="D483">
        <v>0</v>
      </c>
      <c r="E483" t="s">
        <v>1750</v>
      </c>
      <c r="G483" t="s">
        <v>1750</v>
      </c>
      <c r="H483" t="s">
        <v>1751</v>
      </c>
      <c r="J483" t="s">
        <v>1752</v>
      </c>
      <c r="K483">
        <v>40</v>
      </c>
      <c r="L483">
        <v>1.4</v>
      </c>
      <c r="M483" t="s">
        <v>60</v>
      </c>
      <c r="N483" t="s">
        <v>191</v>
      </c>
      <c r="O483" t="s">
        <v>547</v>
      </c>
      <c r="R483">
        <v>9</v>
      </c>
      <c r="S483">
        <v>80</v>
      </c>
      <c r="T483">
        <v>80</v>
      </c>
      <c r="U483">
        <v>90</v>
      </c>
      <c r="V483">
        <v>110</v>
      </c>
      <c r="W483">
        <v>130</v>
      </c>
      <c r="X483">
        <v>110</v>
      </c>
      <c r="Y483">
        <f t="shared" si="210"/>
        <v>187</v>
      </c>
      <c r="Z483">
        <f t="shared" si="211"/>
        <v>187</v>
      </c>
      <c r="AA483">
        <f t="shared" si="212"/>
        <v>155</v>
      </c>
      <c r="AB483">
        <f t="shared" si="213"/>
        <v>155</v>
      </c>
      <c r="AC483">
        <f t="shared" si="214"/>
        <v>140</v>
      </c>
      <c r="AD483">
        <f t="shared" si="215"/>
        <v>145</v>
      </c>
      <c r="AE483">
        <f t="shared" si="216"/>
        <v>132</v>
      </c>
      <c r="AF483">
        <f t="shared" si="217"/>
        <v>100</v>
      </c>
      <c r="AG483">
        <f t="shared" si="218"/>
        <v>90</v>
      </c>
      <c r="AH483">
        <f t="shared" si="219"/>
        <v>76</v>
      </c>
      <c r="AI483">
        <f t="shared" si="220"/>
        <v>156</v>
      </c>
      <c r="AJ483">
        <f t="shared" si="221"/>
        <v>142</v>
      </c>
      <c r="AK483">
        <f t="shared" si="222"/>
        <v>110</v>
      </c>
      <c r="AL483">
        <f t="shared" si="223"/>
        <v>99</v>
      </c>
      <c r="AM483">
        <f t="shared" si="224"/>
        <v>85</v>
      </c>
      <c r="AN483">
        <f t="shared" si="225"/>
        <v>178</v>
      </c>
      <c r="AO483">
        <f t="shared" si="226"/>
        <v>162</v>
      </c>
      <c r="AP483">
        <f t="shared" si="227"/>
        <v>130</v>
      </c>
      <c r="AQ483">
        <f t="shared" si="228"/>
        <v>117</v>
      </c>
      <c r="AR483">
        <f t="shared" si="229"/>
        <v>103</v>
      </c>
      <c r="AS483">
        <f t="shared" si="230"/>
        <v>200</v>
      </c>
      <c r="AT483">
        <f t="shared" si="231"/>
        <v>182</v>
      </c>
      <c r="AU483">
        <f t="shared" si="232"/>
        <v>150</v>
      </c>
      <c r="AV483">
        <f t="shared" si="233"/>
        <v>135</v>
      </c>
      <c r="AW483">
        <f t="shared" si="234"/>
        <v>121</v>
      </c>
      <c r="AX483">
        <f t="shared" si="235"/>
        <v>178</v>
      </c>
      <c r="AY483">
        <f t="shared" si="236"/>
        <v>162</v>
      </c>
      <c r="AZ483">
        <f t="shared" si="237"/>
        <v>130</v>
      </c>
      <c r="BA483">
        <f t="shared" si="238"/>
        <v>117</v>
      </c>
      <c r="BB483">
        <f t="shared" si="239"/>
        <v>103</v>
      </c>
    </row>
    <row r="484" spans="1:54" x14ac:dyDescent="0.15">
      <c r="B484" t="s">
        <v>1753</v>
      </c>
      <c r="C484">
        <v>380</v>
      </c>
      <c r="D484">
        <v>1</v>
      </c>
      <c r="E484" t="s">
        <v>1750</v>
      </c>
      <c r="F484" t="s">
        <v>1754</v>
      </c>
      <c r="G484" t="s">
        <v>1754</v>
      </c>
      <c r="J484" t="s">
        <v>1752</v>
      </c>
      <c r="K484">
        <v>52</v>
      </c>
      <c r="L484">
        <v>1.8</v>
      </c>
      <c r="M484" t="s">
        <v>60</v>
      </c>
      <c r="N484" t="s">
        <v>191</v>
      </c>
      <c r="O484" t="s">
        <v>547</v>
      </c>
      <c r="R484">
        <v>7</v>
      </c>
      <c r="S484">
        <v>80</v>
      </c>
      <c r="T484">
        <v>80</v>
      </c>
      <c r="U484">
        <v>90</v>
      </c>
      <c r="V484">
        <v>110</v>
      </c>
      <c r="W484">
        <v>130</v>
      </c>
      <c r="X484">
        <v>110</v>
      </c>
      <c r="Y484">
        <f t="shared" si="210"/>
        <v>187</v>
      </c>
      <c r="Z484">
        <f t="shared" si="211"/>
        <v>187</v>
      </c>
      <c r="AA484">
        <f t="shared" si="212"/>
        <v>155</v>
      </c>
      <c r="AB484">
        <f t="shared" si="213"/>
        <v>155</v>
      </c>
      <c r="AC484">
        <f t="shared" si="214"/>
        <v>140</v>
      </c>
      <c r="AD484">
        <f t="shared" si="215"/>
        <v>145</v>
      </c>
      <c r="AE484">
        <f t="shared" si="216"/>
        <v>132</v>
      </c>
      <c r="AF484">
        <f t="shared" si="217"/>
        <v>100</v>
      </c>
      <c r="AG484">
        <f t="shared" si="218"/>
        <v>90</v>
      </c>
      <c r="AH484">
        <f t="shared" si="219"/>
        <v>76</v>
      </c>
      <c r="AI484">
        <f t="shared" si="220"/>
        <v>156</v>
      </c>
      <c r="AJ484">
        <f t="shared" si="221"/>
        <v>142</v>
      </c>
      <c r="AK484">
        <f t="shared" si="222"/>
        <v>110</v>
      </c>
      <c r="AL484">
        <f t="shared" si="223"/>
        <v>99</v>
      </c>
      <c r="AM484">
        <f t="shared" si="224"/>
        <v>85</v>
      </c>
      <c r="AN484">
        <f t="shared" si="225"/>
        <v>178</v>
      </c>
      <c r="AO484">
        <f t="shared" si="226"/>
        <v>162</v>
      </c>
      <c r="AP484">
        <f t="shared" si="227"/>
        <v>130</v>
      </c>
      <c r="AQ484">
        <f t="shared" si="228"/>
        <v>117</v>
      </c>
      <c r="AR484">
        <f t="shared" si="229"/>
        <v>103</v>
      </c>
      <c r="AS484">
        <f t="shared" si="230"/>
        <v>200</v>
      </c>
      <c r="AT484">
        <f t="shared" si="231"/>
        <v>182</v>
      </c>
      <c r="AU484">
        <f t="shared" si="232"/>
        <v>150</v>
      </c>
      <c r="AV484">
        <f t="shared" si="233"/>
        <v>135</v>
      </c>
      <c r="AW484">
        <f t="shared" si="234"/>
        <v>121</v>
      </c>
      <c r="AX484">
        <f t="shared" si="235"/>
        <v>178</v>
      </c>
      <c r="AY484">
        <f t="shared" si="236"/>
        <v>162</v>
      </c>
      <c r="AZ484">
        <f t="shared" si="237"/>
        <v>130</v>
      </c>
      <c r="BA484">
        <f t="shared" si="238"/>
        <v>117</v>
      </c>
      <c r="BB484">
        <f t="shared" si="239"/>
        <v>103</v>
      </c>
    </row>
    <row r="485" spans="1:54" x14ac:dyDescent="0.15">
      <c r="A485">
        <v>312</v>
      </c>
      <c r="B485" t="s">
        <v>1755</v>
      </c>
      <c r="C485">
        <v>381</v>
      </c>
      <c r="D485">
        <v>0</v>
      </c>
      <c r="E485" t="s">
        <v>1756</v>
      </c>
      <c r="G485" t="s">
        <v>1756</v>
      </c>
      <c r="H485" t="s">
        <v>1757</v>
      </c>
      <c r="J485" t="s">
        <v>1752</v>
      </c>
      <c r="K485">
        <v>60</v>
      </c>
      <c r="L485">
        <v>2</v>
      </c>
      <c r="M485" t="s">
        <v>60</v>
      </c>
      <c r="N485" t="s">
        <v>191</v>
      </c>
      <c r="O485" t="s">
        <v>547</v>
      </c>
      <c r="R485">
        <v>9</v>
      </c>
      <c r="S485">
        <v>80</v>
      </c>
      <c r="T485">
        <v>90</v>
      </c>
      <c r="U485">
        <v>80</v>
      </c>
      <c r="V485">
        <v>130</v>
      </c>
      <c r="W485">
        <v>110</v>
      </c>
      <c r="X485">
        <v>110</v>
      </c>
      <c r="Y485">
        <f t="shared" si="210"/>
        <v>187</v>
      </c>
      <c r="Z485">
        <f t="shared" si="211"/>
        <v>187</v>
      </c>
      <c r="AA485">
        <f t="shared" si="212"/>
        <v>155</v>
      </c>
      <c r="AB485">
        <f t="shared" si="213"/>
        <v>155</v>
      </c>
      <c r="AC485">
        <f t="shared" si="214"/>
        <v>140</v>
      </c>
      <c r="AD485">
        <f t="shared" si="215"/>
        <v>156</v>
      </c>
      <c r="AE485">
        <f t="shared" si="216"/>
        <v>142</v>
      </c>
      <c r="AF485">
        <f t="shared" si="217"/>
        <v>110</v>
      </c>
      <c r="AG485">
        <f t="shared" si="218"/>
        <v>99</v>
      </c>
      <c r="AH485">
        <f t="shared" si="219"/>
        <v>85</v>
      </c>
      <c r="AI485">
        <f t="shared" si="220"/>
        <v>145</v>
      </c>
      <c r="AJ485">
        <f t="shared" si="221"/>
        <v>132</v>
      </c>
      <c r="AK485">
        <f t="shared" si="222"/>
        <v>100</v>
      </c>
      <c r="AL485">
        <f t="shared" si="223"/>
        <v>90</v>
      </c>
      <c r="AM485">
        <f t="shared" si="224"/>
        <v>76</v>
      </c>
      <c r="AN485">
        <f t="shared" si="225"/>
        <v>200</v>
      </c>
      <c r="AO485">
        <f t="shared" si="226"/>
        <v>182</v>
      </c>
      <c r="AP485">
        <f t="shared" si="227"/>
        <v>150</v>
      </c>
      <c r="AQ485">
        <f t="shared" si="228"/>
        <v>135</v>
      </c>
      <c r="AR485">
        <f t="shared" si="229"/>
        <v>121</v>
      </c>
      <c r="AS485">
        <f t="shared" si="230"/>
        <v>178</v>
      </c>
      <c r="AT485">
        <f t="shared" si="231"/>
        <v>162</v>
      </c>
      <c r="AU485">
        <f t="shared" si="232"/>
        <v>130</v>
      </c>
      <c r="AV485">
        <f t="shared" si="233"/>
        <v>117</v>
      </c>
      <c r="AW485">
        <f t="shared" si="234"/>
        <v>103</v>
      </c>
      <c r="AX485">
        <f t="shared" si="235"/>
        <v>178</v>
      </c>
      <c r="AY485">
        <f t="shared" si="236"/>
        <v>162</v>
      </c>
      <c r="AZ485">
        <f t="shared" si="237"/>
        <v>130</v>
      </c>
      <c r="BA485">
        <f t="shared" si="238"/>
        <v>117</v>
      </c>
      <c r="BB485">
        <f t="shared" si="239"/>
        <v>103</v>
      </c>
    </row>
    <row r="486" spans="1:54" x14ac:dyDescent="0.15">
      <c r="B486" t="s">
        <v>1758</v>
      </c>
      <c r="C486">
        <v>381</v>
      </c>
      <c r="D486">
        <v>1</v>
      </c>
      <c r="E486" t="s">
        <v>1756</v>
      </c>
      <c r="F486" t="s">
        <v>1759</v>
      </c>
      <c r="G486" t="s">
        <v>1759</v>
      </c>
      <c r="J486" t="s">
        <v>1752</v>
      </c>
      <c r="K486">
        <v>70</v>
      </c>
      <c r="L486">
        <v>2.2999999999999998</v>
      </c>
      <c r="M486" t="s">
        <v>60</v>
      </c>
      <c r="N486" t="s">
        <v>191</v>
      </c>
      <c r="O486" t="s">
        <v>547</v>
      </c>
      <c r="R486">
        <v>7</v>
      </c>
      <c r="S486">
        <v>80</v>
      </c>
      <c r="T486">
        <v>90</v>
      </c>
      <c r="U486">
        <v>80</v>
      </c>
      <c r="V486">
        <v>130</v>
      </c>
      <c r="W486">
        <v>110</v>
      </c>
      <c r="X486">
        <v>110</v>
      </c>
      <c r="Y486">
        <f t="shared" si="210"/>
        <v>187</v>
      </c>
      <c r="Z486">
        <f t="shared" si="211"/>
        <v>187</v>
      </c>
      <c r="AA486">
        <f t="shared" si="212"/>
        <v>155</v>
      </c>
      <c r="AB486">
        <f t="shared" si="213"/>
        <v>155</v>
      </c>
      <c r="AC486">
        <f t="shared" si="214"/>
        <v>140</v>
      </c>
      <c r="AD486">
        <f t="shared" si="215"/>
        <v>156</v>
      </c>
      <c r="AE486">
        <f t="shared" si="216"/>
        <v>142</v>
      </c>
      <c r="AF486">
        <f t="shared" si="217"/>
        <v>110</v>
      </c>
      <c r="AG486">
        <f t="shared" si="218"/>
        <v>99</v>
      </c>
      <c r="AH486">
        <f t="shared" si="219"/>
        <v>85</v>
      </c>
      <c r="AI486">
        <f t="shared" si="220"/>
        <v>145</v>
      </c>
      <c r="AJ486">
        <f t="shared" si="221"/>
        <v>132</v>
      </c>
      <c r="AK486">
        <f t="shared" si="222"/>
        <v>100</v>
      </c>
      <c r="AL486">
        <f t="shared" si="223"/>
        <v>90</v>
      </c>
      <c r="AM486">
        <f t="shared" si="224"/>
        <v>76</v>
      </c>
      <c r="AN486">
        <f t="shared" si="225"/>
        <v>200</v>
      </c>
      <c r="AO486">
        <f t="shared" si="226"/>
        <v>182</v>
      </c>
      <c r="AP486">
        <f t="shared" si="227"/>
        <v>150</v>
      </c>
      <c r="AQ486">
        <f t="shared" si="228"/>
        <v>135</v>
      </c>
      <c r="AR486">
        <f t="shared" si="229"/>
        <v>121</v>
      </c>
      <c r="AS486">
        <f t="shared" si="230"/>
        <v>178</v>
      </c>
      <c r="AT486">
        <f t="shared" si="231"/>
        <v>162</v>
      </c>
      <c r="AU486">
        <f t="shared" si="232"/>
        <v>130</v>
      </c>
      <c r="AV486">
        <f t="shared" si="233"/>
        <v>117</v>
      </c>
      <c r="AW486">
        <f t="shared" si="234"/>
        <v>103</v>
      </c>
      <c r="AX486">
        <f t="shared" si="235"/>
        <v>178</v>
      </c>
      <c r="AY486">
        <f t="shared" si="236"/>
        <v>162</v>
      </c>
      <c r="AZ486">
        <f t="shared" si="237"/>
        <v>130</v>
      </c>
      <c r="BA486">
        <f t="shared" si="238"/>
        <v>117</v>
      </c>
      <c r="BB486">
        <f t="shared" si="239"/>
        <v>103</v>
      </c>
    </row>
    <row r="487" spans="1:54" x14ac:dyDescent="0.15">
      <c r="A487">
        <v>313</v>
      </c>
      <c r="B487" t="s">
        <v>1760</v>
      </c>
      <c r="C487">
        <v>382</v>
      </c>
      <c r="D487">
        <v>0</v>
      </c>
      <c r="E487" t="s">
        <v>1761</v>
      </c>
      <c r="F487" t="s">
        <v>1762</v>
      </c>
      <c r="G487" t="s">
        <v>1761</v>
      </c>
      <c r="H487" t="s">
        <v>1763</v>
      </c>
      <c r="J487" t="s">
        <v>1764</v>
      </c>
      <c r="K487">
        <v>352</v>
      </c>
      <c r="L487">
        <v>4.5</v>
      </c>
      <c r="M487" t="s">
        <v>71</v>
      </c>
      <c r="O487" t="s">
        <v>978</v>
      </c>
      <c r="R487">
        <v>9</v>
      </c>
      <c r="S487">
        <v>100</v>
      </c>
      <c r="T487">
        <v>100</v>
      </c>
      <c r="U487">
        <v>90</v>
      </c>
      <c r="V487">
        <v>150</v>
      </c>
      <c r="W487">
        <v>140</v>
      </c>
      <c r="X487">
        <v>90</v>
      </c>
      <c r="Y487">
        <f t="shared" si="210"/>
        <v>207</v>
      </c>
      <c r="Z487">
        <f t="shared" si="211"/>
        <v>207</v>
      </c>
      <c r="AA487">
        <f t="shared" si="212"/>
        <v>175</v>
      </c>
      <c r="AB487">
        <f t="shared" si="213"/>
        <v>175</v>
      </c>
      <c r="AC487">
        <f t="shared" si="214"/>
        <v>160</v>
      </c>
      <c r="AD487">
        <f t="shared" si="215"/>
        <v>167</v>
      </c>
      <c r="AE487">
        <f t="shared" si="216"/>
        <v>152</v>
      </c>
      <c r="AF487">
        <f t="shared" si="217"/>
        <v>120</v>
      </c>
      <c r="AG487">
        <f t="shared" si="218"/>
        <v>108</v>
      </c>
      <c r="AH487">
        <f t="shared" si="219"/>
        <v>94</v>
      </c>
      <c r="AI487">
        <f t="shared" si="220"/>
        <v>156</v>
      </c>
      <c r="AJ487">
        <f t="shared" si="221"/>
        <v>142</v>
      </c>
      <c r="AK487">
        <f t="shared" si="222"/>
        <v>110</v>
      </c>
      <c r="AL487">
        <f t="shared" si="223"/>
        <v>99</v>
      </c>
      <c r="AM487">
        <f t="shared" si="224"/>
        <v>85</v>
      </c>
      <c r="AN487">
        <f t="shared" si="225"/>
        <v>222</v>
      </c>
      <c r="AO487">
        <f t="shared" si="226"/>
        <v>202</v>
      </c>
      <c r="AP487">
        <f t="shared" si="227"/>
        <v>170</v>
      </c>
      <c r="AQ487">
        <f t="shared" si="228"/>
        <v>153</v>
      </c>
      <c r="AR487">
        <f t="shared" si="229"/>
        <v>139</v>
      </c>
      <c r="AS487">
        <f t="shared" si="230"/>
        <v>211</v>
      </c>
      <c r="AT487">
        <f t="shared" si="231"/>
        <v>192</v>
      </c>
      <c r="AU487">
        <f t="shared" si="232"/>
        <v>160</v>
      </c>
      <c r="AV487">
        <f t="shared" si="233"/>
        <v>144</v>
      </c>
      <c r="AW487">
        <f t="shared" si="234"/>
        <v>130</v>
      </c>
      <c r="AX487">
        <f t="shared" si="235"/>
        <v>156</v>
      </c>
      <c r="AY487">
        <f t="shared" si="236"/>
        <v>142</v>
      </c>
      <c r="AZ487">
        <f t="shared" si="237"/>
        <v>110</v>
      </c>
      <c r="BA487">
        <f t="shared" si="238"/>
        <v>99</v>
      </c>
      <c r="BB487">
        <f t="shared" si="239"/>
        <v>85</v>
      </c>
    </row>
    <row r="488" spans="1:54" x14ac:dyDescent="0.15">
      <c r="B488" t="s">
        <v>1765</v>
      </c>
      <c r="C488">
        <v>382</v>
      </c>
      <c r="D488">
        <v>1</v>
      </c>
      <c r="E488" t="s">
        <v>1761</v>
      </c>
      <c r="F488" t="s">
        <v>1766</v>
      </c>
      <c r="G488" t="s">
        <v>1767</v>
      </c>
      <c r="J488" t="s">
        <v>1764</v>
      </c>
      <c r="K488">
        <v>430</v>
      </c>
      <c r="L488">
        <v>9.8000000000000007</v>
      </c>
      <c r="M488" t="s">
        <v>71</v>
      </c>
      <c r="O488" t="s">
        <v>1768</v>
      </c>
      <c r="P488" t="s">
        <v>978</v>
      </c>
      <c r="R488">
        <v>9</v>
      </c>
      <c r="S488">
        <v>100</v>
      </c>
      <c r="T488">
        <v>100</v>
      </c>
      <c r="U488">
        <v>90</v>
      </c>
      <c r="V488">
        <v>150</v>
      </c>
      <c r="W488">
        <v>140</v>
      </c>
      <c r="X488">
        <v>90</v>
      </c>
      <c r="Y488">
        <f t="shared" si="210"/>
        <v>207</v>
      </c>
      <c r="Z488">
        <f t="shared" si="211"/>
        <v>207</v>
      </c>
      <c r="AA488">
        <f t="shared" si="212"/>
        <v>175</v>
      </c>
      <c r="AB488">
        <f t="shared" si="213"/>
        <v>175</v>
      </c>
      <c r="AC488">
        <f t="shared" si="214"/>
        <v>160</v>
      </c>
      <c r="AD488">
        <f t="shared" si="215"/>
        <v>167</v>
      </c>
      <c r="AE488">
        <f t="shared" si="216"/>
        <v>152</v>
      </c>
      <c r="AF488">
        <f t="shared" si="217"/>
        <v>120</v>
      </c>
      <c r="AG488">
        <f t="shared" si="218"/>
        <v>108</v>
      </c>
      <c r="AH488">
        <f t="shared" si="219"/>
        <v>94</v>
      </c>
      <c r="AI488">
        <f t="shared" si="220"/>
        <v>156</v>
      </c>
      <c r="AJ488">
        <f t="shared" si="221"/>
        <v>142</v>
      </c>
      <c r="AK488">
        <f t="shared" si="222"/>
        <v>110</v>
      </c>
      <c r="AL488">
        <f t="shared" si="223"/>
        <v>99</v>
      </c>
      <c r="AM488">
        <f t="shared" si="224"/>
        <v>85</v>
      </c>
      <c r="AN488">
        <f t="shared" si="225"/>
        <v>222</v>
      </c>
      <c r="AO488">
        <f t="shared" si="226"/>
        <v>202</v>
      </c>
      <c r="AP488">
        <f t="shared" si="227"/>
        <v>170</v>
      </c>
      <c r="AQ488">
        <f t="shared" si="228"/>
        <v>153</v>
      </c>
      <c r="AR488">
        <f t="shared" si="229"/>
        <v>139</v>
      </c>
      <c r="AS488">
        <f t="shared" si="230"/>
        <v>211</v>
      </c>
      <c r="AT488">
        <f t="shared" si="231"/>
        <v>192</v>
      </c>
      <c r="AU488">
        <f t="shared" si="232"/>
        <v>160</v>
      </c>
      <c r="AV488">
        <f t="shared" si="233"/>
        <v>144</v>
      </c>
      <c r="AW488">
        <f t="shared" si="234"/>
        <v>130</v>
      </c>
      <c r="AX488">
        <f t="shared" si="235"/>
        <v>156</v>
      </c>
      <c r="AY488">
        <f t="shared" si="236"/>
        <v>142</v>
      </c>
      <c r="AZ488">
        <f t="shared" si="237"/>
        <v>110</v>
      </c>
      <c r="BA488">
        <f t="shared" si="238"/>
        <v>99</v>
      </c>
      <c r="BB488">
        <f t="shared" si="239"/>
        <v>85</v>
      </c>
    </row>
    <row r="489" spans="1:54" x14ac:dyDescent="0.15">
      <c r="A489">
        <v>314</v>
      </c>
      <c r="B489" t="s">
        <v>1769</v>
      </c>
      <c r="C489">
        <v>383</v>
      </c>
      <c r="D489">
        <v>0</v>
      </c>
      <c r="E489" t="s">
        <v>1770</v>
      </c>
      <c r="F489" t="s">
        <v>1771</v>
      </c>
      <c r="G489" t="s">
        <v>1770</v>
      </c>
      <c r="H489" t="s">
        <v>1772</v>
      </c>
      <c r="J489" t="s">
        <v>1773</v>
      </c>
      <c r="K489">
        <v>950</v>
      </c>
      <c r="L489">
        <v>3.5</v>
      </c>
      <c r="M489" t="s">
        <v>196</v>
      </c>
      <c r="O489" t="s">
        <v>64</v>
      </c>
      <c r="R489">
        <v>9</v>
      </c>
      <c r="S489">
        <v>100</v>
      </c>
      <c r="T489">
        <v>150</v>
      </c>
      <c r="U489">
        <v>140</v>
      </c>
      <c r="V489">
        <v>100</v>
      </c>
      <c r="W489">
        <v>90</v>
      </c>
      <c r="X489">
        <v>90</v>
      </c>
      <c r="Y489">
        <f t="shared" si="210"/>
        <v>207</v>
      </c>
      <c r="Z489">
        <f t="shared" si="211"/>
        <v>207</v>
      </c>
      <c r="AA489">
        <f t="shared" si="212"/>
        <v>175</v>
      </c>
      <c r="AB489">
        <f t="shared" si="213"/>
        <v>175</v>
      </c>
      <c r="AC489">
        <f t="shared" si="214"/>
        <v>160</v>
      </c>
      <c r="AD489">
        <f t="shared" si="215"/>
        <v>222</v>
      </c>
      <c r="AE489">
        <f t="shared" si="216"/>
        <v>202</v>
      </c>
      <c r="AF489">
        <f t="shared" si="217"/>
        <v>170</v>
      </c>
      <c r="AG489">
        <f t="shared" si="218"/>
        <v>153</v>
      </c>
      <c r="AH489">
        <f t="shared" si="219"/>
        <v>139</v>
      </c>
      <c r="AI489">
        <f t="shared" si="220"/>
        <v>211</v>
      </c>
      <c r="AJ489">
        <f t="shared" si="221"/>
        <v>192</v>
      </c>
      <c r="AK489">
        <f t="shared" si="222"/>
        <v>160</v>
      </c>
      <c r="AL489">
        <f t="shared" si="223"/>
        <v>144</v>
      </c>
      <c r="AM489">
        <f t="shared" si="224"/>
        <v>130</v>
      </c>
      <c r="AN489">
        <f t="shared" si="225"/>
        <v>167</v>
      </c>
      <c r="AO489">
        <f t="shared" si="226"/>
        <v>152</v>
      </c>
      <c r="AP489">
        <f t="shared" si="227"/>
        <v>120</v>
      </c>
      <c r="AQ489">
        <f t="shared" si="228"/>
        <v>108</v>
      </c>
      <c r="AR489">
        <f t="shared" si="229"/>
        <v>94</v>
      </c>
      <c r="AS489">
        <f t="shared" si="230"/>
        <v>156</v>
      </c>
      <c r="AT489">
        <f t="shared" si="231"/>
        <v>142</v>
      </c>
      <c r="AU489">
        <f t="shared" si="232"/>
        <v>110</v>
      </c>
      <c r="AV489">
        <f t="shared" si="233"/>
        <v>99</v>
      </c>
      <c r="AW489">
        <f t="shared" si="234"/>
        <v>85</v>
      </c>
      <c r="AX489">
        <f t="shared" si="235"/>
        <v>156</v>
      </c>
      <c r="AY489">
        <f t="shared" si="236"/>
        <v>142</v>
      </c>
      <c r="AZ489">
        <f t="shared" si="237"/>
        <v>110</v>
      </c>
      <c r="BA489">
        <f t="shared" si="238"/>
        <v>99</v>
      </c>
      <c r="BB489">
        <f t="shared" si="239"/>
        <v>85</v>
      </c>
    </row>
    <row r="490" spans="1:54" x14ac:dyDescent="0.15">
      <c r="B490" t="s">
        <v>1774</v>
      </c>
      <c r="C490">
        <v>383</v>
      </c>
      <c r="D490">
        <v>1</v>
      </c>
      <c r="E490" t="s">
        <v>1770</v>
      </c>
      <c r="F490" t="s">
        <v>1766</v>
      </c>
      <c r="G490" t="s">
        <v>1775</v>
      </c>
      <c r="J490" t="s">
        <v>1773</v>
      </c>
      <c r="K490">
        <v>999.7</v>
      </c>
      <c r="L490">
        <v>5</v>
      </c>
      <c r="M490" t="s">
        <v>196</v>
      </c>
      <c r="N490" t="s">
        <v>47</v>
      </c>
      <c r="O490" t="s">
        <v>1776</v>
      </c>
      <c r="P490" t="s">
        <v>64</v>
      </c>
      <c r="R490">
        <v>9</v>
      </c>
      <c r="S490">
        <v>100</v>
      </c>
      <c r="T490">
        <v>150</v>
      </c>
      <c r="U490">
        <v>140</v>
      </c>
      <c r="V490">
        <v>100</v>
      </c>
      <c r="W490">
        <v>90</v>
      </c>
      <c r="X490">
        <v>90</v>
      </c>
      <c r="Y490">
        <f t="shared" si="210"/>
        <v>207</v>
      </c>
      <c r="Z490">
        <f t="shared" si="211"/>
        <v>207</v>
      </c>
      <c r="AA490">
        <f t="shared" si="212"/>
        <v>175</v>
      </c>
      <c r="AB490">
        <f t="shared" si="213"/>
        <v>175</v>
      </c>
      <c r="AC490">
        <f t="shared" si="214"/>
        <v>160</v>
      </c>
      <c r="AD490">
        <f t="shared" si="215"/>
        <v>222</v>
      </c>
      <c r="AE490">
        <f t="shared" si="216"/>
        <v>202</v>
      </c>
      <c r="AF490">
        <f t="shared" si="217"/>
        <v>170</v>
      </c>
      <c r="AG490">
        <f t="shared" si="218"/>
        <v>153</v>
      </c>
      <c r="AH490">
        <f t="shared" si="219"/>
        <v>139</v>
      </c>
      <c r="AI490">
        <f t="shared" si="220"/>
        <v>211</v>
      </c>
      <c r="AJ490">
        <f t="shared" si="221"/>
        <v>192</v>
      </c>
      <c r="AK490">
        <f t="shared" si="222"/>
        <v>160</v>
      </c>
      <c r="AL490">
        <f t="shared" si="223"/>
        <v>144</v>
      </c>
      <c r="AM490">
        <f t="shared" si="224"/>
        <v>130</v>
      </c>
      <c r="AN490">
        <f t="shared" si="225"/>
        <v>167</v>
      </c>
      <c r="AO490">
        <f t="shared" si="226"/>
        <v>152</v>
      </c>
      <c r="AP490">
        <f t="shared" si="227"/>
        <v>120</v>
      </c>
      <c r="AQ490">
        <f t="shared" si="228"/>
        <v>108</v>
      </c>
      <c r="AR490">
        <f t="shared" si="229"/>
        <v>94</v>
      </c>
      <c r="AS490">
        <f t="shared" si="230"/>
        <v>156</v>
      </c>
      <c r="AT490">
        <f t="shared" si="231"/>
        <v>142</v>
      </c>
      <c r="AU490">
        <f t="shared" si="232"/>
        <v>110</v>
      </c>
      <c r="AV490">
        <f t="shared" si="233"/>
        <v>99</v>
      </c>
      <c r="AW490">
        <f t="shared" si="234"/>
        <v>85</v>
      </c>
      <c r="AX490">
        <f t="shared" si="235"/>
        <v>156</v>
      </c>
      <c r="AY490">
        <f t="shared" si="236"/>
        <v>142</v>
      </c>
      <c r="AZ490">
        <f t="shared" si="237"/>
        <v>110</v>
      </c>
      <c r="BA490">
        <f t="shared" si="238"/>
        <v>99</v>
      </c>
      <c r="BB490">
        <f t="shared" si="239"/>
        <v>85</v>
      </c>
    </row>
    <row r="491" spans="1:54" x14ac:dyDescent="0.15">
      <c r="A491">
        <v>315</v>
      </c>
      <c r="B491" t="s">
        <v>1777</v>
      </c>
      <c r="C491">
        <v>384</v>
      </c>
      <c r="D491">
        <v>0</v>
      </c>
      <c r="E491" t="s">
        <v>1778</v>
      </c>
      <c r="G491" t="s">
        <v>1778</v>
      </c>
      <c r="H491" t="s">
        <v>1779</v>
      </c>
      <c r="J491" t="s">
        <v>1780</v>
      </c>
      <c r="K491">
        <v>206.5</v>
      </c>
      <c r="L491">
        <v>7</v>
      </c>
      <c r="M491" t="s">
        <v>60</v>
      </c>
      <c r="N491" t="s">
        <v>57</v>
      </c>
      <c r="O491" t="s">
        <v>1781</v>
      </c>
      <c r="R491">
        <v>9</v>
      </c>
      <c r="S491">
        <v>105</v>
      </c>
      <c r="T491">
        <v>150</v>
      </c>
      <c r="U491">
        <v>90</v>
      </c>
      <c r="V491">
        <v>150</v>
      </c>
      <c r="W491">
        <v>90</v>
      </c>
      <c r="X491">
        <v>95</v>
      </c>
      <c r="Y491">
        <f t="shared" si="210"/>
        <v>212</v>
      </c>
      <c r="Z491">
        <f t="shared" si="211"/>
        <v>212</v>
      </c>
      <c r="AA491">
        <f t="shared" si="212"/>
        <v>180</v>
      </c>
      <c r="AB491">
        <f t="shared" si="213"/>
        <v>180</v>
      </c>
      <c r="AC491">
        <f t="shared" si="214"/>
        <v>165</v>
      </c>
      <c r="AD491">
        <f t="shared" si="215"/>
        <v>222</v>
      </c>
      <c r="AE491">
        <f t="shared" si="216"/>
        <v>202</v>
      </c>
      <c r="AF491">
        <f t="shared" si="217"/>
        <v>170</v>
      </c>
      <c r="AG491">
        <f t="shared" si="218"/>
        <v>153</v>
      </c>
      <c r="AH491">
        <f t="shared" si="219"/>
        <v>139</v>
      </c>
      <c r="AI491">
        <f t="shared" si="220"/>
        <v>156</v>
      </c>
      <c r="AJ491">
        <f t="shared" si="221"/>
        <v>142</v>
      </c>
      <c r="AK491">
        <f t="shared" si="222"/>
        <v>110</v>
      </c>
      <c r="AL491">
        <f t="shared" si="223"/>
        <v>99</v>
      </c>
      <c r="AM491">
        <f t="shared" si="224"/>
        <v>85</v>
      </c>
      <c r="AN491">
        <f t="shared" si="225"/>
        <v>222</v>
      </c>
      <c r="AO491">
        <f t="shared" si="226"/>
        <v>202</v>
      </c>
      <c r="AP491">
        <f t="shared" si="227"/>
        <v>170</v>
      </c>
      <c r="AQ491">
        <f t="shared" si="228"/>
        <v>153</v>
      </c>
      <c r="AR491">
        <f t="shared" si="229"/>
        <v>139</v>
      </c>
      <c r="AS491">
        <f t="shared" si="230"/>
        <v>156</v>
      </c>
      <c r="AT491">
        <f t="shared" si="231"/>
        <v>142</v>
      </c>
      <c r="AU491">
        <f t="shared" si="232"/>
        <v>110</v>
      </c>
      <c r="AV491">
        <f t="shared" si="233"/>
        <v>99</v>
      </c>
      <c r="AW491">
        <f t="shared" si="234"/>
        <v>85</v>
      </c>
      <c r="AX491">
        <f t="shared" si="235"/>
        <v>161</v>
      </c>
      <c r="AY491">
        <f t="shared" si="236"/>
        <v>147</v>
      </c>
      <c r="AZ491">
        <f t="shared" si="237"/>
        <v>115</v>
      </c>
      <c r="BA491">
        <f t="shared" si="238"/>
        <v>103</v>
      </c>
      <c r="BB491">
        <f t="shared" si="239"/>
        <v>90</v>
      </c>
    </row>
    <row r="492" spans="1:54" x14ac:dyDescent="0.15">
      <c r="B492" t="s">
        <v>1782</v>
      </c>
      <c r="C492">
        <v>384</v>
      </c>
      <c r="D492">
        <v>1</v>
      </c>
      <c r="E492" t="s">
        <v>1778</v>
      </c>
      <c r="F492" t="s">
        <v>1783</v>
      </c>
      <c r="G492" t="s">
        <v>1783</v>
      </c>
      <c r="J492" t="s">
        <v>1780</v>
      </c>
      <c r="K492">
        <v>392</v>
      </c>
      <c r="L492">
        <v>10.8</v>
      </c>
      <c r="M492" t="s">
        <v>60</v>
      </c>
      <c r="N492" t="s">
        <v>57</v>
      </c>
      <c r="O492" t="s">
        <v>1784</v>
      </c>
      <c r="P492" t="s">
        <v>1781</v>
      </c>
      <c r="R492">
        <v>7</v>
      </c>
      <c r="S492">
        <v>105</v>
      </c>
      <c r="T492">
        <v>150</v>
      </c>
      <c r="U492">
        <v>90</v>
      </c>
      <c r="V492">
        <v>150</v>
      </c>
      <c r="W492">
        <v>90</v>
      </c>
      <c r="X492">
        <v>95</v>
      </c>
      <c r="Y492">
        <f t="shared" si="210"/>
        <v>212</v>
      </c>
      <c r="Z492">
        <f t="shared" si="211"/>
        <v>212</v>
      </c>
      <c r="AA492">
        <f t="shared" si="212"/>
        <v>180</v>
      </c>
      <c r="AB492">
        <f t="shared" si="213"/>
        <v>180</v>
      </c>
      <c r="AC492">
        <f t="shared" si="214"/>
        <v>165</v>
      </c>
      <c r="AD492">
        <f t="shared" si="215"/>
        <v>222</v>
      </c>
      <c r="AE492">
        <f t="shared" si="216"/>
        <v>202</v>
      </c>
      <c r="AF492">
        <f t="shared" si="217"/>
        <v>170</v>
      </c>
      <c r="AG492">
        <f t="shared" si="218"/>
        <v>153</v>
      </c>
      <c r="AH492">
        <f t="shared" si="219"/>
        <v>139</v>
      </c>
      <c r="AI492">
        <f t="shared" si="220"/>
        <v>156</v>
      </c>
      <c r="AJ492">
        <f t="shared" si="221"/>
        <v>142</v>
      </c>
      <c r="AK492">
        <f t="shared" si="222"/>
        <v>110</v>
      </c>
      <c r="AL492">
        <f t="shared" si="223"/>
        <v>99</v>
      </c>
      <c r="AM492">
        <f t="shared" si="224"/>
        <v>85</v>
      </c>
      <c r="AN492">
        <f t="shared" si="225"/>
        <v>222</v>
      </c>
      <c r="AO492">
        <f t="shared" si="226"/>
        <v>202</v>
      </c>
      <c r="AP492">
        <f t="shared" si="227"/>
        <v>170</v>
      </c>
      <c r="AQ492">
        <f t="shared" si="228"/>
        <v>153</v>
      </c>
      <c r="AR492">
        <f t="shared" si="229"/>
        <v>139</v>
      </c>
      <c r="AS492">
        <f t="shared" si="230"/>
        <v>156</v>
      </c>
      <c r="AT492">
        <f t="shared" si="231"/>
        <v>142</v>
      </c>
      <c r="AU492">
        <f t="shared" si="232"/>
        <v>110</v>
      </c>
      <c r="AV492">
        <f t="shared" si="233"/>
        <v>99</v>
      </c>
      <c r="AW492">
        <f t="shared" si="234"/>
        <v>85</v>
      </c>
      <c r="AX492">
        <f t="shared" si="235"/>
        <v>161</v>
      </c>
      <c r="AY492">
        <f t="shared" si="236"/>
        <v>147</v>
      </c>
      <c r="AZ492">
        <f t="shared" si="237"/>
        <v>115</v>
      </c>
      <c r="BA492">
        <f t="shared" si="238"/>
        <v>103</v>
      </c>
      <c r="BB492">
        <f t="shared" si="239"/>
        <v>90</v>
      </c>
    </row>
    <row r="493" spans="1:54" x14ac:dyDescent="0.15">
      <c r="A493">
        <v>316</v>
      </c>
      <c r="B493" t="s">
        <v>1785</v>
      </c>
      <c r="C493">
        <v>385</v>
      </c>
      <c r="D493">
        <v>0</v>
      </c>
      <c r="E493" t="s">
        <v>1786</v>
      </c>
      <c r="G493" t="s">
        <v>1786</v>
      </c>
      <c r="H493" t="s">
        <v>1787</v>
      </c>
      <c r="J493" t="s">
        <v>1788</v>
      </c>
      <c r="K493">
        <v>1.1000000000000001</v>
      </c>
      <c r="L493">
        <v>0.3</v>
      </c>
      <c r="M493" t="s">
        <v>203</v>
      </c>
      <c r="N493" t="s">
        <v>191</v>
      </c>
      <c r="O493" t="s">
        <v>655</v>
      </c>
      <c r="R493">
        <v>9</v>
      </c>
      <c r="S493">
        <v>100</v>
      </c>
      <c r="T493">
        <v>100</v>
      </c>
      <c r="U493">
        <v>100</v>
      </c>
      <c r="V493">
        <v>100</v>
      </c>
      <c r="W493">
        <v>100</v>
      </c>
      <c r="X493">
        <v>100</v>
      </c>
      <c r="Y493">
        <f t="shared" si="210"/>
        <v>207</v>
      </c>
      <c r="Z493">
        <f t="shared" si="211"/>
        <v>207</v>
      </c>
      <c r="AA493">
        <f t="shared" si="212"/>
        <v>175</v>
      </c>
      <c r="AB493">
        <f t="shared" si="213"/>
        <v>175</v>
      </c>
      <c r="AC493">
        <f t="shared" si="214"/>
        <v>160</v>
      </c>
      <c r="AD493">
        <f t="shared" si="215"/>
        <v>167</v>
      </c>
      <c r="AE493">
        <f t="shared" si="216"/>
        <v>152</v>
      </c>
      <c r="AF493">
        <f t="shared" si="217"/>
        <v>120</v>
      </c>
      <c r="AG493">
        <f t="shared" si="218"/>
        <v>108</v>
      </c>
      <c r="AH493">
        <f t="shared" si="219"/>
        <v>94</v>
      </c>
      <c r="AI493">
        <f t="shared" si="220"/>
        <v>167</v>
      </c>
      <c r="AJ493">
        <f t="shared" si="221"/>
        <v>152</v>
      </c>
      <c r="AK493">
        <f t="shared" si="222"/>
        <v>120</v>
      </c>
      <c r="AL493">
        <f t="shared" si="223"/>
        <v>108</v>
      </c>
      <c r="AM493">
        <f t="shared" si="224"/>
        <v>94</v>
      </c>
      <c r="AN493">
        <f t="shared" si="225"/>
        <v>167</v>
      </c>
      <c r="AO493">
        <f t="shared" si="226"/>
        <v>152</v>
      </c>
      <c r="AP493">
        <f t="shared" si="227"/>
        <v>120</v>
      </c>
      <c r="AQ493">
        <f t="shared" si="228"/>
        <v>108</v>
      </c>
      <c r="AR493">
        <f t="shared" si="229"/>
        <v>94</v>
      </c>
      <c r="AS493">
        <f t="shared" si="230"/>
        <v>167</v>
      </c>
      <c r="AT493">
        <f t="shared" si="231"/>
        <v>152</v>
      </c>
      <c r="AU493">
        <f t="shared" si="232"/>
        <v>120</v>
      </c>
      <c r="AV493">
        <f t="shared" si="233"/>
        <v>108</v>
      </c>
      <c r="AW493">
        <f t="shared" si="234"/>
        <v>94</v>
      </c>
      <c r="AX493">
        <f t="shared" si="235"/>
        <v>167</v>
      </c>
      <c r="AY493">
        <f t="shared" si="236"/>
        <v>152</v>
      </c>
      <c r="AZ493">
        <f t="shared" si="237"/>
        <v>120</v>
      </c>
      <c r="BA493">
        <f t="shared" si="238"/>
        <v>108</v>
      </c>
      <c r="BB493">
        <f t="shared" si="239"/>
        <v>94</v>
      </c>
    </row>
    <row r="494" spans="1:54" x14ac:dyDescent="0.15">
      <c r="A494">
        <v>317</v>
      </c>
      <c r="B494" t="s">
        <v>1789</v>
      </c>
      <c r="C494">
        <v>386</v>
      </c>
      <c r="D494">
        <v>0</v>
      </c>
      <c r="E494" t="s">
        <v>1790</v>
      </c>
      <c r="F494" t="s">
        <v>1791</v>
      </c>
      <c r="G494" t="s">
        <v>1792</v>
      </c>
      <c r="H494" t="s">
        <v>1793</v>
      </c>
      <c r="J494" t="s">
        <v>1794</v>
      </c>
      <c r="K494">
        <v>60.8</v>
      </c>
      <c r="L494">
        <v>1.7</v>
      </c>
      <c r="M494" t="s">
        <v>191</v>
      </c>
      <c r="O494" t="s">
        <v>792</v>
      </c>
      <c r="R494">
        <v>9</v>
      </c>
      <c r="S494">
        <v>50</v>
      </c>
      <c r="T494">
        <v>150</v>
      </c>
      <c r="U494">
        <v>50</v>
      </c>
      <c r="V494">
        <v>150</v>
      </c>
      <c r="W494">
        <v>50</v>
      </c>
      <c r="X494">
        <v>150</v>
      </c>
      <c r="Y494">
        <f t="shared" si="210"/>
        <v>157</v>
      </c>
      <c r="Z494">
        <f t="shared" si="211"/>
        <v>157</v>
      </c>
      <c r="AA494">
        <f t="shared" si="212"/>
        <v>125</v>
      </c>
      <c r="AB494">
        <f t="shared" si="213"/>
        <v>125</v>
      </c>
      <c r="AC494">
        <f t="shared" si="214"/>
        <v>110</v>
      </c>
      <c r="AD494">
        <f t="shared" si="215"/>
        <v>222</v>
      </c>
      <c r="AE494">
        <f t="shared" si="216"/>
        <v>202</v>
      </c>
      <c r="AF494">
        <f t="shared" si="217"/>
        <v>170</v>
      </c>
      <c r="AG494">
        <f t="shared" si="218"/>
        <v>153</v>
      </c>
      <c r="AH494">
        <f t="shared" si="219"/>
        <v>139</v>
      </c>
      <c r="AI494">
        <f t="shared" si="220"/>
        <v>112</v>
      </c>
      <c r="AJ494">
        <f t="shared" si="221"/>
        <v>102</v>
      </c>
      <c r="AK494">
        <f t="shared" si="222"/>
        <v>70</v>
      </c>
      <c r="AL494">
        <f t="shared" si="223"/>
        <v>63</v>
      </c>
      <c r="AM494">
        <f t="shared" si="224"/>
        <v>49</v>
      </c>
      <c r="AN494">
        <f t="shared" si="225"/>
        <v>222</v>
      </c>
      <c r="AO494">
        <f t="shared" si="226"/>
        <v>202</v>
      </c>
      <c r="AP494">
        <f t="shared" si="227"/>
        <v>170</v>
      </c>
      <c r="AQ494">
        <f t="shared" si="228"/>
        <v>153</v>
      </c>
      <c r="AR494">
        <f t="shared" si="229"/>
        <v>139</v>
      </c>
      <c r="AS494">
        <f t="shared" si="230"/>
        <v>112</v>
      </c>
      <c r="AT494">
        <f t="shared" si="231"/>
        <v>102</v>
      </c>
      <c r="AU494">
        <f t="shared" si="232"/>
        <v>70</v>
      </c>
      <c r="AV494">
        <f t="shared" si="233"/>
        <v>63</v>
      </c>
      <c r="AW494">
        <f t="shared" si="234"/>
        <v>49</v>
      </c>
      <c r="AX494">
        <f t="shared" si="235"/>
        <v>222</v>
      </c>
      <c r="AY494">
        <f t="shared" si="236"/>
        <v>202</v>
      </c>
      <c r="AZ494">
        <f t="shared" si="237"/>
        <v>170</v>
      </c>
      <c r="BA494">
        <f t="shared" si="238"/>
        <v>153</v>
      </c>
      <c r="BB494">
        <f t="shared" si="239"/>
        <v>139</v>
      </c>
    </row>
    <row r="495" spans="1:54" x14ac:dyDescent="0.15">
      <c r="A495">
        <v>318</v>
      </c>
      <c r="B495" t="s">
        <v>1795</v>
      </c>
      <c r="C495">
        <v>386</v>
      </c>
      <c r="D495">
        <v>1</v>
      </c>
      <c r="E495" t="s">
        <v>1790</v>
      </c>
      <c r="F495" t="s">
        <v>1796</v>
      </c>
      <c r="G495" t="s">
        <v>1797</v>
      </c>
      <c r="H495" t="s">
        <v>1798</v>
      </c>
      <c r="J495" t="s">
        <v>1794</v>
      </c>
      <c r="K495">
        <v>60.8</v>
      </c>
      <c r="L495">
        <v>1.7</v>
      </c>
      <c r="M495" t="s">
        <v>191</v>
      </c>
      <c r="O495" t="s">
        <v>792</v>
      </c>
      <c r="R495">
        <v>9</v>
      </c>
      <c r="S495">
        <v>50</v>
      </c>
      <c r="T495">
        <v>180</v>
      </c>
      <c r="U495">
        <v>20</v>
      </c>
      <c r="V495">
        <v>180</v>
      </c>
      <c r="W495">
        <v>20</v>
      </c>
      <c r="X495">
        <v>150</v>
      </c>
      <c r="Y495">
        <f t="shared" si="210"/>
        <v>157</v>
      </c>
      <c r="Z495">
        <f t="shared" si="211"/>
        <v>157</v>
      </c>
      <c r="AA495">
        <f t="shared" si="212"/>
        <v>125</v>
      </c>
      <c r="AB495">
        <f t="shared" si="213"/>
        <v>125</v>
      </c>
      <c r="AC495">
        <f t="shared" si="214"/>
        <v>110</v>
      </c>
      <c r="AD495">
        <f t="shared" si="215"/>
        <v>255</v>
      </c>
      <c r="AE495">
        <f t="shared" si="216"/>
        <v>232</v>
      </c>
      <c r="AF495">
        <f t="shared" si="217"/>
        <v>200</v>
      </c>
      <c r="AG495">
        <f t="shared" si="218"/>
        <v>180</v>
      </c>
      <c r="AH495">
        <f t="shared" si="219"/>
        <v>166</v>
      </c>
      <c r="AI495">
        <f t="shared" si="220"/>
        <v>79</v>
      </c>
      <c r="AJ495">
        <f t="shared" si="221"/>
        <v>72</v>
      </c>
      <c r="AK495">
        <f t="shared" si="222"/>
        <v>40</v>
      </c>
      <c r="AL495">
        <f t="shared" si="223"/>
        <v>36</v>
      </c>
      <c r="AM495">
        <f t="shared" si="224"/>
        <v>22</v>
      </c>
      <c r="AN495">
        <f t="shared" si="225"/>
        <v>255</v>
      </c>
      <c r="AO495">
        <f t="shared" si="226"/>
        <v>232</v>
      </c>
      <c r="AP495">
        <f t="shared" si="227"/>
        <v>200</v>
      </c>
      <c r="AQ495">
        <f t="shared" si="228"/>
        <v>180</v>
      </c>
      <c r="AR495">
        <f t="shared" si="229"/>
        <v>166</v>
      </c>
      <c r="AS495">
        <f t="shared" si="230"/>
        <v>79</v>
      </c>
      <c r="AT495">
        <f t="shared" si="231"/>
        <v>72</v>
      </c>
      <c r="AU495">
        <f t="shared" si="232"/>
        <v>40</v>
      </c>
      <c r="AV495">
        <f t="shared" si="233"/>
        <v>36</v>
      </c>
      <c r="AW495">
        <f t="shared" si="234"/>
        <v>22</v>
      </c>
      <c r="AX495">
        <f t="shared" si="235"/>
        <v>222</v>
      </c>
      <c r="AY495">
        <f t="shared" si="236"/>
        <v>202</v>
      </c>
      <c r="AZ495">
        <f t="shared" si="237"/>
        <v>170</v>
      </c>
      <c r="BA495">
        <f t="shared" si="238"/>
        <v>153</v>
      </c>
      <c r="BB495">
        <f t="shared" si="239"/>
        <v>139</v>
      </c>
    </row>
    <row r="496" spans="1:54" x14ac:dyDescent="0.15">
      <c r="A496">
        <v>319</v>
      </c>
      <c r="B496" t="s">
        <v>1799</v>
      </c>
      <c r="C496">
        <v>386</v>
      </c>
      <c r="D496">
        <v>2</v>
      </c>
      <c r="E496" t="s">
        <v>1790</v>
      </c>
      <c r="F496" t="s">
        <v>1800</v>
      </c>
      <c r="G496" t="s">
        <v>1801</v>
      </c>
      <c r="H496" t="s">
        <v>1802</v>
      </c>
      <c r="J496" t="s">
        <v>1794</v>
      </c>
      <c r="K496">
        <v>60.8</v>
      </c>
      <c r="L496">
        <v>1.7</v>
      </c>
      <c r="M496" t="s">
        <v>191</v>
      </c>
      <c r="O496" t="s">
        <v>792</v>
      </c>
      <c r="R496">
        <v>9</v>
      </c>
      <c r="S496">
        <v>50</v>
      </c>
      <c r="T496">
        <v>70</v>
      </c>
      <c r="U496">
        <v>160</v>
      </c>
      <c r="V496">
        <v>70</v>
      </c>
      <c r="W496">
        <v>160</v>
      </c>
      <c r="X496">
        <v>90</v>
      </c>
      <c r="Y496">
        <f t="shared" si="210"/>
        <v>157</v>
      </c>
      <c r="Z496">
        <f t="shared" si="211"/>
        <v>157</v>
      </c>
      <c r="AA496">
        <f t="shared" si="212"/>
        <v>125</v>
      </c>
      <c r="AB496">
        <f t="shared" si="213"/>
        <v>125</v>
      </c>
      <c r="AC496">
        <f t="shared" si="214"/>
        <v>110</v>
      </c>
      <c r="AD496">
        <f t="shared" si="215"/>
        <v>134</v>
      </c>
      <c r="AE496">
        <f t="shared" si="216"/>
        <v>122</v>
      </c>
      <c r="AF496">
        <f t="shared" si="217"/>
        <v>90</v>
      </c>
      <c r="AG496">
        <f t="shared" si="218"/>
        <v>81</v>
      </c>
      <c r="AH496">
        <f t="shared" si="219"/>
        <v>67</v>
      </c>
      <c r="AI496">
        <f t="shared" si="220"/>
        <v>233</v>
      </c>
      <c r="AJ496">
        <f t="shared" si="221"/>
        <v>212</v>
      </c>
      <c r="AK496">
        <f t="shared" si="222"/>
        <v>180</v>
      </c>
      <c r="AL496">
        <f t="shared" si="223"/>
        <v>162</v>
      </c>
      <c r="AM496">
        <f t="shared" si="224"/>
        <v>148</v>
      </c>
      <c r="AN496">
        <f t="shared" si="225"/>
        <v>134</v>
      </c>
      <c r="AO496">
        <f t="shared" si="226"/>
        <v>122</v>
      </c>
      <c r="AP496">
        <f t="shared" si="227"/>
        <v>90</v>
      </c>
      <c r="AQ496">
        <f t="shared" si="228"/>
        <v>81</v>
      </c>
      <c r="AR496">
        <f t="shared" si="229"/>
        <v>67</v>
      </c>
      <c r="AS496">
        <f t="shared" si="230"/>
        <v>233</v>
      </c>
      <c r="AT496">
        <f t="shared" si="231"/>
        <v>212</v>
      </c>
      <c r="AU496">
        <f t="shared" si="232"/>
        <v>180</v>
      </c>
      <c r="AV496">
        <f t="shared" si="233"/>
        <v>162</v>
      </c>
      <c r="AW496">
        <f t="shared" si="234"/>
        <v>148</v>
      </c>
      <c r="AX496">
        <f t="shared" si="235"/>
        <v>156</v>
      </c>
      <c r="AY496">
        <f t="shared" si="236"/>
        <v>142</v>
      </c>
      <c r="AZ496">
        <f t="shared" si="237"/>
        <v>110</v>
      </c>
      <c r="BA496">
        <f t="shared" si="238"/>
        <v>99</v>
      </c>
      <c r="BB496">
        <f t="shared" si="239"/>
        <v>85</v>
      </c>
    </row>
    <row r="497" spans="1:54" x14ac:dyDescent="0.15">
      <c r="A497">
        <v>320</v>
      </c>
      <c r="B497" t="s">
        <v>1803</v>
      </c>
      <c r="C497">
        <v>386</v>
      </c>
      <c r="D497">
        <v>3</v>
      </c>
      <c r="E497" t="s">
        <v>1790</v>
      </c>
      <c r="F497" t="s">
        <v>1804</v>
      </c>
      <c r="G497" t="s">
        <v>1805</v>
      </c>
      <c r="H497" t="s">
        <v>1806</v>
      </c>
      <c r="J497" t="s">
        <v>1794</v>
      </c>
      <c r="K497">
        <v>60.8</v>
      </c>
      <c r="L497">
        <v>1.7</v>
      </c>
      <c r="M497" t="s">
        <v>191</v>
      </c>
      <c r="O497" t="s">
        <v>792</v>
      </c>
      <c r="R497">
        <v>9</v>
      </c>
      <c r="S497">
        <v>50</v>
      </c>
      <c r="T497">
        <v>95</v>
      </c>
      <c r="U497">
        <v>90</v>
      </c>
      <c r="V497">
        <v>95</v>
      </c>
      <c r="W497">
        <v>90</v>
      </c>
      <c r="X497">
        <v>180</v>
      </c>
      <c r="Y497">
        <f t="shared" si="210"/>
        <v>157</v>
      </c>
      <c r="Z497">
        <f t="shared" si="211"/>
        <v>157</v>
      </c>
      <c r="AA497">
        <f t="shared" si="212"/>
        <v>125</v>
      </c>
      <c r="AB497">
        <f t="shared" si="213"/>
        <v>125</v>
      </c>
      <c r="AC497">
        <f t="shared" si="214"/>
        <v>110</v>
      </c>
      <c r="AD497">
        <f t="shared" si="215"/>
        <v>161</v>
      </c>
      <c r="AE497">
        <f t="shared" si="216"/>
        <v>147</v>
      </c>
      <c r="AF497">
        <f t="shared" si="217"/>
        <v>115</v>
      </c>
      <c r="AG497">
        <f t="shared" si="218"/>
        <v>103</v>
      </c>
      <c r="AH497">
        <f t="shared" si="219"/>
        <v>90</v>
      </c>
      <c r="AI497">
        <f t="shared" si="220"/>
        <v>156</v>
      </c>
      <c r="AJ497">
        <f t="shared" si="221"/>
        <v>142</v>
      </c>
      <c r="AK497">
        <f t="shared" si="222"/>
        <v>110</v>
      </c>
      <c r="AL497">
        <f t="shared" si="223"/>
        <v>99</v>
      </c>
      <c r="AM497">
        <f t="shared" si="224"/>
        <v>85</v>
      </c>
      <c r="AN497">
        <f t="shared" si="225"/>
        <v>161</v>
      </c>
      <c r="AO497">
        <f t="shared" si="226"/>
        <v>147</v>
      </c>
      <c r="AP497">
        <f t="shared" si="227"/>
        <v>115</v>
      </c>
      <c r="AQ497">
        <f t="shared" si="228"/>
        <v>103</v>
      </c>
      <c r="AR497">
        <f t="shared" si="229"/>
        <v>90</v>
      </c>
      <c r="AS497">
        <f t="shared" si="230"/>
        <v>156</v>
      </c>
      <c r="AT497">
        <f t="shared" si="231"/>
        <v>142</v>
      </c>
      <c r="AU497">
        <f t="shared" si="232"/>
        <v>110</v>
      </c>
      <c r="AV497">
        <f t="shared" si="233"/>
        <v>99</v>
      </c>
      <c r="AW497">
        <f t="shared" si="234"/>
        <v>85</v>
      </c>
      <c r="AX497">
        <f t="shared" si="235"/>
        <v>255</v>
      </c>
      <c r="AY497">
        <f t="shared" si="236"/>
        <v>232</v>
      </c>
      <c r="AZ497">
        <f t="shared" si="237"/>
        <v>200</v>
      </c>
      <c r="BA497">
        <f t="shared" si="238"/>
        <v>180</v>
      </c>
      <c r="BB497">
        <f t="shared" si="239"/>
        <v>166</v>
      </c>
    </row>
    <row r="498" spans="1:54" x14ac:dyDescent="0.15">
      <c r="A498">
        <v>321</v>
      </c>
      <c r="B498" t="s">
        <v>1807</v>
      </c>
      <c r="C498">
        <v>387</v>
      </c>
      <c r="D498">
        <v>0</v>
      </c>
      <c r="E498" t="s">
        <v>1808</v>
      </c>
      <c r="G498" t="s">
        <v>1808</v>
      </c>
      <c r="H498" t="s">
        <v>1809</v>
      </c>
      <c r="J498" t="s">
        <v>1810</v>
      </c>
      <c r="K498">
        <v>10.199999999999999</v>
      </c>
      <c r="L498">
        <v>0.4</v>
      </c>
      <c r="M498" t="s">
        <v>26</v>
      </c>
      <c r="O498" t="s">
        <v>28</v>
      </c>
      <c r="P498" t="s">
        <v>481</v>
      </c>
      <c r="R498">
        <v>9</v>
      </c>
      <c r="S498">
        <v>55</v>
      </c>
      <c r="T498">
        <v>68</v>
      </c>
      <c r="U498">
        <v>64</v>
      </c>
      <c r="V498">
        <v>45</v>
      </c>
      <c r="W498">
        <v>55</v>
      </c>
      <c r="X498">
        <v>31</v>
      </c>
      <c r="Y498">
        <f t="shared" si="210"/>
        <v>162</v>
      </c>
      <c r="Z498">
        <f t="shared" si="211"/>
        <v>162</v>
      </c>
      <c r="AA498">
        <f t="shared" si="212"/>
        <v>130</v>
      </c>
      <c r="AB498">
        <f t="shared" si="213"/>
        <v>130</v>
      </c>
      <c r="AC498">
        <f t="shared" si="214"/>
        <v>115</v>
      </c>
      <c r="AD498">
        <f t="shared" si="215"/>
        <v>132</v>
      </c>
      <c r="AE498">
        <f t="shared" si="216"/>
        <v>120</v>
      </c>
      <c r="AF498">
        <f t="shared" si="217"/>
        <v>88</v>
      </c>
      <c r="AG498">
        <f t="shared" si="218"/>
        <v>79</v>
      </c>
      <c r="AH498">
        <f t="shared" si="219"/>
        <v>65</v>
      </c>
      <c r="AI498">
        <f t="shared" si="220"/>
        <v>127</v>
      </c>
      <c r="AJ498">
        <f t="shared" si="221"/>
        <v>116</v>
      </c>
      <c r="AK498">
        <f t="shared" si="222"/>
        <v>84</v>
      </c>
      <c r="AL498">
        <f t="shared" si="223"/>
        <v>75</v>
      </c>
      <c r="AM498">
        <f t="shared" si="224"/>
        <v>62</v>
      </c>
      <c r="AN498">
        <f t="shared" si="225"/>
        <v>106</v>
      </c>
      <c r="AO498">
        <f t="shared" si="226"/>
        <v>97</v>
      </c>
      <c r="AP498">
        <f t="shared" si="227"/>
        <v>65</v>
      </c>
      <c r="AQ498">
        <f t="shared" si="228"/>
        <v>58</v>
      </c>
      <c r="AR498">
        <f t="shared" si="229"/>
        <v>45</v>
      </c>
      <c r="AS498">
        <f t="shared" si="230"/>
        <v>117</v>
      </c>
      <c r="AT498">
        <f t="shared" si="231"/>
        <v>107</v>
      </c>
      <c r="AU498">
        <f t="shared" si="232"/>
        <v>75</v>
      </c>
      <c r="AV498">
        <f t="shared" si="233"/>
        <v>67</v>
      </c>
      <c r="AW498">
        <f t="shared" si="234"/>
        <v>54</v>
      </c>
      <c r="AX498">
        <f t="shared" si="235"/>
        <v>91</v>
      </c>
      <c r="AY498">
        <f t="shared" si="236"/>
        <v>83</v>
      </c>
      <c r="AZ498">
        <f t="shared" si="237"/>
        <v>51</v>
      </c>
      <c r="BA498">
        <f t="shared" si="238"/>
        <v>45</v>
      </c>
      <c r="BB498">
        <f t="shared" si="239"/>
        <v>32</v>
      </c>
    </row>
    <row r="499" spans="1:54" x14ac:dyDescent="0.15">
      <c r="A499">
        <v>322</v>
      </c>
      <c r="B499" t="s">
        <v>1811</v>
      </c>
      <c r="C499">
        <v>388</v>
      </c>
      <c r="D499">
        <v>0</v>
      </c>
      <c r="E499" t="s">
        <v>1812</v>
      </c>
      <c r="G499" t="s">
        <v>1812</v>
      </c>
      <c r="H499" t="s">
        <v>1813</v>
      </c>
      <c r="J499" t="s">
        <v>1814</v>
      </c>
      <c r="K499">
        <v>97</v>
      </c>
      <c r="L499">
        <v>1.1000000000000001</v>
      </c>
      <c r="M499" t="s">
        <v>26</v>
      </c>
      <c r="O499" t="s">
        <v>28</v>
      </c>
      <c r="P499" t="s">
        <v>481</v>
      </c>
      <c r="R499">
        <v>9</v>
      </c>
      <c r="S499">
        <v>75</v>
      </c>
      <c r="T499">
        <v>89</v>
      </c>
      <c r="U499">
        <v>85</v>
      </c>
      <c r="V499">
        <v>55</v>
      </c>
      <c r="W499">
        <v>65</v>
      </c>
      <c r="X499">
        <v>36</v>
      </c>
      <c r="Y499">
        <f t="shared" si="210"/>
        <v>182</v>
      </c>
      <c r="Z499">
        <f t="shared" si="211"/>
        <v>182</v>
      </c>
      <c r="AA499">
        <f t="shared" si="212"/>
        <v>150</v>
      </c>
      <c r="AB499">
        <f t="shared" si="213"/>
        <v>150</v>
      </c>
      <c r="AC499">
        <f t="shared" si="214"/>
        <v>135</v>
      </c>
      <c r="AD499">
        <f t="shared" si="215"/>
        <v>155</v>
      </c>
      <c r="AE499">
        <f t="shared" si="216"/>
        <v>141</v>
      </c>
      <c r="AF499">
        <f t="shared" si="217"/>
        <v>109</v>
      </c>
      <c r="AG499">
        <f t="shared" si="218"/>
        <v>98</v>
      </c>
      <c r="AH499">
        <f t="shared" si="219"/>
        <v>84</v>
      </c>
      <c r="AI499">
        <f t="shared" si="220"/>
        <v>150</v>
      </c>
      <c r="AJ499">
        <f t="shared" si="221"/>
        <v>137</v>
      </c>
      <c r="AK499">
        <f t="shared" si="222"/>
        <v>105</v>
      </c>
      <c r="AL499">
        <f t="shared" si="223"/>
        <v>94</v>
      </c>
      <c r="AM499">
        <f t="shared" si="224"/>
        <v>81</v>
      </c>
      <c r="AN499">
        <f t="shared" si="225"/>
        <v>117</v>
      </c>
      <c r="AO499">
        <f t="shared" si="226"/>
        <v>107</v>
      </c>
      <c r="AP499">
        <f t="shared" si="227"/>
        <v>75</v>
      </c>
      <c r="AQ499">
        <f t="shared" si="228"/>
        <v>67</v>
      </c>
      <c r="AR499">
        <f t="shared" si="229"/>
        <v>54</v>
      </c>
      <c r="AS499">
        <f t="shared" si="230"/>
        <v>128</v>
      </c>
      <c r="AT499">
        <f t="shared" si="231"/>
        <v>117</v>
      </c>
      <c r="AU499">
        <f t="shared" si="232"/>
        <v>85</v>
      </c>
      <c r="AV499">
        <f t="shared" si="233"/>
        <v>76</v>
      </c>
      <c r="AW499">
        <f t="shared" si="234"/>
        <v>63</v>
      </c>
      <c r="AX499">
        <f t="shared" si="235"/>
        <v>96</v>
      </c>
      <c r="AY499">
        <f t="shared" si="236"/>
        <v>88</v>
      </c>
      <c r="AZ499">
        <f t="shared" si="237"/>
        <v>56</v>
      </c>
      <c r="BA499">
        <f t="shared" si="238"/>
        <v>50</v>
      </c>
      <c r="BB499">
        <f t="shared" si="239"/>
        <v>36</v>
      </c>
    </row>
    <row r="500" spans="1:54" x14ac:dyDescent="0.15">
      <c r="A500">
        <v>323</v>
      </c>
      <c r="B500" t="s">
        <v>1815</v>
      </c>
      <c r="C500">
        <v>389</v>
      </c>
      <c r="D500">
        <v>0</v>
      </c>
      <c r="E500" t="s">
        <v>1816</v>
      </c>
      <c r="G500" t="s">
        <v>1816</v>
      </c>
      <c r="H500" t="s">
        <v>1817</v>
      </c>
      <c r="J500" t="s">
        <v>1773</v>
      </c>
      <c r="K500">
        <v>310</v>
      </c>
      <c r="L500">
        <v>2.2000000000000002</v>
      </c>
      <c r="M500" t="s">
        <v>26</v>
      </c>
      <c r="N500" t="s">
        <v>196</v>
      </c>
      <c r="O500" t="s">
        <v>28</v>
      </c>
      <c r="P500" t="s">
        <v>481</v>
      </c>
      <c r="R500">
        <v>9</v>
      </c>
      <c r="S500">
        <v>95</v>
      </c>
      <c r="T500">
        <v>109</v>
      </c>
      <c r="U500">
        <v>105</v>
      </c>
      <c r="V500">
        <v>75</v>
      </c>
      <c r="W500">
        <v>85</v>
      </c>
      <c r="X500">
        <v>56</v>
      </c>
      <c r="Y500">
        <f t="shared" si="210"/>
        <v>202</v>
      </c>
      <c r="Z500">
        <f t="shared" si="211"/>
        <v>202</v>
      </c>
      <c r="AA500">
        <f t="shared" si="212"/>
        <v>170</v>
      </c>
      <c r="AB500">
        <f t="shared" si="213"/>
        <v>170</v>
      </c>
      <c r="AC500">
        <f t="shared" si="214"/>
        <v>155</v>
      </c>
      <c r="AD500">
        <f t="shared" si="215"/>
        <v>177</v>
      </c>
      <c r="AE500">
        <f t="shared" si="216"/>
        <v>161</v>
      </c>
      <c r="AF500">
        <f t="shared" si="217"/>
        <v>129</v>
      </c>
      <c r="AG500">
        <f t="shared" si="218"/>
        <v>116</v>
      </c>
      <c r="AH500">
        <f t="shared" si="219"/>
        <v>102</v>
      </c>
      <c r="AI500">
        <f t="shared" si="220"/>
        <v>172</v>
      </c>
      <c r="AJ500">
        <f t="shared" si="221"/>
        <v>157</v>
      </c>
      <c r="AK500">
        <f t="shared" si="222"/>
        <v>125</v>
      </c>
      <c r="AL500">
        <f t="shared" si="223"/>
        <v>112</v>
      </c>
      <c r="AM500">
        <f t="shared" si="224"/>
        <v>99</v>
      </c>
      <c r="AN500">
        <f t="shared" si="225"/>
        <v>139</v>
      </c>
      <c r="AO500">
        <f t="shared" si="226"/>
        <v>127</v>
      </c>
      <c r="AP500">
        <f t="shared" si="227"/>
        <v>95</v>
      </c>
      <c r="AQ500">
        <f t="shared" si="228"/>
        <v>85</v>
      </c>
      <c r="AR500">
        <f t="shared" si="229"/>
        <v>72</v>
      </c>
      <c r="AS500">
        <f t="shared" si="230"/>
        <v>150</v>
      </c>
      <c r="AT500">
        <f t="shared" si="231"/>
        <v>137</v>
      </c>
      <c r="AU500">
        <f t="shared" si="232"/>
        <v>105</v>
      </c>
      <c r="AV500">
        <f t="shared" si="233"/>
        <v>94</v>
      </c>
      <c r="AW500">
        <f t="shared" si="234"/>
        <v>81</v>
      </c>
      <c r="AX500">
        <f t="shared" si="235"/>
        <v>118</v>
      </c>
      <c r="AY500">
        <f t="shared" si="236"/>
        <v>108</v>
      </c>
      <c r="AZ500">
        <f t="shared" si="237"/>
        <v>76</v>
      </c>
      <c r="BA500">
        <f t="shared" si="238"/>
        <v>68</v>
      </c>
      <c r="BB500">
        <f t="shared" si="239"/>
        <v>54</v>
      </c>
    </row>
    <row r="501" spans="1:54" x14ac:dyDescent="0.15">
      <c r="A501">
        <v>324</v>
      </c>
      <c r="B501" t="s">
        <v>1818</v>
      </c>
      <c r="C501">
        <v>390</v>
      </c>
      <c r="D501">
        <v>0</v>
      </c>
      <c r="E501" t="s">
        <v>1819</v>
      </c>
      <c r="G501" t="s">
        <v>1819</v>
      </c>
      <c r="H501" t="s">
        <v>1820</v>
      </c>
      <c r="J501" t="s">
        <v>1821</v>
      </c>
      <c r="K501">
        <v>6.2</v>
      </c>
      <c r="L501">
        <v>0.5</v>
      </c>
      <c r="M501" t="s">
        <v>47</v>
      </c>
      <c r="O501" t="s">
        <v>48</v>
      </c>
      <c r="P501" t="s">
        <v>629</v>
      </c>
      <c r="R501">
        <v>9</v>
      </c>
      <c r="S501">
        <v>44</v>
      </c>
      <c r="T501">
        <v>58</v>
      </c>
      <c r="U501">
        <v>44</v>
      </c>
      <c r="V501">
        <v>58</v>
      </c>
      <c r="W501">
        <v>44</v>
      </c>
      <c r="X501">
        <v>61</v>
      </c>
      <c r="Y501">
        <f t="shared" si="210"/>
        <v>151</v>
      </c>
      <c r="Z501">
        <f t="shared" si="211"/>
        <v>151</v>
      </c>
      <c r="AA501">
        <f t="shared" si="212"/>
        <v>119</v>
      </c>
      <c r="AB501">
        <f t="shared" si="213"/>
        <v>119</v>
      </c>
      <c r="AC501">
        <f t="shared" si="214"/>
        <v>104</v>
      </c>
      <c r="AD501">
        <f t="shared" si="215"/>
        <v>121</v>
      </c>
      <c r="AE501">
        <f t="shared" si="216"/>
        <v>110</v>
      </c>
      <c r="AF501">
        <f t="shared" si="217"/>
        <v>78</v>
      </c>
      <c r="AG501">
        <f t="shared" si="218"/>
        <v>70</v>
      </c>
      <c r="AH501">
        <f t="shared" si="219"/>
        <v>56</v>
      </c>
      <c r="AI501">
        <f t="shared" si="220"/>
        <v>105</v>
      </c>
      <c r="AJ501">
        <f t="shared" si="221"/>
        <v>96</v>
      </c>
      <c r="AK501">
        <f t="shared" si="222"/>
        <v>64</v>
      </c>
      <c r="AL501">
        <f t="shared" si="223"/>
        <v>57</v>
      </c>
      <c r="AM501">
        <f t="shared" si="224"/>
        <v>44</v>
      </c>
      <c r="AN501">
        <f t="shared" si="225"/>
        <v>121</v>
      </c>
      <c r="AO501">
        <f t="shared" si="226"/>
        <v>110</v>
      </c>
      <c r="AP501">
        <f t="shared" si="227"/>
        <v>78</v>
      </c>
      <c r="AQ501">
        <f t="shared" si="228"/>
        <v>70</v>
      </c>
      <c r="AR501">
        <f t="shared" si="229"/>
        <v>56</v>
      </c>
      <c r="AS501">
        <f t="shared" si="230"/>
        <v>105</v>
      </c>
      <c r="AT501">
        <f t="shared" si="231"/>
        <v>96</v>
      </c>
      <c r="AU501">
        <f t="shared" si="232"/>
        <v>64</v>
      </c>
      <c r="AV501">
        <f t="shared" si="233"/>
        <v>57</v>
      </c>
      <c r="AW501">
        <f t="shared" si="234"/>
        <v>44</v>
      </c>
      <c r="AX501">
        <f t="shared" si="235"/>
        <v>124</v>
      </c>
      <c r="AY501">
        <f t="shared" si="236"/>
        <v>113</v>
      </c>
      <c r="AZ501">
        <f t="shared" si="237"/>
        <v>81</v>
      </c>
      <c r="BA501">
        <f t="shared" si="238"/>
        <v>72</v>
      </c>
      <c r="BB501">
        <f t="shared" si="239"/>
        <v>59</v>
      </c>
    </row>
    <row r="502" spans="1:54" x14ac:dyDescent="0.15">
      <c r="A502">
        <v>325</v>
      </c>
      <c r="B502" t="s">
        <v>1822</v>
      </c>
      <c r="C502">
        <v>391</v>
      </c>
      <c r="D502">
        <v>0</v>
      </c>
      <c r="E502" t="s">
        <v>1823</v>
      </c>
      <c r="G502" t="s">
        <v>1823</v>
      </c>
      <c r="H502" t="s">
        <v>1824</v>
      </c>
      <c r="J502" t="s">
        <v>1825</v>
      </c>
      <c r="K502">
        <v>22</v>
      </c>
      <c r="L502">
        <v>0.9</v>
      </c>
      <c r="M502" t="s">
        <v>47</v>
      </c>
      <c r="N502" t="s">
        <v>354</v>
      </c>
      <c r="O502" t="s">
        <v>48</v>
      </c>
      <c r="P502" t="s">
        <v>629</v>
      </c>
      <c r="R502">
        <v>9</v>
      </c>
      <c r="S502">
        <v>64</v>
      </c>
      <c r="T502">
        <v>78</v>
      </c>
      <c r="U502">
        <v>52</v>
      </c>
      <c r="V502">
        <v>78</v>
      </c>
      <c r="W502">
        <v>52</v>
      </c>
      <c r="X502">
        <v>81</v>
      </c>
      <c r="Y502">
        <f t="shared" si="210"/>
        <v>171</v>
      </c>
      <c r="Z502">
        <f t="shared" si="211"/>
        <v>171</v>
      </c>
      <c r="AA502">
        <f t="shared" si="212"/>
        <v>139</v>
      </c>
      <c r="AB502">
        <f t="shared" si="213"/>
        <v>139</v>
      </c>
      <c r="AC502">
        <f t="shared" si="214"/>
        <v>124</v>
      </c>
      <c r="AD502">
        <f t="shared" si="215"/>
        <v>143</v>
      </c>
      <c r="AE502">
        <f t="shared" si="216"/>
        <v>130</v>
      </c>
      <c r="AF502">
        <f t="shared" si="217"/>
        <v>98</v>
      </c>
      <c r="AG502">
        <f t="shared" si="218"/>
        <v>88</v>
      </c>
      <c r="AH502">
        <f t="shared" si="219"/>
        <v>74</v>
      </c>
      <c r="AI502">
        <f t="shared" si="220"/>
        <v>114</v>
      </c>
      <c r="AJ502">
        <f t="shared" si="221"/>
        <v>104</v>
      </c>
      <c r="AK502">
        <f t="shared" si="222"/>
        <v>72</v>
      </c>
      <c r="AL502">
        <f t="shared" si="223"/>
        <v>64</v>
      </c>
      <c r="AM502">
        <f t="shared" si="224"/>
        <v>51</v>
      </c>
      <c r="AN502">
        <f t="shared" si="225"/>
        <v>143</v>
      </c>
      <c r="AO502">
        <f t="shared" si="226"/>
        <v>130</v>
      </c>
      <c r="AP502">
        <f t="shared" si="227"/>
        <v>98</v>
      </c>
      <c r="AQ502">
        <f t="shared" si="228"/>
        <v>88</v>
      </c>
      <c r="AR502">
        <f t="shared" si="229"/>
        <v>74</v>
      </c>
      <c r="AS502">
        <f t="shared" si="230"/>
        <v>114</v>
      </c>
      <c r="AT502">
        <f t="shared" si="231"/>
        <v>104</v>
      </c>
      <c r="AU502">
        <f t="shared" si="232"/>
        <v>72</v>
      </c>
      <c r="AV502">
        <f t="shared" si="233"/>
        <v>64</v>
      </c>
      <c r="AW502">
        <f t="shared" si="234"/>
        <v>51</v>
      </c>
      <c r="AX502">
        <f t="shared" si="235"/>
        <v>146</v>
      </c>
      <c r="AY502">
        <f t="shared" si="236"/>
        <v>133</v>
      </c>
      <c r="AZ502">
        <f t="shared" si="237"/>
        <v>101</v>
      </c>
      <c r="BA502">
        <f t="shared" si="238"/>
        <v>90</v>
      </c>
      <c r="BB502">
        <f t="shared" si="239"/>
        <v>77</v>
      </c>
    </row>
    <row r="503" spans="1:54" x14ac:dyDescent="0.15">
      <c r="A503">
        <v>326</v>
      </c>
      <c r="B503" t="s">
        <v>1826</v>
      </c>
      <c r="C503">
        <v>392</v>
      </c>
      <c r="D503">
        <v>0</v>
      </c>
      <c r="E503" t="s">
        <v>1827</v>
      </c>
      <c r="G503" t="s">
        <v>1827</v>
      </c>
      <c r="H503" t="s">
        <v>1828</v>
      </c>
      <c r="J503" t="s">
        <v>53</v>
      </c>
      <c r="K503">
        <v>55</v>
      </c>
      <c r="L503">
        <v>1.2</v>
      </c>
      <c r="M503" t="s">
        <v>47</v>
      </c>
      <c r="N503" t="s">
        <v>354</v>
      </c>
      <c r="O503" t="s">
        <v>48</v>
      </c>
      <c r="P503" t="s">
        <v>629</v>
      </c>
      <c r="R503">
        <v>9</v>
      </c>
      <c r="S503">
        <v>76</v>
      </c>
      <c r="T503">
        <v>104</v>
      </c>
      <c r="U503">
        <v>71</v>
      </c>
      <c r="V503">
        <v>104</v>
      </c>
      <c r="W503">
        <v>71</v>
      </c>
      <c r="X503">
        <v>108</v>
      </c>
      <c r="Y503">
        <f t="shared" si="210"/>
        <v>183</v>
      </c>
      <c r="Z503">
        <f t="shared" si="211"/>
        <v>183</v>
      </c>
      <c r="AA503">
        <f t="shared" si="212"/>
        <v>151</v>
      </c>
      <c r="AB503">
        <f t="shared" si="213"/>
        <v>151</v>
      </c>
      <c r="AC503">
        <f t="shared" si="214"/>
        <v>136</v>
      </c>
      <c r="AD503">
        <f t="shared" si="215"/>
        <v>171</v>
      </c>
      <c r="AE503">
        <f t="shared" si="216"/>
        <v>156</v>
      </c>
      <c r="AF503">
        <f t="shared" si="217"/>
        <v>124</v>
      </c>
      <c r="AG503">
        <f t="shared" si="218"/>
        <v>111</v>
      </c>
      <c r="AH503">
        <f t="shared" si="219"/>
        <v>98</v>
      </c>
      <c r="AI503">
        <f t="shared" si="220"/>
        <v>135</v>
      </c>
      <c r="AJ503">
        <f t="shared" si="221"/>
        <v>123</v>
      </c>
      <c r="AK503">
        <f t="shared" si="222"/>
        <v>91</v>
      </c>
      <c r="AL503">
        <f t="shared" si="223"/>
        <v>81</v>
      </c>
      <c r="AM503">
        <f t="shared" si="224"/>
        <v>68</v>
      </c>
      <c r="AN503">
        <f t="shared" si="225"/>
        <v>171</v>
      </c>
      <c r="AO503">
        <f t="shared" si="226"/>
        <v>156</v>
      </c>
      <c r="AP503">
        <f t="shared" si="227"/>
        <v>124</v>
      </c>
      <c r="AQ503">
        <f t="shared" si="228"/>
        <v>111</v>
      </c>
      <c r="AR503">
        <f t="shared" si="229"/>
        <v>98</v>
      </c>
      <c r="AS503">
        <f t="shared" si="230"/>
        <v>135</v>
      </c>
      <c r="AT503">
        <f t="shared" si="231"/>
        <v>123</v>
      </c>
      <c r="AU503">
        <f t="shared" si="232"/>
        <v>91</v>
      </c>
      <c r="AV503">
        <f t="shared" si="233"/>
        <v>81</v>
      </c>
      <c r="AW503">
        <f t="shared" si="234"/>
        <v>68</v>
      </c>
      <c r="AX503">
        <f t="shared" si="235"/>
        <v>176</v>
      </c>
      <c r="AY503">
        <f t="shared" si="236"/>
        <v>160</v>
      </c>
      <c r="AZ503">
        <f t="shared" si="237"/>
        <v>128</v>
      </c>
      <c r="BA503">
        <f t="shared" si="238"/>
        <v>115</v>
      </c>
      <c r="BB503">
        <f t="shared" si="239"/>
        <v>101</v>
      </c>
    </row>
    <row r="504" spans="1:54" x14ac:dyDescent="0.15">
      <c r="A504">
        <v>327</v>
      </c>
      <c r="B504" t="s">
        <v>1829</v>
      </c>
      <c r="C504">
        <v>393</v>
      </c>
      <c r="D504">
        <v>0</v>
      </c>
      <c r="E504" t="s">
        <v>1830</v>
      </c>
      <c r="G504" t="s">
        <v>1830</v>
      </c>
      <c r="H504" t="s">
        <v>1831</v>
      </c>
      <c r="J504" t="s">
        <v>1832</v>
      </c>
      <c r="K504">
        <v>5.2</v>
      </c>
      <c r="L504">
        <v>0.4</v>
      </c>
      <c r="M504" t="s">
        <v>71</v>
      </c>
      <c r="O504" t="s">
        <v>72</v>
      </c>
      <c r="P504" t="s">
        <v>260</v>
      </c>
      <c r="R504">
        <v>9</v>
      </c>
      <c r="S504">
        <v>53</v>
      </c>
      <c r="T504">
        <v>51</v>
      </c>
      <c r="U504">
        <v>53</v>
      </c>
      <c r="V504">
        <v>61</v>
      </c>
      <c r="W504">
        <v>56</v>
      </c>
      <c r="X504">
        <v>40</v>
      </c>
      <c r="Y504">
        <f t="shared" si="210"/>
        <v>160</v>
      </c>
      <c r="Z504">
        <f t="shared" si="211"/>
        <v>160</v>
      </c>
      <c r="AA504">
        <f t="shared" si="212"/>
        <v>128</v>
      </c>
      <c r="AB504">
        <f t="shared" si="213"/>
        <v>128</v>
      </c>
      <c r="AC504">
        <f t="shared" si="214"/>
        <v>113</v>
      </c>
      <c r="AD504">
        <f t="shared" si="215"/>
        <v>113</v>
      </c>
      <c r="AE504">
        <f t="shared" si="216"/>
        <v>103</v>
      </c>
      <c r="AF504">
        <f t="shared" si="217"/>
        <v>71</v>
      </c>
      <c r="AG504">
        <f t="shared" si="218"/>
        <v>63</v>
      </c>
      <c r="AH504">
        <f t="shared" si="219"/>
        <v>50</v>
      </c>
      <c r="AI504">
        <f t="shared" si="220"/>
        <v>115</v>
      </c>
      <c r="AJ504">
        <f t="shared" si="221"/>
        <v>105</v>
      </c>
      <c r="AK504">
        <f t="shared" si="222"/>
        <v>73</v>
      </c>
      <c r="AL504">
        <f t="shared" si="223"/>
        <v>65</v>
      </c>
      <c r="AM504">
        <f t="shared" si="224"/>
        <v>52</v>
      </c>
      <c r="AN504">
        <f t="shared" si="225"/>
        <v>124</v>
      </c>
      <c r="AO504">
        <f t="shared" si="226"/>
        <v>113</v>
      </c>
      <c r="AP504">
        <f t="shared" si="227"/>
        <v>81</v>
      </c>
      <c r="AQ504">
        <f t="shared" si="228"/>
        <v>72</v>
      </c>
      <c r="AR504">
        <f t="shared" si="229"/>
        <v>59</v>
      </c>
      <c r="AS504">
        <f t="shared" si="230"/>
        <v>118</v>
      </c>
      <c r="AT504">
        <f t="shared" si="231"/>
        <v>108</v>
      </c>
      <c r="AU504">
        <f t="shared" si="232"/>
        <v>76</v>
      </c>
      <c r="AV504">
        <f t="shared" si="233"/>
        <v>68</v>
      </c>
      <c r="AW504">
        <f t="shared" si="234"/>
        <v>54</v>
      </c>
      <c r="AX504">
        <f t="shared" si="235"/>
        <v>101</v>
      </c>
      <c r="AY504">
        <f t="shared" si="236"/>
        <v>92</v>
      </c>
      <c r="AZ504">
        <f t="shared" si="237"/>
        <v>60</v>
      </c>
      <c r="BA504">
        <f t="shared" si="238"/>
        <v>54</v>
      </c>
      <c r="BB504">
        <f t="shared" si="239"/>
        <v>40</v>
      </c>
    </row>
    <row r="505" spans="1:54" x14ac:dyDescent="0.15">
      <c r="A505">
        <v>328</v>
      </c>
      <c r="B505" t="s">
        <v>1833</v>
      </c>
      <c r="C505">
        <v>394</v>
      </c>
      <c r="D505">
        <v>0</v>
      </c>
      <c r="E505" t="s">
        <v>1834</v>
      </c>
      <c r="G505" t="s">
        <v>1834</v>
      </c>
      <c r="H505" t="s">
        <v>1835</v>
      </c>
      <c r="J505" t="s">
        <v>1832</v>
      </c>
      <c r="K505">
        <v>23</v>
      </c>
      <c r="L505">
        <v>0.8</v>
      </c>
      <c r="M505" t="s">
        <v>71</v>
      </c>
      <c r="O505" t="s">
        <v>72</v>
      </c>
      <c r="P505" t="s">
        <v>260</v>
      </c>
      <c r="R505">
        <v>9</v>
      </c>
      <c r="S505">
        <v>64</v>
      </c>
      <c r="T505">
        <v>66</v>
      </c>
      <c r="U505">
        <v>68</v>
      </c>
      <c r="V505">
        <v>81</v>
      </c>
      <c r="W505">
        <v>76</v>
      </c>
      <c r="X505">
        <v>50</v>
      </c>
      <c r="Y505">
        <f t="shared" si="210"/>
        <v>171</v>
      </c>
      <c r="Z505">
        <f t="shared" si="211"/>
        <v>171</v>
      </c>
      <c r="AA505">
        <f t="shared" si="212"/>
        <v>139</v>
      </c>
      <c r="AB505">
        <f t="shared" si="213"/>
        <v>139</v>
      </c>
      <c r="AC505">
        <f t="shared" si="214"/>
        <v>124</v>
      </c>
      <c r="AD505">
        <f t="shared" si="215"/>
        <v>129</v>
      </c>
      <c r="AE505">
        <f t="shared" si="216"/>
        <v>118</v>
      </c>
      <c r="AF505">
        <f t="shared" si="217"/>
        <v>86</v>
      </c>
      <c r="AG505">
        <f t="shared" si="218"/>
        <v>77</v>
      </c>
      <c r="AH505">
        <f t="shared" si="219"/>
        <v>63</v>
      </c>
      <c r="AI505">
        <f t="shared" si="220"/>
        <v>132</v>
      </c>
      <c r="AJ505">
        <f t="shared" si="221"/>
        <v>120</v>
      </c>
      <c r="AK505">
        <f t="shared" si="222"/>
        <v>88</v>
      </c>
      <c r="AL505">
        <f t="shared" si="223"/>
        <v>79</v>
      </c>
      <c r="AM505">
        <f t="shared" si="224"/>
        <v>65</v>
      </c>
      <c r="AN505">
        <f t="shared" si="225"/>
        <v>146</v>
      </c>
      <c r="AO505">
        <f t="shared" si="226"/>
        <v>133</v>
      </c>
      <c r="AP505">
        <f t="shared" si="227"/>
        <v>101</v>
      </c>
      <c r="AQ505">
        <f t="shared" si="228"/>
        <v>90</v>
      </c>
      <c r="AR505">
        <f t="shared" si="229"/>
        <v>77</v>
      </c>
      <c r="AS505">
        <f t="shared" si="230"/>
        <v>140</v>
      </c>
      <c r="AT505">
        <f t="shared" si="231"/>
        <v>128</v>
      </c>
      <c r="AU505">
        <f t="shared" si="232"/>
        <v>96</v>
      </c>
      <c r="AV505">
        <f t="shared" si="233"/>
        <v>86</v>
      </c>
      <c r="AW505">
        <f t="shared" si="234"/>
        <v>72</v>
      </c>
      <c r="AX505">
        <f t="shared" si="235"/>
        <v>112</v>
      </c>
      <c r="AY505">
        <f t="shared" si="236"/>
        <v>102</v>
      </c>
      <c r="AZ505">
        <f t="shared" si="237"/>
        <v>70</v>
      </c>
      <c r="BA505">
        <f t="shared" si="238"/>
        <v>63</v>
      </c>
      <c r="BB505">
        <f t="shared" si="239"/>
        <v>49</v>
      </c>
    </row>
    <row r="506" spans="1:54" x14ac:dyDescent="0.15">
      <c r="A506">
        <v>329</v>
      </c>
      <c r="B506" t="s">
        <v>1836</v>
      </c>
      <c r="C506">
        <v>395</v>
      </c>
      <c r="D506">
        <v>0</v>
      </c>
      <c r="E506" t="s">
        <v>1837</v>
      </c>
      <c r="G506" t="s">
        <v>1837</v>
      </c>
      <c r="H506" t="s">
        <v>1838</v>
      </c>
      <c r="J506" t="s">
        <v>1839</v>
      </c>
      <c r="K506">
        <v>84.5</v>
      </c>
      <c r="L506">
        <v>1.7</v>
      </c>
      <c r="M506" t="s">
        <v>71</v>
      </c>
      <c r="N506" t="s">
        <v>203</v>
      </c>
      <c r="O506" t="s">
        <v>72</v>
      </c>
      <c r="P506" t="s">
        <v>260</v>
      </c>
      <c r="R506">
        <v>9</v>
      </c>
      <c r="S506">
        <v>84</v>
      </c>
      <c r="T506">
        <v>86</v>
      </c>
      <c r="U506">
        <v>88</v>
      </c>
      <c r="V506">
        <v>111</v>
      </c>
      <c r="W506">
        <v>101</v>
      </c>
      <c r="X506">
        <v>60</v>
      </c>
      <c r="Y506">
        <f t="shared" si="210"/>
        <v>191</v>
      </c>
      <c r="Z506">
        <f t="shared" si="211"/>
        <v>191</v>
      </c>
      <c r="AA506">
        <f t="shared" si="212"/>
        <v>159</v>
      </c>
      <c r="AB506">
        <f t="shared" si="213"/>
        <v>159</v>
      </c>
      <c r="AC506">
        <f t="shared" si="214"/>
        <v>144</v>
      </c>
      <c r="AD506">
        <f t="shared" si="215"/>
        <v>151</v>
      </c>
      <c r="AE506">
        <f t="shared" si="216"/>
        <v>138</v>
      </c>
      <c r="AF506">
        <f t="shared" si="217"/>
        <v>106</v>
      </c>
      <c r="AG506">
        <f t="shared" si="218"/>
        <v>95</v>
      </c>
      <c r="AH506">
        <f t="shared" si="219"/>
        <v>81</v>
      </c>
      <c r="AI506">
        <f t="shared" si="220"/>
        <v>154</v>
      </c>
      <c r="AJ506">
        <f t="shared" si="221"/>
        <v>140</v>
      </c>
      <c r="AK506">
        <f t="shared" si="222"/>
        <v>108</v>
      </c>
      <c r="AL506">
        <f t="shared" si="223"/>
        <v>97</v>
      </c>
      <c r="AM506">
        <f t="shared" si="224"/>
        <v>83</v>
      </c>
      <c r="AN506">
        <f t="shared" si="225"/>
        <v>179</v>
      </c>
      <c r="AO506">
        <f t="shared" si="226"/>
        <v>163</v>
      </c>
      <c r="AP506">
        <f t="shared" si="227"/>
        <v>131</v>
      </c>
      <c r="AQ506">
        <f t="shared" si="228"/>
        <v>117</v>
      </c>
      <c r="AR506">
        <f t="shared" si="229"/>
        <v>104</v>
      </c>
      <c r="AS506">
        <f t="shared" si="230"/>
        <v>168</v>
      </c>
      <c r="AT506">
        <f t="shared" si="231"/>
        <v>153</v>
      </c>
      <c r="AU506">
        <f t="shared" si="232"/>
        <v>121</v>
      </c>
      <c r="AV506">
        <f t="shared" si="233"/>
        <v>108</v>
      </c>
      <c r="AW506">
        <f t="shared" si="234"/>
        <v>95</v>
      </c>
      <c r="AX506">
        <f t="shared" si="235"/>
        <v>123</v>
      </c>
      <c r="AY506">
        <f t="shared" si="236"/>
        <v>112</v>
      </c>
      <c r="AZ506">
        <f t="shared" si="237"/>
        <v>80</v>
      </c>
      <c r="BA506">
        <f t="shared" si="238"/>
        <v>72</v>
      </c>
      <c r="BB506">
        <f t="shared" si="239"/>
        <v>58</v>
      </c>
    </row>
    <row r="507" spans="1:54" x14ac:dyDescent="0.15">
      <c r="A507">
        <v>330</v>
      </c>
      <c r="B507" t="s">
        <v>1840</v>
      </c>
      <c r="C507">
        <v>396</v>
      </c>
      <c r="D507">
        <v>0</v>
      </c>
      <c r="E507" t="s">
        <v>1841</v>
      </c>
      <c r="G507" t="s">
        <v>1841</v>
      </c>
      <c r="H507" t="s">
        <v>1842</v>
      </c>
      <c r="J507" t="s">
        <v>1843</v>
      </c>
      <c r="K507">
        <v>2</v>
      </c>
      <c r="L507">
        <v>0.3</v>
      </c>
      <c r="M507" t="s">
        <v>120</v>
      </c>
      <c r="N507" t="s">
        <v>57</v>
      </c>
      <c r="O507" t="s">
        <v>121</v>
      </c>
      <c r="P507" t="s">
        <v>623</v>
      </c>
      <c r="R507">
        <v>9</v>
      </c>
      <c r="S507">
        <v>40</v>
      </c>
      <c r="T507">
        <v>55</v>
      </c>
      <c r="U507">
        <v>30</v>
      </c>
      <c r="V507">
        <v>30</v>
      </c>
      <c r="W507">
        <v>30</v>
      </c>
      <c r="X507">
        <v>60</v>
      </c>
      <c r="Y507">
        <f t="shared" si="210"/>
        <v>147</v>
      </c>
      <c r="Z507">
        <f t="shared" si="211"/>
        <v>147</v>
      </c>
      <c r="AA507">
        <f t="shared" si="212"/>
        <v>115</v>
      </c>
      <c r="AB507">
        <f t="shared" si="213"/>
        <v>115</v>
      </c>
      <c r="AC507">
        <f t="shared" si="214"/>
        <v>100</v>
      </c>
      <c r="AD507">
        <f t="shared" si="215"/>
        <v>117</v>
      </c>
      <c r="AE507">
        <f t="shared" si="216"/>
        <v>107</v>
      </c>
      <c r="AF507">
        <f t="shared" si="217"/>
        <v>75</v>
      </c>
      <c r="AG507">
        <f t="shared" si="218"/>
        <v>67</v>
      </c>
      <c r="AH507">
        <f t="shared" si="219"/>
        <v>54</v>
      </c>
      <c r="AI507">
        <f t="shared" si="220"/>
        <v>90</v>
      </c>
      <c r="AJ507">
        <f t="shared" si="221"/>
        <v>82</v>
      </c>
      <c r="AK507">
        <f t="shared" si="222"/>
        <v>50</v>
      </c>
      <c r="AL507">
        <f t="shared" si="223"/>
        <v>45</v>
      </c>
      <c r="AM507">
        <f t="shared" si="224"/>
        <v>31</v>
      </c>
      <c r="AN507">
        <f t="shared" si="225"/>
        <v>90</v>
      </c>
      <c r="AO507">
        <f t="shared" si="226"/>
        <v>82</v>
      </c>
      <c r="AP507">
        <f t="shared" si="227"/>
        <v>50</v>
      </c>
      <c r="AQ507">
        <f t="shared" si="228"/>
        <v>45</v>
      </c>
      <c r="AR507">
        <f t="shared" si="229"/>
        <v>31</v>
      </c>
      <c r="AS507">
        <f t="shared" si="230"/>
        <v>90</v>
      </c>
      <c r="AT507">
        <f t="shared" si="231"/>
        <v>82</v>
      </c>
      <c r="AU507">
        <f t="shared" si="232"/>
        <v>50</v>
      </c>
      <c r="AV507">
        <f t="shared" si="233"/>
        <v>45</v>
      </c>
      <c r="AW507">
        <f t="shared" si="234"/>
        <v>31</v>
      </c>
      <c r="AX507">
        <f t="shared" si="235"/>
        <v>123</v>
      </c>
      <c r="AY507">
        <f t="shared" si="236"/>
        <v>112</v>
      </c>
      <c r="AZ507">
        <f t="shared" si="237"/>
        <v>80</v>
      </c>
      <c r="BA507">
        <f t="shared" si="238"/>
        <v>72</v>
      </c>
      <c r="BB507">
        <f t="shared" si="239"/>
        <v>58</v>
      </c>
    </row>
    <row r="508" spans="1:54" x14ac:dyDescent="0.15">
      <c r="A508">
        <v>331</v>
      </c>
      <c r="B508" t="s">
        <v>1844</v>
      </c>
      <c r="C508">
        <v>397</v>
      </c>
      <c r="D508">
        <v>0</v>
      </c>
      <c r="E508" t="s">
        <v>1845</v>
      </c>
      <c r="G508" t="s">
        <v>1845</v>
      </c>
      <c r="H508" t="s">
        <v>1846</v>
      </c>
      <c r="J508" t="s">
        <v>1843</v>
      </c>
      <c r="K508">
        <v>15.5</v>
      </c>
      <c r="L508">
        <v>0.6</v>
      </c>
      <c r="M508" t="s">
        <v>120</v>
      </c>
      <c r="N508" t="s">
        <v>57</v>
      </c>
      <c r="O508" t="s">
        <v>155</v>
      </c>
      <c r="P508" t="s">
        <v>623</v>
      </c>
      <c r="R508">
        <v>9</v>
      </c>
      <c r="S508">
        <v>55</v>
      </c>
      <c r="T508">
        <v>75</v>
      </c>
      <c r="U508">
        <v>50</v>
      </c>
      <c r="V508">
        <v>40</v>
      </c>
      <c r="W508">
        <v>40</v>
      </c>
      <c r="X508">
        <v>80</v>
      </c>
      <c r="Y508">
        <f t="shared" si="210"/>
        <v>162</v>
      </c>
      <c r="Z508">
        <f t="shared" si="211"/>
        <v>162</v>
      </c>
      <c r="AA508">
        <f t="shared" si="212"/>
        <v>130</v>
      </c>
      <c r="AB508">
        <f t="shared" si="213"/>
        <v>130</v>
      </c>
      <c r="AC508">
        <f t="shared" si="214"/>
        <v>115</v>
      </c>
      <c r="AD508">
        <f t="shared" si="215"/>
        <v>139</v>
      </c>
      <c r="AE508">
        <f t="shared" si="216"/>
        <v>127</v>
      </c>
      <c r="AF508">
        <f t="shared" si="217"/>
        <v>95</v>
      </c>
      <c r="AG508">
        <f t="shared" si="218"/>
        <v>85</v>
      </c>
      <c r="AH508">
        <f t="shared" si="219"/>
        <v>72</v>
      </c>
      <c r="AI508">
        <f t="shared" si="220"/>
        <v>112</v>
      </c>
      <c r="AJ508">
        <f t="shared" si="221"/>
        <v>102</v>
      </c>
      <c r="AK508">
        <f t="shared" si="222"/>
        <v>70</v>
      </c>
      <c r="AL508">
        <f t="shared" si="223"/>
        <v>63</v>
      </c>
      <c r="AM508">
        <f t="shared" si="224"/>
        <v>49</v>
      </c>
      <c r="AN508">
        <f t="shared" si="225"/>
        <v>101</v>
      </c>
      <c r="AO508">
        <f t="shared" si="226"/>
        <v>92</v>
      </c>
      <c r="AP508">
        <f t="shared" si="227"/>
        <v>60</v>
      </c>
      <c r="AQ508">
        <f t="shared" si="228"/>
        <v>54</v>
      </c>
      <c r="AR508">
        <f t="shared" si="229"/>
        <v>40</v>
      </c>
      <c r="AS508">
        <f t="shared" si="230"/>
        <v>101</v>
      </c>
      <c r="AT508">
        <f t="shared" si="231"/>
        <v>92</v>
      </c>
      <c r="AU508">
        <f t="shared" si="232"/>
        <v>60</v>
      </c>
      <c r="AV508">
        <f t="shared" si="233"/>
        <v>54</v>
      </c>
      <c r="AW508">
        <f t="shared" si="234"/>
        <v>40</v>
      </c>
      <c r="AX508">
        <f t="shared" si="235"/>
        <v>145</v>
      </c>
      <c r="AY508">
        <f t="shared" si="236"/>
        <v>132</v>
      </c>
      <c r="AZ508">
        <f t="shared" si="237"/>
        <v>100</v>
      </c>
      <c r="BA508">
        <f t="shared" si="238"/>
        <v>90</v>
      </c>
      <c r="BB508">
        <f t="shared" si="239"/>
        <v>76</v>
      </c>
    </row>
    <row r="509" spans="1:54" x14ac:dyDescent="0.15">
      <c r="A509">
        <v>332</v>
      </c>
      <c r="B509" t="s">
        <v>1847</v>
      </c>
      <c r="C509">
        <v>398</v>
      </c>
      <c r="D509">
        <v>0</v>
      </c>
      <c r="E509" t="s">
        <v>1848</v>
      </c>
      <c r="G509" t="s">
        <v>1848</v>
      </c>
      <c r="H509" t="s">
        <v>1849</v>
      </c>
      <c r="J509" t="s">
        <v>1850</v>
      </c>
      <c r="K509">
        <v>24.9</v>
      </c>
      <c r="L509">
        <v>1.2</v>
      </c>
      <c r="M509" t="s">
        <v>120</v>
      </c>
      <c r="N509" t="s">
        <v>57</v>
      </c>
      <c r="O509" t="s">
        <v>155</v>
      </c>
      <c r="P509" t="s">
        <v>623</v>
      </c>
      <c r="R509">
        <v>9</v>
      </c>
      <c r="S509">
        <v>85</v>
      </c>
      <c r="T509">
        <v>120</v>
      </c>
      <c r="U509">
        <v>70</v>
      </c>
      <c r="V509">
        <v>50</v>
      </c>
      <c r="W509">
        <v>60</v>
      </c>
      <c r="X509">
        <v>100</v>
      </c>
      <c r="Y509">
        <f t="shared" si="210"/>
        <v>192</v>
      </c>
      <c r="Z509">
        <f t="shared" si="211"/>
        <v>192</v>
      </c>
      <c r="AA509">
        <f t="shared" si="212"/>
        <v>160</v>
      </c>
      <c r="AB509">
        <f t="shared" si="213"/>
        <v>160</v>
      </c>
      <c r="AC509">
        <f t="shared" si="214"/>
        <v>145</v>
      </c>
      <c r="AD509">
        <f t="shared" si="215"/>
        <v>189</v>
      </c>
      <c r="AE509">
        <f t="shared" si="216"/>
        <v>172</v>
      </c>
      <c r="AF509">
        <f t="shared" si="217"/>
        <v>140</v>
      </c>
      <c r="AG509">
        <f t="shared" si="218"/>
        <v>126</v>
      </c>
      <c r="AH509">
        <f t="shared" si="219"/>
        <v>112</v>
      </c>
      <c r="AI509">
        <f t="shared" si="220"/>
        <v>134</v>
      </c>
      <c r="AJ509">
        <f t="shared" si="221"/>
        <v>122</v>
      </c>
      <c r="AK509">
        <f t="shared" si="222"/>
        <v>90</v>
      </c>
      <c r="AL509">
        <f t="shared" si="223"/>
        <v>81</v>
      </c>
      <c r="AM509">
        <f t="shared" si="224"/>
        <v>67</v>
      </c>
      <c r="AN509">
        <f t="shared" si="225"/>
        <v>112</v>
      </c>
      <c r="AO509">
        <f t="shared" si="226"/>
        <v>102</v>
      </c>
      <c r="AP509">
        <f t="shared" si="227"/>
        <v>70</v>
      </c>
      <c r="AQ509">
        <f t="shared" si="228"/>
        <v>63</v>
      </c>
      <c r="AR509">
        <f t="shared" si="229"/>
        <v>49</v>
      </c>
      <c r="AS509">
        <f t="shared" si="230"/>
        <v>123</v>
      </c>
      <c r="AT509">
        <f t="shared" si="231"/>
        <v>112</v>
      </c>
      <c r="AU509">
        <f t="shared" si="232"/>
        <v>80</v>
      </c>
      <c r="AV509">
        <f t="shared" si="233"/>
        <v>72</v>
      </c>
      <c r="AW509">
        <f t="shared" si="234"/>
        <v>58</v>
      </c>
      <c r="AX509">
        <f t="shared" si="235"/>
        <v>167</v>
      </c>
      <c r="AY509">
        <f t="shared" si="236"/>
        <v>152</v>
      </c>
      <c r="AZ509">
        <f t="shared" si="237"/>
        <v>120</v>
      </c>
      <c r="BA509">
        <f t="shared" si="238"/>
        <v>108</v>
      </c>
      <c r="BB509">
        <f t="shared" si="239"/>
        <v>94</v>
      </c>
    </row>
    <row r="510" spans="1:54" x14ac:dyDescent="0.15">
      <c r="B510" t="s">
        <v>1851</v>
      </c>
      <c r="C510">
        <v>399</v>
      </c>
      <c r="D510">
        <v>0</v>
      </c>
      <c r="E510" t="s">
        <v>1852</v>
      </c>
      <c r="G510" t="s">
        <v>1852</v>
      </c>
      <c r="J510" t="s">
        <v>1853</v>
      </c>
      <c r="K510">
        <v>20</v>
      </c>
      <c r="L510">
        <v>0.5</v>
      </c>
      <c r="M510" t="s">
        <v>120</v>
      </c>
      <c r="O510" t="s">
        <v>1524</v>
      </c>
      <c r="P510" t="s">
        <v>240</v>
      </c>
      <c r="Q510" t="s">
        <v>1142</v>
      </c>
      <c r="R510">
        <v>8</v>
      </c>
      <c r="S510">
        <v>59</v>
      </c>
      <c r="T510">
        <v>45</v>
      </c>
      <c r="U510">
        <v>40</v>
      </c>
      <c r="V510">
        <v>35</v>
      </c>
      <c r="W510">
        <v>40</v>
      </c>
      <c r="X510">
        <v>31</v>
      </c>
      <c r="Y510">
        <f t="shared" si="210"/>
        <v>166</v>
      </c>
      <c r="Z510">
        <f t="shared" si="211"/>
        <v>166</v>
      </c>
      <c r="AA510">
        <f t="shared" si="212"/>
        <v>134</v>
      </c>
      <c r="AB510">
        <f t="shared" si="213"/>
        <v>134</v>
      </c>
      <c r="AC510">
        <f t="shared" si="214"/>
        <v>119</v>
      </c>
      <c r="AD510">
        <f t="shared" si="215"/>
        <v>106</v>
      </c>
      <c r="AE510">
        <f t="shared" si="216"/>
        <v>97</v>
      </c>
      <c r="AF510">
        <f t="shared" si="217"/>
        <v>65</v>
      </c>
      <c r="AG510">
        <f t="shared" si="218"/>
        <v>58</v>
      </c>
      <c r="AH510">
        <f t="shared" si="219"/>
        <v>45</v>
      </c>
      <c r="AI510">
        <f t="shared" si="220"/>
        <v>101</v>
      </c>
      <c r="AJ510">
        <f t="shared" si="221"/>
        <v>92</v>
      </c>
      <c r="AK510">
        <f t="shared" si="222"/>
        <v>60</v>
      </c>
      <c r="AL510">
        <f t="shared" si="223"/>
        <v>54</v>
      </c>
      <c r="AM510">
        <f t="shared" si="224"/>
        <v>40</v>
      </c>
      <c r="AN510">
        <f t="shared" si="225"/>
        <v>95</v>
      </c>
      <c r="AO510">
        <f t="shared" si="226"/>
        <v>87</v>
      </c>
      <c r="AP510">
        <f t="shared" si="227"/>
        <v>55</v>
      </c>
      <c r="AQ510">
        <f t="shared" si="228"/>
        <v>49</v>
      </c>
      <c r="AR510">
        <f t="shared" si="229"/>
        <v>36</v>
      </c>
      <c r="AS510">
        <f t="shared" si="230"/>
        <v>101</v>
      </c>
      <c r="AT510">
        <f t="shared" si="231"/>
        <v>92</v>
      </c>
      <c r="AU510">
        <f t="shared" si="232"/>
        <v>60</v>
      </c>
      <c r="AV510">
        <f t="shared" si="233"/>
        <v>54</v>
      </c>
      <c r="AW510">
        <f t="shared" si="234"/>
        <v>40</v>
      </c>
      <c r="AX510">
        <f t="shared" si="235"/>
        <v>91</v>
      </c>
      <c r="AY510">
        <f t="shared" si="236"/>
        <v>83</v>
      </c>
      <c r="AZ510">
        <f t="shared" si="237"/>
        <v>51</v>
      </c>
      <c r="BA510">
        <f t="shared" si="238"/>
        <v>45</v>
      </c>
      <c r="BB510">
        <f t="shared" si="239"/>
        <v>32</v>
      </c>
    </row>
    <row r="511" spans="1:54" x14ac:dyDescent="0.15">
      <c r="B511" t="s">
        <v>1854</v>
      </c>
      <c r="C511">
        <v>400</v>
      </c>
      <c r="D511">
        <v>0</v>
      </c>
      <c r="E511" t="s">
        <v>1855</v>
      </c>
      <c r="G511" t="s">
        <v>1855</v>
      </c>
      <c r="J511" t="s">
        <v>1856</v>
      </c>
      <c r="K511">
        <v>31.5</v>
      </c>
      <c r="L511">
        <v>1</v>
      </c>
      <c r="M511" t="s">
        <v>120</v>
      </c>
      <c r="N511" t="s">
        <v>71</v>
      </c>
      <c r="O511" t="s">
        <v>1524</v>
      </c>
      <c r="P511" t="s">
        <v>240</v>
      </c>
      <c r="Q511" t="s">
        <v>1142</v>
      </c>
      <c r="R511">
        <v>8</v>
      </c>
      <c r="S511">
        <v>79</v>
      </c>
      <c r="T511">
        <v>85</v>
      </c>
      <c r="U511">
        <v>60</v>
      </c>
      <c r="V511">
        <v>55</v>
      </c>
      <c r="W511">
        <v>60</v>
      </c>
      <c r="X511">
        <v>71</v>
      </c>
      <c r="Y511">
        <f t="shared" si="210"/>
        <v>186</v>
      </c>
      <c r="Z511">
        <f t="shared" si="211"/>
        <v>186</v>
      </c>
      <c r="AA511">
        <f t="shared" si="212"/>
        <v>154</v>
      </c>
      <c r="AB511">
        <f t="shared" si="213"/>
        <v>154</v>
      </c>
      <c r="AC511">
        <f t="shared" si="214"/>
        <v>139</v>
      </c>
      <c r="AD511">
        <f t="shared" si="215"/>
        <v>150</v>
      </c>
      <c r="AE511">
        <f t="shared" si="216"/>
        <v>137</v>
      </c>
      <c r="AF511">
        <f t="shared" si="217"/>
        <v>105</v>
      </c>
      <c r="AG511">
        <f t="shared" si="218"/>
        <v>94</v>
      </c>
      <c r="AH511">
        <f t="shared" si="219"/>
        <v>81</v>
      </c>
      <c r="AI511">
        <f t="shared" si="220"/>
        <v>123</v>
      </c>
      <c r="AJ511">
        <f t="shared" si="221"/>
        <v>112</v>
      </c>
      <c r="AK511">
        <f t="shared" si="222"/>
        <v>80</v>
      </c>
      <c r="AL511">
        <f t="shared" si="223"/>
        <v>72</v>
      </c>
      <c r="AM511">
        <f t="shared" si="224"/>
        <v>58</v>
      </c>
      <c r="AN511">
        <f t="shared" si="225"/>
        <v>117</v>
      </c>
      <c r="AO511">
        <f t="shared" si="226"/>
        <v>107</v>
      </c>
      <c r="AP511">
        <f t="shared" si="227"/>
        <v>75</v>
      </c>
      <c r="AQ511">
        <f t="shared" si="228"/>
        <v>67</v>
      </c>
      <c r="AR511">
        <f t="shared" si="229"/>
        <v>54</v>
      </c>
      <c r="AS511">
        <f t="shared" si="230"/>
        <v>123</v>
      </c>
      <c r="AT511">
        <f t="shared" si="231"/>
        <v>112</v>
      </c>
      <c r="AU511">
        <f t="shared" si="232"/>
        <v>80</v>
      </c>
      <c r="AV511">
        <f t="shared" si="233"/>
        <v>72</v>
      </c>
      <c r="AW511">
        <f t="shared" si="234"/>
        <v>58</v>
      </c>
      <c r="AX511">
        <f t="shared" si="235"/>
        <v>135</v>
      </c>
      <c r="AY511">
        <f t="shared" si="236"/>
        <v>123</v>
      </c>
      <c r="AZ511">
        <f t="shared" si="237"/>
        <v>91</v>
      </c>
      <c r="BA511">
        <f t="shared" si="238"/>
        <v>81</v>
      </c>
      <c r="BB511">
        <f t="shared" si="239"/>
        <v>68</v>
      </c>
    </row>
    <row r="512" spans="1:54" x14ac:dyDescent="0.15">
      <c r="A512">
        <v>333</v>
      </c>
      <c r="B512" t="s">
        <v>1857</v>
      </c>
      <c r="C512">
        <v>401</v>
      </c>
      <c r="D512">
        <v>0</v>
      </c>
      <c r="E512" t="s">
        <v>1858</v>
      </c>
      <c r="G512" t="s">
        <v>1858</v>
      </c>
      <c r="H512" t="s">
        <v>1859</v>
      </c>
      <c r="J512" t="s">
        <v>1860</v>
      </c>
      <c r="K512">
        <v>2.2000000000000002</v>
      </c>
      <c r="L512">
        <v>0.3</v>
      </c>
      <c r="M512" t="s">
        <v>90</v>
      </c>
      <c r="O512" t="s">
        <v>96</v>
      </c>
      <c r="P512" t="s">
        <v>92</v>
      </c>
      <c r="R512">
        <v>9</v>
      </c>
      <c r="S512">
        <v>37</v>
      </c>
      <c r="T512">
        <v>25</v>
      </c>
      <c r="U512">
        <v>41</v>
      </c>
      <c r="V512">
        <v>25</v>
      </c>
      <c r="W512">
        <v>41</v>
      </c>
      <c r="X512">
        <v>25</v>
      </c>
      <c r="Y512">
        <f t="shared" si="210"/>
        <v>144</v>
      </c>
      <c r="Z512">
        <f t="shared" si="211"/>
        <v>144</v>
      </c>
      <c r="AA512">
        <f t="shared" si="212"/>
        <v>112</v>
      </c>
      <c r="AB512">
        <f t="shared" si="213"/>
        <v>112</v>
      </c>
      <c r="AC512">
        <f t="shared" si="214"/>
        <v>97</v>
      </c>
      <c r="AD512">
        <f t="shared" si="215"/>
        <v>84</v>
      </c>
      <c r="AE512">
        <f t="shared" si="216"/>
        <v>77</v>
      </c>
      <c r="AF512">
        <f t="shared" si="217"/>
        <v>45</v>
      </c>
      <c r="AG512">
        <f t="shared" si="218"/>
        <v>40</v>
      </c>
      <c r="AH512">
        <f t="shared" si="219"/>
        <v>27</v>
      </c>
      <c r="AI512">
        <f t="shared" si="220"/>
        <v>102</v>
      </c>
      <c r="AJ512">
        <f t="shared" si="221"/>
        <v>93</v>
      </c>
      <c r="AK512">
        <f t="shared" si="222"/>
        <v>61</v>
      </c>
      <c r="AL512">
        <f t="shared" si="223"/>
        <v>54</v>
      </c>
      <c r="AM512">
        <f t="shared" si="224"/>
        <v>41</v>
      </c>
      <c r="AN512">
        <f t="shared" si="225"/>
        <v>84</v>
      </c>
      <c r="AO512">
        <f t="shared" si="226"/>
        <v>77</v>
      </c>
      <c r="AP512">
        <f t="shared" si="227"/>
        <v>45</v>
      </c>
      <c r="AQ512">
        <f t="shared" si="228"/>
        <v>40</v>
      </c>
      <c r="AR512">
        <f t="shared" si="229"/>
        <v>27</v>
      </c>
      <c r="AS512">
        <f t="shared" si="230"/>
        <v>102</v>
      </c>
      <c r="AT512">
        <f t="shared" si="231"/>
        <v>93</v>
      </c>
      <c r="AU512">
        <f t="shared" si="232"/>
        <v>61</v>
      </c>
      <c r="AV512">
        <f t="shared" si="233"/>
        <v>54</v>
      </c>
      <c r="AW512">
        <f t="shared" si="234"/>
        <v>41</v>
      </c>
      <c r="AX512">
        <f t="shared" si="235"/>
        <v>84</v>
      </c>
      <c r="AY512">
        <f t="shared" si="236"/>
        <v>77</v>
      </c>
      <c r="AZ512">
        <f t="shared" si="237"/>
        <v>45</v>
      </c>
      <c r="BA512">
        <f t="shared" si="238"/>
        <v>40</v>
      </c>
      <c r="BB512">
        <f t="shared" si="239"/>
        <v>27</v>
      </c>
    </row>
    <row r="513" spans="1:54" x14ac:dyDescent="0.15">
      <c r="A513">
        <v>334</v>
      </c>
      <c r="B513" t="s">
        <v>1861</v>
      </c>
      <c r="C513">
        <v>402</v>
      </c>
      <c r="D513">
        <v>0</v>
      </c>
      <c r="E513" t="s">
        <v>1862</v>
      </c>
      <c r="G513" t="s">
        <v>1862</v>
      </c>
      <c r="H513" t="s">
        <v>1863</v>
      </c>
      <c r="J513" t="s">
        <v>1860</v>
      </c>
      <c r="K513">
        <v>25.5</v>
      </c>
      <c r="L513">
        <v>1</v>
      </c>
      <c r="M513" t="s">
        <v>90</v>
      </c>
      <c r="O513" t="s">
        <v>112</v>
      </c>
      <c r="P513" t="s">
        <v>322</v>
      </c>
      <c r="R513">
        <v>9</v>
      </c>
      <c r="S513">
        <v>77</v>
      </c>
      <c r="T513">
        <v>85</v>
      </c>
      <c r="U513">
        <v>51</v>
      </c>
      <c r="V513">
        <v>55</v>
      </c>
      <c r="W513">
        <v>51</v>
      </c>
      <c r="X513">
        <v>65</v>
      </c>
      <c r="Y513">
        <f t="shared" si="210"/>
        <v>184</v>
      </c>
      <c r="Z513">
        <f t="shared" si="211"/>
        <v>184</v>
      </c>
      <c r="AA513">
        <f t="shared" si="212"/>
        <v>152</v>
      </c>
      <c r="AB513">
        <f t="shared" si="213"/>
        <v>152</v>
      </c>
      <c r="AC513">
        <f t="shared" si="214"/>
        <v>137</v>
      </c>
      <c r="AD513">
        <f t="shared" si="215"/>
        <v>150</v>
      </c>
      <c r="AE513">
        <f t="shared" si="216"/>
        <v>137</v>
      </c>
      <c r="AF513">
        <f t="shared" si="217"/>
        <v>105</v>
      </c>
      <c r="AG513">
        <f t="shared" si="218"/>
        <v>94</v>
      </c>
      <c r="AH513">
        <f t="shared" si="219"/>
        <v>81</v>
      </c>
      <c r="AI513">
        <f t="shared" si="220"/>
        <v>113</v>
      </c>
      <c r="AJ513">
        <f t="shared" si="221"/>
        <v>103</v>
      </c>
      <c r="AK513">
        <f t="shared" si="222"/>
        <v>71</v>
      </c>
      <c r="AL513">
        <f t="shared" si="223"/>
        <v>63</v>
      </c>
      <c r="AM513">
        <f t="shared" si="224"/>
        <v>50</v>
      </c>
      <c r="AN513">
        <f t="shared" si="225"/>
        <v>117</v>
      </c>
      <c r="AO513">
        <f t="shared" si="226"/>
        <v>107</v>
      </c>
      <c r="AP513">
        <f t="shared" si="227"/>
        <v>75</v>
      </c>
      <c r="AQ513">
        <f t="shared" si="228"/>
        <v>67</v>
      </c>
      <c r="AR513">
        <f t="shared" si="229"/>
        <v>54</v>
      </c>
      <c r="AS513">
        <f t="shared" si="230"/>
        <v>113</v>
      </c>
      <c r="AT513">
        <f t="shared" si="231"/>
        <v>103</v>
      </c>
      <c r="AU513">
        <f t="shared" si="232"/>
        <v>71</v>
      </c>
      <c r="AV513">
        <f t="shared" si="233"/>
        <v>63</v>
      </c>
      <c r="AW513">
        <f t="shared" si="234"/>
        <v>50</v>
      </c>
      <c r="AX513">
        <f t="shared" si="235"/>
        <v>128</v>
      </c>
      <c r="AY513">
        <f t="shared" si="236"/>
        <v>117</v>
      </c>
      <c r="AZ513">
        <f t="shared" si="237"/>
        <v>85</v>
      </c>
      <c r="BA513">
        <f t="shared" si="238"/>
        <v>76</v>
      </c>
      <c r="BB513">
        <f t="shared" si="239"/>
        <v>63</v>
      </c>
    </row>
    <row r="514" spans="1:54" x14ac:dyDescent="0.15">
      <c r="A514">
        <v>335</v>
      </c>
      <c r="B514" t="s">
        <v>1864</v>
      </c>
      <c r="C514">
        <v>403</v>
      </c>
      <c r="D514">
        <v>0</v>
      </c>
      <c r="E514" t="s">
        <v>1865</v>
      </c>
      <c r="G514" t="s">
        <v>1865</v>
      </c>
      <c r="H514" t="s">
        <v>1866</v>
      </c>
      <c r="J514" t="s">
        <v>1867</v>
      </c>
      <c r="K514">
        <v>9.5</v>
      </c>
      <c r="L514">
        <v>0.5</v>
      </c>
      <c r="M514" t="s">
        <v>164</v>
      </c>
      <c r="O514" t="s">
        <v>216</v>
      </c>
      <c r="P514" t="s">
        <v>155</v>
      </c>
      <c r="Q514" t="s">
        <v>135</v>
      </c>
      <c r="R514">
        <v>9</v>
      </c>
      <c r="S514">
        <v>45</v>
      </c>
      <c r="T514">
        <v>65</v>
      </c>
      <c r="U514">
        <v>34</v>
      </c>
      <c r="V514">
        <v>40</v>
      </c>
      <c r="W514">
        <v>34</v>
      </c>
      <c r="X514">
        <v>45</v>
      </c>
      <c r="Y514">
        <f t="shared" ref="Y514:Y577" si="240">IF(S514="", "", S514+107)</f>
        <v>152</v>
      </c>
      <c r="Z514">
        <f t="shared" ref="Z514:Z577" si="241">IF(S514="", "", S514+107)</f>
        <v>152</v>
      </c>
      <c r="AA514">
        <f t="shared" ref="AA514:AA577" si="242">IF(S514="", "", INT(INT(S514*2 + 31)/2) + 60)</f>
        <v>120</v>
      </c>
      <c r="AB514">
        <f t="shared" ref="AB514:AB577" si="243">IF(S514="", "", INT(INT(S514*2 + 31)/2) + 60)</f>
        <v>120</v>
      </c>
      <c r="AC514">
        <f t="shared" ref="AC514:AC577" si="244">IF(S514="", "", S514 + 60)</f>
        <v>105</v>
      </c>
      <c r="AD514">
        <f t="shared" ref="AD514:AD577" si="245">IF(T514="","",INT((T514+52)*1.1))</f>
        <v>128</v>
      </c>
      <c r="AE514">
        <f t="shared" ref="AE514:AE577" si="246">IF(T514="","",T514+52)</f>
        <v>117</v>
      </c>
      <c r="AF514">
        <f t="shared" ref="AF514:AF577" si="247">IF(T514="", "", INT((T514*2 + 31)/2) + 5)</f>
        <v>85</v>
      </c>
      <c r="AG514">
        <f t="shared" ref="AG514:AG577" si="248">IF(T514="", "", INT((INT((T514*2 + 31)/2) + 5)*0.9) )</f>
        <v>76</v>
      </c>
      <c r="AH514">
        <f t="shared" ref="AH514:AH577" si="249">IF(T514="", "", INT((T514 + 5) * 0.9))</f>
        <v>63</v>
      </c>
      <c r="AI514">
        <f t="shared" ref="AI514:AI577" si="250">IF(U514="","",INT((U514+52)*1.1))</f>
        <v>94</v>
      </c>
      <c r="AJ514">
        <f t="shared" ref="AJ514:AJ577" si="251">IF(U514="","",U514+52)</f>
        <v>86</v>
      </c>
      <c r="AK514">
        <f t="shared" ref="AK514:AK577" si="252">IF(U514="", "", INT((U514*2 + 31)/2) + 5)</f>
        <v>54</v>
      </c>
      <c r="AL514">
        <f t="shared" ref="AL514:AL577" si="253">IF(U514="", "", INT((INT((U514*2 + 31)/2) + 5)*0.9) )</f>
        <v>48</v>
      </c>
      <c r="AM514">
        <f t="shared" ref="AM514:AM577" si="254">IF(U514="", "", INT((U514 + 5) * 0.9))</f>
        <v>35</v>
      </c>
      <c r="AN514">
        <f t="shared" ref="AN514:AN577" si="255">IF(V514="","",INT((V514+52)*1.1))</f>
        <v>101</v>
      </c>
      <c r="AO514">
        <f t="shared" ref="AO514:AO577" si="256">IF(V514="","",V514+52)</f>
        <v>92</v>
      </c>
      <c r="AP514">
        <f t="shared" ref="AP514:AP577" si="257">IF(V514="", "", INT((V514*2 + 31)/2) + 5)</f>
        <v>60</v>
      </c>
      <c r="AQ514">
        <f t="shared" ref="AQ514:AQ577" si="258">IF(V514="", "", INT((INT((V514*2 + 31)/2) + 5)*0.9) )</f>
        <v>54</v>
      </c>
      <c r="AR514">
        <f t="shared" ref="AR514:AR577" si="259">IF(V514="", "", INT((V514 + 5) * 0.9))</f>
        <v>40</v>
      </c>
      <c r="AS514">
        <f t="shared" ref="AS514:AS577" si="260">IF(W514="","",INT((W514+52)*1.1))</f>
        <v>94</v>
      </c>
      <c r="AT514">
        <f t="shared" ref="AT514:AT577" si="261">IF(W514="","",W514+52)</f>
        <v>86</v>
      </c>
      <c r="AU514">
        <f t="shared" ref="AU514:AU577" si="262">IF(W514="", "", INT((W514*2 + 31)/2) + 5)</f>
        <v>54</v>
      </c>
      <c r="AV514">
        <f t="shared" ref="AV514:AV577" si="263">IF(W514="", "", INT((INT((W514*2 + 31)/2) + 5)*0.9) )</f>
        <v>48</v>
      </c>
      <c r="AW514">
        <f t="shared" ref="AW514:AW577" si="264">IF(W514="", "", INT((W514 + 5) * 0.9))</f>
        <v>35</v>
      </c>
      <c r="AX514">
        <f t="shared" ref="AX514:AX577" si="265">IF(X514="","",INT((X514+52)*1.1))</f>
        <v>106</v>
      </c>
      <c r="AY514">
        <f t="shared" ref="AY514:AY577" si="266">IF(X514="","",X514+52)</f>
        <v>97</v>
      </c>
      <c r="AZ514">
        <f t="shared" ref="AZ514:AZ577" si="267">IF(X514="", "", INT((X514*2 + 31)/2) + 5)</f>
        <v>65</v>
      </c>
      <c r="BA514">
        <f t="shared" ref="BA514:BA577" si="268">IF(X514="", "", INT((INT((X514*2 + 31)/2) + 5)*0.9) )</f>
        <v>58</v>
      </c>
      <c r="BB514">
        <f t="shared" ref="BB514:BB577" si="269">IF(X514="", "", INT((X514 + 5) * 0.9))</f>
        <v>45</v>
      </c>
    </row>
    <row r="515" spans="1:54" x14ac:dyDescent="0.15">
      <c r="A515">
        <v>336</v>
      </c>
      <c r="B515" t="s">
        <v>1868</v>
      </c>
      <c r="C515">
        <v>404</v>
      </c>
      <c r="D515">
        <v>0</v>
      </c>
      <c r="E515" t="s">
        <v>1869</v>
      </c>
      <c r="G515" t="s">
        <v>1869</v>
      </c>
      <c r="H515" t="s">
        <v>1870</v>
      </c>
      <c r="J515" t="s">
        <v>1871</v>
      </c>
      <c r="K515">
        <v>30.5</v>
      </c>
      <c r="L515">
        <v>0.9</v>
      </c>
      <c r="M515" t="s">
        <v>164</v>
      </c>
      <c r="O515" t="s">
        <v>216</v>
      </c>
      <c r="P515" t="s">
        <v>155</v>
      </c>
      <c r="Q515" t="s">
        <v>135</v>
      </c>
      <c r="R515">
        <v>9</v>
      </c>
      <c r="S515">
        <v>60</v>
      </c>
      <c r="T515">
        <v>85</v>
      </c>
      <c r="U515">
        <v>49</v>
      </c>
      <c r="V515">
        <v>60</v>
      </c>
      <c r="W515">
        <v>49</v>
      </c>
      <c r="X515">
        <v>60</v>
      </c>
      <c r="Y515">
        <f t="shared" si="240"/>
        <v>167</v>
      </c>
      <c r="Z515">
        <f t="shared" si="241"/>
        <v>167</v>
      </c>
      <c r="AA515">
        <f t="shared" si="242"/>
        <v>135</v>
      </c>
      <c r="AB515">
        <f t="shared" si="243"/>
        <v>135</v>
      </c>
      <c r="AC515">
        <f t="shared" si="244"/>
        <v>120</v>
      </c>
      <c r="AD515">
        <f t="shared" si="245"/>
        <v>150</v>
      </c>
      <c r="AE515">
        <f t="shared" si="246"/>
        <v>137</v>
      </c>
      <c r="AF515">
        <f t="shared" si="247"/>
        <v>105</v>
      </c>
      <c r="AG515">
        <f t="shared" si="248"/>
        <v>94</v>
      </c>
      <c r="AH515">
        <f t="shared" si="249"/>
        <v>81</v>
      </c>
      <c r="AI515">
        <f t="shared" si="250"/>
        <v>111</v>
      </c>
      <c r="AJ515">
        <f t="shared" si="251"/>
        <v>101</v>
      </c>
      <c r="AK515">
        <f t="shared" si="252"/>
        <v>69</v>
      </c>
      <c r="AL515">
        <f t="shared" si="253"/>
        <v>62</v>
      </c>
      <c r="AM515">
        <f t="shared" si="254"/>
        <v>48</v>
      </c>
      <c r="AN515">
        <f t="shared" si="255"/>
        <v>123</v>
      </c>
      <c r="AO515">
        <f t="shared" si="256"/>
        <v>112</v>
      </c>
      <c r="AP515">
        <f t="shared" si="257"/>
        <v>80</v>
      </c>
      <c r="AQ515">
        <f t="shared" si="258"/>
        <v>72</v>
      </c>
      <c r="AR515">
        <f t="shared" si="259"/>
        <v>58</v>
      </c>
      <c r="AS515">
        <f t="shared" si="260"/>
        <v>111</v>
      </c>
      <c r="AT515">
        <f t="shared" si="261"/>
        <v>101</v>
      </c>
      <c r="AU515">
        <f t="shared" si="262"/>
        <v>69</v>
      </c>
      <c r="AV515">
        <f t="shared" si="263"/>
        <v>62</v>
      </c>
      <c r="AW515">
        <f t="shared" si="264"/>
        <v>48</v>
      </c>
      <c r="AX515">
        <f t="shared" si="265"/>
        <v>123</v>
      </c>
      <c r="AY515">
        <f t="shared" si="266"/>
        <v>112</v>
      </c>
      <c r="AZ515">
        <f t="shared" si="267"/>
        <v>80</v>
      </c>
      <c r="BA515">
        <f t="shared" si="268"/>
        <v>72</v>
      </c>
      <c r="BB515">
        <f t="shared" si="269"/>
        <v>58</v>
      </c>
    </row>
    <row r="516" spans="1:54" x14ac:dyDescent="0.15">
      <c r="A516">
        <v>337</v>
      </c>
      <c r="B516" t="s">
        <v>1872</v>
      </c>
      <c r="C516">
        <v>405</v>
      </c>
      <c r="D516">
        <v>0</v>
      </c>
      <c r="E516" t="s">
        <v>1873</v>
      </c>
      <c r="G516" t="s">
        <v>1873</v>
      </c>
      <c r="H516" t="s">
        <v>1874</v>
      </c>
      <c r="J516" t="s">
        <v>1875</v>
      </c>
      <c r="K516">
        <v>42</v>
      </c>
      <c r="L516">
        <v>1.4</v>
      </c>
      <c r="M516" t="s">
        <v>164</v>
      </c>
      <c r="O516" t="s">
        <v>216</v>
      </c>
      <c r="P516" t="s">
        <v>155</v>
      </c>
      <c r="Q516" t="s">
        <v>135</v>
      </c>
      <c r="R516">
        <v>9</v>
      </c>
      <c r="S516">
        <v>80</v>
      </c>
      <c r="T516">
        <v>120</v>
      </c>
      <c r="U516">
        <v>79</v>
      </c>
      <c r="V516">
        <v>95</v>
      </c>
      <c r="W516">
        <v>79</v>
      </c>
      <c r="X516">
        <v>70</v>
      </c>
      <c r="Y516">
        <f t="shared" si="240"/>
        <v>187</v>
      </c>
      <c r="Z516">
        <f t="shared" si="241"/>
        <v>187</v>
      </c>
      <c r="AA516">
        <f t="shared" si="242"/>
        <v>155</v>
      </c>
      <c r="AB516">
        <f t="shared" si="243"/>
        <v>155</v>
      </c>
      <c r="AC516">
        <f t="shared" si="244"/>
        <v>140</v>
      </c>
      <c r="AD516">
        <f t="shared" si="245"/>
        <v>189</v>
      </c>
      <c r="AE516">
        <f t="shared" si="246"/>
        <v>172</v>
      </c>
      <c r="AF516">
        <f t="shared" si="247"/>
        <v>140</v>
      </c>
      <c r="AG516">
        <f t="shared" si="248"/>
        <v>126</v>
      </c>
      <c r="AH516">
        <f t="shared" si="249"/>
        <v>112</v>
      </c>
      <c r="AI516">
        <f t="shared" si="250"/>
        <v>144</v>
      </c>
      <c r="AJ516">
        <f t="shared" si="251"/>
        <v>131</v>
      </c>
      <c r="AK516">
        <f t="shared" si="252"/>
        <v>99</v>
      </c>
      <c r="AL516">
        <f t="shared" si="253"/>
        <v>89</v>
      </c>
      <c r="AM516">
        <f t="shared" si="254"/>
        <v>75</v>
      </c>
      <c r="AN516">
        <f t="shared" si="255"/>
        <v>161</v>
      </c>
      <c r="AO516">
        <f t="shared" si="256"/>
        <v>147</v>
      </c>
      <c r="AP516">
        <f t="shared" si="257"/>
        <v>115</v>
      </c>
      <c r="AQ516">
        <f t="shared" si="258"/>
        <v>103</v>
      </c>
      <c r="AR516">
        <f t="shared" si="259"/>
        <v>90</v>
      </c>
      <c r="AS516">
        <f t="shared" si="260"/>
        <v>144</v>
      </c>
      <c r="AT516">
        <f t="shared" si="261"/>
        <v>131</v>
      </c>
      <c r="AU516">
        <f t="shared" si="262"/>
        <v>99</v>
      </c>
      <c r="AV516">
        <f t="shared" si="263"/>
        <v>89</v>
      </c>
      <c r="AW516">
        <f t="shared" si="264"/>
        <v>75</v>
      </c>
      <c r="AX516">
        <f t="shared" si="265"/>
        <v>134</v>
      </c>
      <c r="AY516">
        <f t="shared" si="266"/>
        <v>122</v>
      </c>
      <c r="AZ516">
        <f t="shared" si="267"/>
        <v>90</v>
      </c>
      <c r="BA516">
        <f t="shared" si="268"/>
        <v>81</v>
      </c>
      <c r="BB516">
        <f t="shared" si="269"/>
        <v>67</v>
      </c>
    </row>
    <row r="517" spans="1:54" x14ac:dyDescent="0.15">
      <c r="B517" t="s">
        <v>1876</v>
      </c>
      <c r="C517">
        <v>406</v>
      </c>
      <c r="D517">
        <v>0</v>
      </c>
      <c r="E517" t="s">
        <v>1877</v>
      </c>
      <c r="G517" t="s">
        <v>1877</v>
      </c>
      <c r="J517" t="s">
        <v>1878</v>
      </c>
      <c r="K517">
        <v>1.2</v>
      </c>
      <c r="L517">
        <v>0.2</v>
      </c>
      <c r="M517" t="s">
        <v>26</v>
      </c>
      <c r="N517" t="s">
        <v>27</v>
      </c>
      <c r="O517" t="s">
        <v>654</v>
      </c>
      <c r="P517" t="s">
        <v>215</v>
      </c>
      <c r="Q517" t="s">
        <v>660</v>
      </c>
      <c r="R517">
        <v>8</v>
      </c>
      <c r="S517">
        <v>40</v>
      </c>
      <c r="T517">
        <v>30</v>
      </c>
      <c r="U517">
        <v>35</v>
      </c>
      <c r="V517">
        <v>50</v>
      </c>
      <c r="W517">
        <v>70</v>
      </c>
      <c r="X517">
        <v>55</v>
      </c>
      <c r="Y517">
        <f t="shared" si="240"/>
        <v>147</v>
      </c>
      <c r="Z517">
        <f t="shared" si="241"/>
        <v>147</v>
      </c>
      <c r="AA517">
        <f t="shared" si="242"/>
        <v>115</v>
      </c>
      <c r="AB517">
        <f t="shared" si="243"/>
        <v>115</v>
      </c>
      <c r="AC517">
        <f t="shared" si="244"/>
        <v>100</v>
      </c>
      <c r="AD517">
        <f t="shared" si="245"/>
        <v>90</v>
      </c>
      <c r="AE517">
        <f t="shared" si="246"/>
        <v>82</v>
      </c>
      <c r="AF517">
        <f t="shared" si="247"/>
        <v>50</v>
      </c>
      <c r="AG517">
        <f t="shared" si="248"/>
        <v>45</v>
      </c>
      <c r="AH517">
        <f t="shared" si="249"/>
        <v>31</v>
      </c>
      <c r="AI517">
        <f t="shared" si="250"/>
        <v>95</v>
      </c>
      <c r="AJ517">
        <f t="shared" si="251"/>
        <v>87</v>
      </c>
      <c r="AK517">
        <f t="shared" si="252"/>
        <v>55</v>
      </c>
      <c r="AL517">
        <f t="shared" si="253"/>
        <v>49</v>
      </c>
      <c r="AM517">
        <f t="shared" si="254"/>
        <v>36</v>
      </c>
      <c r="AN517">
        <f t="shared" si="255"/>
        <v>112</v>
      </c>
      <c r="AO517">
        <f t="shared" si="256"/>
        <v>102</v>
      </c>
      <c r="AP517">
        <f t="shared" si="257"/>
        <v>70</v>
      </c>
      <c r="AQ517">
        <f t="shared" si="258"/>
        <v>63</v>
      </c>
      <c r="AR517">
        <f t="shared" si="259"/>
        <v>49</v>
      </c>
      <c r="AS517">
        <f t="shared" si="260"/>
        <v>134</v>
      </c>
      <c r="AT517">
        <f t="shared" si="261"/>
        <v>122</v>
      </c>
      <c r="AU517">
        <f t="shared" si="262"/>
        <v>90</v>
      </c>
      <c r="AV517">
        <f t="shared" si="263"/>
        <v>81</v>
      </c>
      <c r="AW517">
        <f t="shared" si="264"/>
        <v>67</v>
      </c>
      <c r="AX517">
        <f t="shared" si="265"/>
        <v>117</v>
      </c>
      <c r="AY517">
        <f t="shared" si="266"/>
        <v>107</v>
      </c>
      <c r="AZ517">
        <f t="shared" si="267"/>
        <v>75</v>
      </c>
      <c r="BA517">
        <f t="shared" si="268"/>
        <v>67</v>
      </c>
      <c r="BB517">
        <f t="shared" si="269"/>
        <v>54</v>
      </c>
    </row>
    <row r="518" spans="1:54" x14ac:dyDescent="0.15">
      <c r="B518" t="s">
        <v>1879</v>
      </c>
      <c r="C518">
        <v>407</v>
      </c>
      <c r="D518">
        <v>0</v>
      </c>
      <c r="E518" t="s">
        <v>1880</v>
      </c>
      <c r="G518" t="s">
        <v>1880</v>
      </c>
      <c r="J518" t="s">
        <v>1881</v>
      </c>
      <c r="K518">
        <v>14.5</v>
      </c>
      <c r="L518">
        <v>0.9</v>
      </c>
      <c r="M518" t="s">
        <v>26</v>
      </c>
      <c r="N518" t="s">
        <v>27</v>
      </c>
      <c r="O518" t="s">
        <v>654</v>
      </c>
      <c r="P518" t="s">
        <v>215</v>
      </c>
      <c r="Q518" t="s">
        <v>322</v>
      </c>
      <c r="R518">
        <v>8</v>
      </c>
      <c r="S518">
        <v>60</v>
      </c>
      <c r="T518">
        <v>70</v>
      </c>
      <c r="U518">
        <v>65</v>
      </c>
      <c r="V518">
        <v>125</v>
      </c>
      <c r="W518">
        <v>105</v>
      </c>
      <c r="X518">
        <v>90</v>
      </c>
      <c r="Y518">
        <f t="shared" si="240"/>
        <v>167</v>
      </c>
      <c r="Z518">
        <f t="shared" si="241"/>
        <v>167</v>
      </c>
      <c r="AA518">
        <f t="shared" si="242"/>
        <v>135</v>
      </c>
      <c r="AB518">
        <f t="shared" si="243"/>
        <v>135</v>
      </c>
      <c r="AC518">
        <f t="shared" si="244"/>
        <v>120</v>
      </c>
      <c r="AD518">
        <f t="shared" si="245"/>
        <v>134</v>
      </c>
      <c r="AE518">
        <f t="shared" si="246"/>
        <v>122</v>
      </c>
      <c r="AF518">
        <f t="shared" si="247"/>
        <v>90</v>
      </c>
      <c r="AG518">
        <f t="shared" si="248"/>
        <v>81</v>
      </c>
      <c r="AH518">
        <f t="shared" si="249"/>
        <v>67</v>
      </c>
      <c r="AI518">
        <f t="shared" si="250"/>
        <v>128</v>
      </c>
      <c r="AJ518">
        <f t="shared" si="251"/>
        <v>117</v>
      </c>
      <c r="AK518">
        <f t="shared" si="252"/>
        <v>85</v>
      </c>
      <c r="AL518">
        <f t="shared" si="253"/>
        <v>76</v>
      </c>
      <c r="AM518">
        <f t="shared" si="254"/>
        <v>63</v>
      </c>
      <c r="AN518">
        <f t="shared" si="255"/>
        <v>194</v>
      </c>
      <c r="AO518">
        <f t="shared" si="256"/>
        <v>177</v>
      </c>
      <c r="AP518">
        <f t="shared" si="257"/>
        <v>145</v>
      </c>
      <c r="AQ518">
        <f t="shared" si="258"/>
        <v>130</v>
      </c>
      <c r="AR518">
        <f t="shared" si="259"/>
        <v>117</v>
      </c>
      <c r="AS518">
        <f t="shared" si="260"/>
        <v>172</v>
      </c>
      <c r="AT518">
        <f t="shared" si="261"/>
        <v>157</v>
      </c>
      <c r="AU518">
        <f t="shared" si="262"/>
        <v>125</v>
      </c>
      <c r="AV518">
        <f t="shared" si="263"/>
        <v>112</v>
      </c>
      <c r="AW518">
        <f t="shared" si="264"/>
        <v>99</v>
      </c>
      <c r="AX518">
        <f t="shared" si="265"/>
        <v>156</v>
      </c>
      <c r="AY518">
        <f t="shared" si="266"/>
        <v>142</v>
      </c>
      <c r="AZ518">
        <f t="shared" si="267"/>
        <v>110</v>
      </c>
      <c r="BA518">
        <f t="shared" si="268"/>
        <v>99</v>
      </c>
      <c r="BB518">
        <f t="shared" si="269"/>
        <v>85</v>
      </c>
    </row>
    <row r="519" spans="1:54" x14ac:dyDescent="0.15">
      <c r="A519">
        <v>338</v>
      </c>
      <c r="B519" t="s">
        <v>1882</v>
      </c>
      <c r="C519">
        <v>408</v>
      </c>
      <c r="D519">
        <v>0</v>
      </c>
      <c r="E519" t="s">
        <v>1883</v>
      </c>
      <c r="G519" t="s">
        <v>1883</v>
      </c>
      <c r="H519" t="s">
        <v>1884</v>
      </c>
      <c r="J519" t="s">
        <v>1885</v>
      </c>
      <c r="K519">
        <v>31.5</v>
      </c>
      <c r="L519">
        <v>0.9</v>
      </c>
      <c r="M519" t="s">
        <v>371</v>
      </c>
      <c r="O519" t="s">
        <v>713</v>
      </c>
      <c r="P519" t="s">
        <v>222</v>
      </c>
      <c r="R519">
        <v>9</v>
      </c>
      <c r="S519">
        <v>67</v>
      </c>
      <c r="T519">
        <v>125</v>
      </c>
      <c r="U519">
        <v>40</v>
      </c>
      <c r="V519">
        <v>30</v>
      </c>
      <c r="W519">
        <v>30</v>
      </c>
      <c r="X519">
        <v>58</v>
      </c>
      <c r="Y519">
        <f t="shared" si="240"/>
        <v>174</v>
      </c>
      <c r="Z519">
        <f t="shared" si="241"/>
        <v>174</v>
      </c>
      <c r="AA519">
        <f t="shared" si="242"/>
        <v>142</v>
      </c>
      <c r="AB519">
        <f t="shared" si="243"/>
        <v>142</v>
      </c>
      <c r="AC519">
        <f t="shared" si="244"/>
        <v>127</v>
      </c>
      <c r="AD519">
        <f t="shared" si="245"/>
        <v>194</v>
      </c>
      <c r="AE519">
        <f t="shared" si="246"/>
        <v>177</v>
      </c>
      <c r="AF519">
        <f t="shared" si="247"/>
        <v>145</v>
      </c>
      <c r="AG519">
        <f t="shared" si="248"/>
        <v>130</v>
      </c>
      <c r="AH519">
        <f t="shared" si="249"/>
        <v>117</v>
      </c>
      <c r="AI519">
        <f t="shared" si="250"/>
        <v>101</v>
      </c>
      <c r="AJ519">
        <f t="shared" si="251"/>
        <v>92</v>
      </c>
      <c r="AK519">
        <f t="shared" si="252"/>
        <v>60</v>
      </c>
      <c r="AL519">
        <f t="shared" si="253"/>
        <v>54</v>
      </c>
      <c r="AM519">
        <f t="shared" si="254"/>
        <v>40</v>
      </c>
      <c r="AN519">
        <f t="shared" si="255"/>
        <v>90</v>
      </c>
      <c r="AO519">
        <f t="shared" si="256"/>
        <v>82</v>
      </c>
      <c r="AP519">
        <f t="shared" si="257"/>
        <v>50</v>
      </c>
      <c r="AQ519">
        <f t="shared" si="258"/>
        <v>45</v>
      </c>
      <c r="AR519">
        <f t="shared" si="259"/>
        <v>31</v>
      </c>
      <c r="AS519">
        <f t="shared" si="260"/>
        <v>90</v>
      </c>
      <c r="AT519">
        <f t="shared" si="261"/>
        <v>82</v>
      </c>
      <c r="AU519">
        <f t="shared" si="262"/>
        <v>50</v>
      </c>
      <c r="AV519">
        <f t="shared" si="263"/>
        <v>45</v>
      </c>
      <c r="AW519">
        <f t="shared" si="264"/>
        <v>31</v>
      </c>
      <c r="AX519">
        <f t="shared" si="265"/>
        <v>121</v>
      </c>
      <c r="AY519">
        <f t="shared" si="266"/>
        <v>110</v>
      </c>
      <c r="AZ519">
        <f t="shared" si="267"/>
        <v>78</v>
      </c>
      <c r="BA519">
        <f t="shared" si="268"/>
        <v>70</v>
      </c>
      <c r="BB519">
        <f t="shared" si="269"/>
        <v>56</v>
      </c>
    </row>
    <row r="520" spans="1:54" x14ac:dyDescent="0.15">
      <c r="A520">
        <v>339</v>
      </c>
      <c r="B520" t="s">
        <v>1886</v>
      </c>
      <c r="C520">
        <v>409</v>
      </c>
      <c r="D520">
        <v>0</v>
      </c>
      <c r="E520" t="s">
        <v>1887</v>
      </c>
      <c r="G520" t="s">
        <v>1887</v>
      </c>
      <c r="H520" t="s">
        <v>1888</v>
      </c>
      <c r="J520" t="s">
        <v>1885</v>
      </c>
      <c r="K520">
        <v>102.5</v>
      </c>
      <c r="L520">
        <v>1.6</v>
      </c>
      <c r="M520" t="s">
        <v>371</v>
      </c>
      <c r="O520" t="s">
        <v>713</v>
      </c>
      <c r="P520" t="s">
        <v>222</v>
      </c>
      <c r="R520">
        <v>9</v>
      </c>
      <c r="S520">
        <v>97</v>
      </c>
      <c r="T520">
        <v>165</v>
      </c>
      <c r="U520">
        <v>60</v>
      </c>
      <c r="V520">
        <v>65</v>
      </c>
      <c r="W520">
        <v>50</v>
      </c>
      <c r="X520">
        <v>58</v>
      </c>
      <c r="Y520">
        <f t="shared" si="240"/>
        <v>204</v>
      </c>
      <c r="Z520">
        <f t="shared" si="241"/>
        <v>204</v>
      </c>
      <c r="AA520">
        <f t="shared" si="242"/>
        <v>172</v>
      </c>
      <c r="AB520">
        <f t="shared" si="243"/>
        <v>172</v>
      </c>
      <c r="AC520">
        <f t="shared" si="244"/>
        <v>157</v>
      </c>
      <c r="AD520">
        <f t="shared" si="245"/>
        <v>238</v>
      </c>
      <c r="AE520">
        <f t="shared" si="246"/>
        <v>217</v>
      </c>
      <c r="AF520">
        <f t="shared" si="247"/>
        <v>185</v>
      </c>
      <c r="AG520">
        <f t="shared" si="248"/>
        <v>166</v>
      </c>
      <c r="AH520">
        <f t="shared" si="249"/>
        <v>153</v>
      </c>
      <c r="AI520">
        <f t="shared" si="250"/>
        <v>123</v>
      </c>
      <c r="AJ520">
        <f t="shared" si="251"/>
        <v>112</v>
      </c>
      <c r="AK520">
        <f t="shared" si="252"/>
        <v>80</v>
      </c>
      <c r="AL520">
        <f t="shared" si="253"/>
        <v>72</v>
      </c>
      <c r="AM520">
        <f t="shared" si="254"/>
        <v>58</v>
      </c>
      <c r="AN520">
        <f t="shared" si="255"/>
        <v>128</v>
      </c>
      <c r="AO520">
        <f t="shared" si="256"/>
        <v>117</v>
      </c>
      <c r="AP520">
        <f t="shared" si="257"/>
        <v>85</v>
      </c>
      <c r="AQ520">
        <f t="shared" si="258"/>
        <v>76</v>
      </c>
      <c r="AR520">
        <f t="shared" si="259"/>
        <v>63</v>
      </c>
      <c r="AS520">
        <f t="shared" si="260"/>
        <v>112</v>
      </c>
      <c r="AT520">
        <f t="shared" si="261"/>
        <v>102</v>
      </c>
      <c r="AU520">
        <f t="shared" si="262"/>
        <v>70</v>
      </c>
      <c r="AV520">
        <f t="shared" si="263"/>
        <v>63</v>
      </c>
      <c r="AW520">
        <f t="shared" si="264"/>
        <v>49</v>
      </c>
      <c r="AX520">
        <f t="shared" si="265"/>
        <v>121</v>
      </c>
      <c r="AY520">
        <f t="shared" si="266"/>
        <v>110</v>
      </c>
      <c r="AZ520">
        <f t="shared" si="267"/>
        <v>78</v>
      </c>
      <c r="BA520">
        <f t="shared" si="268"/>
        <v>70</v>
      </c>
      <c r="BB520">
        <f t="shared" si="269"/>
        <v>56</v>
      </c>
    </row>
    <row r="521" spans="1:54" x14ac:dyDescent="0.15">
      <c r="A521">
        <v>340</v>
      </c>
      <c r="B521" t="s">
        <v>1889</v>
      </c>
      <c r="C521">
        <v>410</v>
      </c>
      <c r="D521">
        <v>0</v>
      </c>
      <c r="E521" t="s">
        <v>1890</v>
      </c>
      <c r="G521" t="s">
        <v>1890</v>
      </c>
      <c r="H521" t="s">
        <v>1891</v>
      </c>
      <c r="J521" t="s">
        <v>1892</v>
      </c>
      <c r="K521">
        <v>57</v>
      </c>
      <c r="L521">
        <v>0.5</v>
      </c>
      <c r="M521" t="s">
        <v>371</v>
      </c>
      <c r="N521" t="s">
        <v>203</v>
      </c>
      <c r="O521" t="s">
        <v>435</v>
      </c>
      <c r="P521" t="s">
        <v>586</v>
      </c>
      <c r="R521">
        <v>9</v>
      </c>
      <c r="S521">
        <v>30</v>
      </c>
      <c r="T521">
        <v>42</v>
      </c>
      <c r="U521">
        <v>118</v>
      </c>
      <c r="V521">
        <v>42</v>
      </c>
      <c r="W521">
        <v>88</v>
      </c>
      <c r="X521">
        <v>30</v>
      </c>
      <c r="Y521">
        <f t="shared" si="240"/>
        <v>137</v>
      </c>
      <c r="Z521">
        <f t="shared" si="241"/>
        <v>137</v>
      </c>
      <c r="AA521">
        <f t="shared" si="242"/>
        <v>105</v>
      </c>
      <c r="AB521">
        <f t="shared" si="243"/>
        <v>105</v>
      </c>
      <c r="AC521">
        <f t="shared" si="244"/>
        <v>90</v>
      </c>
      <c r="AD521">
        <f t="shared" si="245"/>
        <v>103</v>
      </c>
      <c r="AE521">
        <f t="shared" si="246"/>
        <v>94</v>
      </c>
      <c r="AF521">
        <f t="shared" si="247"/>
        <v>62</v>
      </c>
      <c r="AG521">
        <f t="shared" si="248"/>
        <v>55</v>
      </c>
      <c r="AH521">
        <f t="shared" si="249"/>
        <v>42</v>
      </c>
      <c r="AI521">
        <f t="shared" si="250"/>
        <v>187</v>
      </c>
      <c r="AJ521">
        <f t="shared" si="251"/>
        <v>170</v>
      </c>
      <c r="AK521">
        <f t="shared" si="252"/>
        <v>138</v>
      </c>
      <c r="AL521">
        <f t="shared" si="253"/>
        <v>124</v>
      </c>
      <c r="AM521">
        <f t="shared" si="254"/>
        <v>110</v>
      </c>
      <c r="AN521">
        <f t="shared" si="255"/>
        <v>103</v>
      </c>
      <c r="AO521">
        <f t="shared" si="256"/>
        <v>94</v>
      </c>
      <c r="AP521">
        <f t="shared" si="257"/>
        <v>62</v>
      </c>
      <c r="AQ521">
        <f t="shared" si="258"/>
        <v>55</v>
      </c>
      <c r="AR521">
        <f t="shared" si="259"/>
        <v>42</v>
      </c>
      <c r="AS521">
        <f t="shared" si="260"/>
        <v>154</v>
      </c>
      <c r="AT521">
        <f t="shared" si="261"/>
        <v>140</v>
      </c>
      <c r="AU521">
        <f t="shared" si="262"/>
        <v>108</v>
      </c>
      <c r="AV521">
        <f t="shared" si="263"/>
        <v>97</v>
      </c>
      <c r="AW521">
        <f t="shared" si="264"/>
        <v>83</v>
      </c>
      <c r="AX521">
        <f t="shared" si="265"/>
        <v>90</v>
      </c>
      <c r="AY521">
        <f t="shared" si="266"/>
        <v>82</v>
      </c>
      <c r="AZ521">
        <f t="shared" si="267"/>
        <v>50</v>
      </c>
      <c r="BA521">
        <f t="shared" si="268"/>
        <v>45</v>
      </c>
      <c r="BB521">
        <f t="shared" si="269"/>
        <v>31</v>
      </c>
    </row>
    <row r="522" spans="1:54" x14ac:dyDescent="0.15">
      <c r="A522">
        <v>341</v>
      </c>
      <c r="B522" t="s">
        <v>1893</v>
      </c>
      <c r="C522">
        <v>411</v>
      </c>
      <c r="D522">
        <v>0</v>
      </c>
      <c r="E522" t="s">
        <v>1894</v>
      </c>
      <c r="G522" t="s">
        <v>1894</v>
      </c>
      <c r="H522" t="s">
        <v>1895</v>
      </c>
      <c r="J522" t="s">
        <v>1892</v>
      </c>
      <c r="K522">
        <v>149.5</v>
      </c>
      <c r="L522">
        <v>1.3</v>
      </c>
      <c r="M522" t="s">
        <v>371</v>
      </c>
      <c r="N522" t="s">
        <v>203</v>
      </c>
      <c r="O522" t="s">
        <v>435</v>
      </c>
      <c r="P522" t="s">
        <v>586</v>
      </c>
      <c r="R522">
        <v>9</v>
      </c>
      <c r="S522">
        <v>60</v>
      </c>
      <c r="T522">
        <v>52</v>
      </c>
      <c r="U522">
        <v>168</v>
      </c>
      <c r="V522">
        <v>47</v>
      </c>
      <c r="W522">
        <v>138</v>
      </c>
      <c r="X522">
        <v>30</v>
      </c>
      <c r="Y522">
        <f t="shared" si="240"/>
        <v>167</v>
      </c>
      <c r="Z522">
        <f t="shared" si="241"/>
        <v>167</v>
      </c>
      <c r="AA522">
        <f t="shared" si="242"/>
        <v>135</v>
      </c>
      <c r="AB522">
        <f t="shared" si="243"/>
        <v>135</v>
      </c>
      <c r="AC522">
        <f t="shared" si="244"/>
        <v>120</v>
      </c>
      <c r="AD522">
        <f t="shared" si="245"/>
        <v>114</v>
      </c>
      <c r="AE522">
        <f t="shared" si="246"/>
        <v>104</v>
      </c>
      <c r="AF522">
        <f t="shared" si="247"/>
        <v>72</v>
      </c>
      <c r="AG522">
        <f t="shared" si="248"/>
        <v>64</v>
      </c>
      <c r="AH522">
        <f t="shared" si="249"/>
        <v>51</v>
      </c>
      <c r="AI522">
        <f t="shared" si="250"/>
        <v>242</v>
      </c>
      <c r="AJ522">
        <f t="shared" si="251"/>
        <v>220</v>
      </c>
      <c r="AK522">
        <f t="shared" si="252"/>
        <v>188</v>
      </c>
      <c r="AL522">
        <f t="shared" si="253"/>
        <v>169</v>
      </c>
      <c r="AM522">
        <f t="shared" si="254"/>
        <v>155</v>
      </c>
      <c r="AN522">
        <f t="shared" si="255"/>
        <v>108</v>
      </c>
      <c r="AO522">
        <f t="shared" si="256"/>
        <v>99</v>
      </c>
      <c r="AP522">
        <f t="shared" si="257"/>
        <v>67</v>
      </c>
      <c r="AQ522">
        <f t="shared" si="258"/>
        <v>60</v>
      </c>
      <c r="AR522">
        <f t="shared" si="259"/>
        <v>46</v>
      </c>
      <c r="AS522">
        <f t="shared" si="260"/>
        <v>209</v>
      </c>
      <c r="AT522">
        <f t="shared" si="261"/>
        <v>190</v>
      </c>
      <c r="AU522">
        <f t="shared" si="262"/>
        <v>158</v>
      </c>
      <c r="AV522">
        <f t="shared" si="263"/>
        <v>142</v>
      </c>
      <c r="AW522">
        <f t="shared" si="264"/>
        <v>128</v>
      </c>
      <c r="AX522">
        <f t="shared" si="265"/>
        <v>90</v>
      </c>
      <c r="AY522">
        <f t="shared" si="266"/>
        <v>82</v>
      </c>
      <c r="AZ522">
        <f t="shared" si="267"/>
        <v>50</v>
      </c>
      <c r="BA522">
        <f t="shared" si="268"/>
        <v>45</v>
      </c>
      <c r="BB522">
        <f t="shared" si="269"/>
        <v>31</v>
      </c>
    </row>
    <row r="523" spans="1:54" x14ac:dyDescent="0.15">
      <c r="B523" t="s">
        <v>1896</v>
      </c>
      <c r="C523">
        <v>412</v>
      </c>
      <c r="D523">
        <v>0</v>
      </c>
      <c r="E523" t="s">
        <v>1897</v>
      </c>
      <c r="F523" t="s">
        <v>1898</v>
      </c>
      <c r="G523" t="s">
        <v>1899</v>
      </c>
      <c r="J523" t="s">
        <v>1056</v>
      </c>
      <c r="K523">
        <v>3.4</v>
      </c>
      <c r="L523">
        <v>0.2</v>
      </c>
      <c r="M523" t="s">
        <v>90</v>
      </c>
      <c r="O523" t="s">
        <v>96</v>
      </c>
      <c r="P523" t="s">
        <v>538</v>
      </c>
      <c r="R523">
        <v>8</v>
      </c>
      <c r="S523">
        <v>40</v>
      </c>
      <c r="T523">
        <v>29</v>
      </c>
      <c r="U523">
        <v>45</v>
      </c>
      <c r="V523">
        <v>29</v>
      </c>
      <c r="W523">
        <v>45</v>
      </c>
      <c r="X523">
        <v>36</v>
      </c>
      <c r="Y523">
        <f t="shared" si="240"/>
        <v>147</v>
      </c>
      <c r="Z523">
        <f t="shared" si="241"/>
        <v>147</v>
      </c>
      <c r="AA523">
        <f t="shared" si="242"/>
        <v>115</v>
      </c>
      <c r="AB523">
        <f t="shared" si="243"/>
        <v>115</v>
      </c>
      <c r="AC523">
        <f t="shared" si="244"/>
        <v>100</v>
      </c>
      <c r="AD523">
        <f t="shared" si="245"/>
        <v>89</v>
      </c>
      <c r="AE523">
        <f t="shared" si="246"/>
        <v>81</v>
      </c>
      <c r="AF523">
        <f t="shared" si="247"/>
        <v>49</v>
      </c>
      <c r="AG523">
        <f t="shared" si="248"/>
        <v>44</v>
      </c>
      <c r="AH523">
        <f t="shared" si="249"/>
        <v>30</v>
      </c>
      <c r="AI523">
        <f t="shared" si="250"/>
        <v>106</v>
      </c>
      <c r="AJ523">
        <f t="shared" si="251"/>
        <v>97</v>
      </c>
      <c r="AK523">
        <f t="shared" si="252"/>
        <v>65</v>
      </c>
      <c r="AL523">
        <f t="shared" si="253"/>
        <v>58</v>
      </c>
      <c r="AM523">
        <f t="shared" si="254"/>
        <v>45</v>
      </c>
      <c r="AN523">
        <f t="shared" si="255"/>
        <v>89</v>
      </c>
      <c r="AO523">
        <f t="shared" si="256"/>
        <v>81</v>
      </c>
      <c r="AP523">
        <f t="shared" si="257"/>
        <v>49</v>
      </c>
      <c r="AQ523">
        <f t="shared" si="258"/>
        <v>44</v>
      </c>
      <c r="AR523">
        <f t="shared" si="259"/>
        <v>30</v>
      </c>
      <c r="AS523">
        <f t="shared" si="260"/>
        <v>106</v>
      </c>
      <c r="AT523">
        <f t="shared" si="261"/>
        <v>97</v>
      </c>
      <c r="AU523">
        <f t="shared" si="262"/>
        <v>65</v>
      </c>
      <c r="AV523">
        <f t="shared" si="263"/>
        <v>58</v>
      </c>
      <c r="AW523">
        <f t="shared" si="264"/>
        <v>45</v>
      </c>
      <c r="AX523">
        <f t="shared" si="265"/>
        <v>96</v>
      </c>
      <c r="AY523">
        <f t="shared" si="266"/>
        <v>88</v>
      </c>
      <c r="AZ523">
        <f t="shared" si="267"/>
        <v>56</v>
      </c>
      <c r="BA523">
        <f t="shared" si="268"/>
        <v>50</v>
      </c>
      <c r="BB523">
        <f t="shared" si="269"/>
        <v>36</v>
      </c>
    </row>
    <row r="524" spans="1:54" x14ac:dyDescent="0.15">
      <c r="B524" t="s">
        <v>1900</v>
      </c>
      <c r="C524">
        <v>412</v>
      </c>
      <c r="D524">
        <v>1</v>
      </c>
      <c r="E524" t="s">
        <v>1897</v>
      </c>
      <c r="F524" t="s">
        <v>1901</v>
      </c>
      <c r="G524" t="s">
        <v>1902</v>
      </c>
      <c r="J524" t="s">
        <v>1056</v>
      </c>
      <c r="K524">
        <v>3.4</v>
      </c>
      <c r="L524">
        <v>0.2</v>
      </c>
      <c r="M524" t="s">
        <v>90</v>
      </c>
      <c r="O524" t="s">
        <v>96</v>
      </c>
      <c r="P524" t="s">
        <v>538</v>
      </c>
      <c r="R524">
        <v>8</v>
      </c>
      <c r="S524">
        <v>40</v>
      </c>
      <c r="T524">
        <v>29</v>
      </c>
      <c r="U524">
        <v>45</v>
      </c>
      <c r="V524">
        <v>29</v>
      </c>
      <c r="W524">
        <v>45</v>
      </c>
      <c r="X524">
        <v>36</v>
      </c>
      <c r="Y524">
        <f t="shared" si="240"/>
        <v>147</v>
      </c>
      <c r="Z524">
        <f t="shared" si="241"/>
        <v>147</v>
      </c>
      <c r="AA524">
        <f t="shared" si="242"/>
        <v>115</v>
      </c>
      <c r="AB524">
        <f t="shared" si="243"/>
        <v>115</v>
      </c>
      <c r="AC524">
        <f t="shared" si="244"/>
        <v>100</v>
      </c>
      <c r="AD524">
        <f t="shared" si="245"/>
        <v>89</v>
      </c>
      <c r="AE524">
        <f t="shared" si="246"/>
        <v>81</v>
      </c>
      <c r="AF524">
        <f t="shared" si="247"/>
        <v>49</v>
      </c>
      <c r="AG524">
        <f t="shared" si="248"/>
        <v>44</v>
      </c>
      <c r="AH524">
        <f t="shared" si="249"/>
        <v>30</v>
      </c>
      <c r="AI524">
        <f t="shared" si="250"/>
        <v>106</v>
      </c>
      <c r="AJ524">
        <f t="shared" si="251"/>
        <v>97</v>
      </c>
      <c r="AK524">
        <f t="shared" si="252"/>
        <v>65</v>
      </c>
      <c r="AL524">
        <f t="shared" si="253"/>
        <v>58</v>
      </c>
      <c r="AM524">
        <f t="shared" si="254"/>
        <v>45</v>
      </c>
      <c r="AN524">
        <f t="shared" si="255"/>
        <v>89</v>
      </c>
      <c r="AO524">
        <f t="shared" si="256"/>
        <v>81</v>
      </c>
      <c r="AP524">
        <f t="shared" si="257"/>
        <v>49</v>
      </c>
      <c r="AQ524">
        <f t="shared" si="258"/>
        <v>44</v>
      </c>
      <c r="AR524">
        <f t="shared" si="259"/>
        <v>30</v>
      </c>
      <c r="AS524">
        <f t="shared" si="260"/>
        <v>106</v>
      </c>
      <c r="AT524">
        <f t="shared" si="261"/>
        <v>97</v>
      </c>
      <c r="AU524">
        <f t="shared" si="262"/>
        <v>65</v>
      </c>
      <c r="AV524">
        <f t="shared" si="263"/>
        <v>58</v>
      </c>
      <c r="AW524">
        <f t="shared" si="264"/>
        <v>45</v>
      </c>
      <c r="AX524">
        <f t="shared" si="265"/>
        <v>96</v>
      </c>
      <c r="AY524">
        <f t="shared" si="266"/>
        <v>88</v>
      </c>
      <c r="AZ524">
        <f t="shared" si="267"/>
        <v>56</v>
      </c>
      <c r="BA524">
        <f t="shared" si="268"/>
        <v>50</v>
      </c>
      <c r="BB524">
        <f t="shared" si="269"/>
        <v>36</v>
      </c>
    </row>
    <row r="525" spans="1:54" x14ac:dyDescent="0.15">
      <c r="B525" t="s">
        <v>1903</v>
      </c>
      <c r="C525">
        <v>412</v>
      </c>
      <c r="D525">
        <v>2</v>
      </c>
      <c r="E525" t="s">
        <v>1897</v>
      </c>
      <c r="F525" t="s">
        <v>1904</v>
      </c>
      <c r="G525" t="s">
        <v>1905</v>
      </c>
      <c r="J525" t="s">
        <v>1056</v>
      </c>
      <c r="K525">
        <v>3.4</v>
      </c>
      <c r="L525">
        <v>0.2</v>
      </c>
      <c r="M525" t="s">
        <v>90</v>
      </c>
      <c r="O525" t="s">
        <v>96</v>
      </c>
      <c r="P525" t="s">
        <v>538</v>
      </c>
      <c r="R525">
        <v>8</v>
      </c>
      <c r="S525">
        <v>40</v>
      </c>
      <c r="T525">
        <v>29</v>
      </c>
      <c r="U525">
        <v>45</v>
      </c>
      <c r="V525">
        <v>29</v>
      </c>
      <c r="W525">
        <v>45</v>
      </c>
      <c r="X525">
        <v>36</v>
      </c>
      <c r="Y525">
        <f t="shared" si="240"/>
        <v>147</v>
      </c>
      <c r="Z525">
        <f t="shared" si="241"/>
        <v>147</v>
      </c>
      <c r="AA525">
        <f t="shared" si="242"/>
        <v>115</v>
      </c>
      <c r="AB525">
        <f t="shared" si="243"/>
        <v>115</v>
      </c>
      <c r="AC525">
        <f t="shared" si="244"/>
        <v>100</v>
      </c>
      <c r="AD525">
        <f t="shared" si="245"/>
        <v>89</v>
      </c>
      <c r="AE525">
        <f t="shared" si="246"/>
        <v>81</v>
      </c>
      <c r="AF525">
        <f t="shared" si="247"/>
        <v>49</v>
      </c>
      <c r="AG525">
        <f t="shared" si="248"/>
        <v>44</v>
      </c>
      <c r="AH525">
        <f t="shared" si="249"/>
        <v>30</v>
      </c>
      <c r="AI525">
        <f t="shared" si="250"/>
        <v>106</v>
      </c>
      <c r="AJ525">
        <f t="shared" si="251"/>
        <v>97</v>
      </c>
      <c r="AK525">
        <f t="shared" si="252"/>
        <v>65</v>
      </c>
      <c r="AL525">
        <f t="shared" si="253"/>
        <v>58</v>
      </c>
      <c r="AM525">
        <f t="shared" si="254"/>
        <v>45</v>
      </c>
      <c r="AN525">
        <f t="shared" si="255"/>
        <v>89</v>
      </c>
      <c r="AO525">
        <f t="shared" si="256"/>
        <v>81</v>
      </c>
      <c r="AP525">
        <f t="shared" si="257"/>
        <v>49</v>
      </c>
      <c r="AQ525">
        <f t="shared" si="258"/>
        <v>44</v>
      </c>
      <c r="AR525">
        <f t="shared" si="259"/>
        <v>30</v>
      </c>
      <c r="AS525">
        <f t="shared" si="260"/>
        <v>106</v>
      </c>
      <c r="AT525">
        <f t="shared" si="261"/>
        <v>97</v>
      </c>
      <c r="AU525">
        <f t="shared" si="262"/>
        <v>65</v>
      </c>
      <c r="AV525">
        <f t="shared" si="263"/>
        <v>58</v>
      </c>
      <c r="AW525">
        <f t="shared" si="264"/>
        <v>45</v>
      </c>
      <c r="AX525">
        <f t="shared" si="265"/>
        <v>96</v>
      </c>
      <c r="AY525">
        <f t="shared" si="266"/>
        <v>88</v>
      </c>
      <c r="AZ525">
        <f t="shared" si="267"/>
        <v>56</v>
      </c>
      <c r="BA525">
        <f t="shared" si="268"/>
        <v>50</v>
      </c>
      <c r="BB525">
        <f t="shared" si="269"/>
        <v>36</v>
      </c>
    </row>
    <row r="526" spans="1:54" x14ac:dyDescent="0.15">
      <c r="B526" t="s">
        <v>1906</v>
      </c>
      <c r="C526">
        <v>413</v>
      </c>
      <c r="D526">
        <v>0</v>
      </c>
      <c r="E526" t="s">
        <v>1907</v>
      </c>
      <c r="F526" t="s">
        <v>1898</v>
      </c>
      <c r="G526" t="s">
        <v>1908</v>
      </c>
      <c r="J526" t="s">
        <v>1056</v>
      </c>
      <c r="K526">
        <v>6.5</v>
      </c>
      <c r="L526">
        <v>0.5</v>
      </c>
      <c r="M526" t="s">
        <v>90</v>
      </c>
      <c r="N526" t="s">
        <v>26</v>
      </c>
      <c r="O526" t="s">
        <v>758</v>
      </c>
      <c r="P526" t="s">
        <v>538</v>
      </c>
      <c r="R526">
        <v>8</v>
      </c>
      <c r="S526">
        <v>60</v>
      </c>
      <c r="T526">
        <v>59</v>
      </c>
      <c r="U526">
        <v>85</v>
      </c>
      <c r="V526">
        <v>79</v>
      </c>
      <c r="W526">
        <v>105</v>
      </c>
      <c r="X526">
        <v>36</v>
      </c>
      <c r="Y526">
        <f t="shared" si="240"/>
        <v>167</v>
      </c>
      <c r="Z526">
        <f t="shared" si="241"/>
        <v>167</v>
      </c>
      <c r="AA526">
        <f t="shared" si="242"/>
        <v>135</v>
      </c>
      <c r="AB526">
        <f t="shared" si="243"/>
        <v>135</v>
      </c>
      <c r="AC526">
        <f t="shared" si="244"/>
        <v>120</v>
      </c>
      <c r="AD526">
        <f t="shared" si="245"/>
        <v>122</v>
      </c>
      <c r="AE526">
        <f t="shared" si="246"/>
        <v>111</v>
      </c>
      <c r="AF526">
        <f t="shared" si="247"/>
        <v>79</v>
      </c>
      <c r="AG526">
        <f t="shared" si="248"/>
        <v>71</v>
      </c>
      <c r="AH526">
        <f t="shared" si="249"/>
        <v>57</v>
      </c>
      <c r="AI526">
        <f t="shared" si="250"/>
        <v>150</v>
      </c>
      <c r="AJ526">
        <f t="shared" si="251"/>
        <v>137</v>
      </c>
      <c r="AK526">
        <f t="shared" si="252"/>
        <v>105</v>
      </c>
      <c r="AL526">
        <f t="shared" si="253"/>
        <v>94</v>
      </c>
      <c r="AM526">
        <f t="shared" si="254"/>
        <v>81</v>
      </c>
      <c r="AN526">
        <f t="shared" si="255"/>
        <v>144</v>
      </c>
      <c r="AO526">
        <f t="shared" si="256"/>
        <v>131</v>
      </c>
      <c r="AP526">
        <f t="shared" si="257"/>
        <v>99</v>
      </c>
      <c r="AQ526">
        <f t="shared" si="258"/>
        <v>89</v>
      </c>
      <c r="AR526">
        <f t="shared" si="259"/>
        <v>75</v>
      </c>
      <c r="AS526">
        <f t="shared" si="260"/>
        <v>172</v>
      </c>
      <c r="AT526">
        <f t="shared" si="261"/>
        <v>157</v>
      </c>
      <c r="AU526">
        <f t="shared" si="262"/>
        <v>125</v>
      </c>
      <c r="AV526">
        <f t="shared" si="263"/>
        <v>112</v>
      </c>
      <c r="AW526">
        <f t="shared" si="264"/>
        <v>99</v>
      </c>
      <c r="AX526">
        <f t="shared" si="265"/>
        <v>96</v>
      </c>
      <c r="AY526">
        <f t="shared" si="266"/>
        <v>88</v>
      </c>
      <c r="AZ526">
        <f t="shared" si="267"/>
        <v>56</v>
      </c>
      <c r="BA526">
        <f t="shared" si="268"/>
        <v>50</v>
      </c>
      <c r="BB526">
        <f t="shared" si="269"/>
        <v>36</v>
      </c>
    </row>
    <row r="527" spans="1:54" x14ac:dyDescent="0.15">
      <c r="B527" t="s">
        <v>1909</v>
      </c>
      <c r="C527">
        <v>413</v>
      </c>
      <c r="D527">
        <v>1</v>
      </c>
      <c r="E527" t="s">
        <v>1907</v>
      </c>
      <c r="F527" t="s">
        <v>1901</v>
      </c>
      <c r="G527" t="s">
        <v>1910</v>
      </c>
      <c r="J527" t="s">
        <v>1056</v>
      </c>
      <c r="K527">
        <v>6.5</v>
      </c>
      <c r="L527">
        <v>0.5</v>
      </c>
      <c r="M527" t="s">
        <v>90</v>
      </c>
      <c r="N527" t="s">
        <v>196</v>
      </c>
      <c r="O527" t="s">
        <v>758</v>
      </c>
      <c r="P527" t="s">
        <v>538</v>
      </c>
      <c r="R527">
        <v>8</v>
      </c>
      <c r="S527">
        <v>60</v>
      </c>
      <c r="T527">
        <v>79</v>
      </c>
      <c r="U527">
        <v>105</v>
      </c>
      <c r="V527">
        <v>59</v>
      </c>
      <c r="W527">
        <v>85</v>
      </c>
      <c r="X527">
        <v>36</v>
      </c>
      <c r="Y527">
        <f t="shared" si="240"/>
        <v>167</v>
      </c>
      <c r="Z527">
        <f t="shared" si="241"/>
        <v>167</v>
      </c>
      <c r="AA527">
        <f t="shared" si="242"/>
        <v>135</v>
      </c>
      <c r="AB527">
        <f t="shared" si="243"/>
        <v>135</v>
      </c>
      <c r="AC527">
        <f t="shared" si="244"/>
        <v>120</v>
      </c>
      <c r="AD527">
        <f t="shared" si="245"/>
        <v>144</v>
      </c>
      <c r="AE527">
        <f t="shared" si="246"/>
        <v>131</v>
      </c>
      <c r="AF527">
        <f t="shared" si="247"/>
        <v>99</v>
      </c>
      <c r="AG527">
        <f t="shared" si="248"/>
        <v>89</v>
      </c>
      <c r="AH527">
        <f t="shared" si="249"/>
        <v>75</v>
      </c>
      <c r="AI527">
        <f t="shared" si="250"/>
        <v>172</v>
      </c>
      <c r="AJ527">
        <f t="shared" si="251"/>
        <v>157</v>
      </c>
      <c r="AK527">
        <f t="shared" si="252"/>
        <v>125</v>
      </c>
      <c r="AL527">
        <f t="shared" si="253"/>
        <v>112</v>
      </c>
      <c r="AM527">
        <f t="shared" si="254"/>
        <v>99</v>
      </c>
      <c r="AN527">
        <f t="shared" si="255"/>
        <v>122</v>
      </c>
      <c r="AO527">
        <f t="shared" si="256"/>
        <v>111</v>
      </c>
      <c r="AP527">
        <f t="shared" si="257"/>
        <v>79</v>
      </c>
      <c r="AQ527">
        <f t="shared" si="258"/>
        <v>71</v>
      </c>
      <c r="AR527">
        <f t="shared" si="259"/>
        <v>57</v>
      </c>
      <c r="AS527">
        <f t="shared" si="260"/>
        <v>150</v>
      </c>
      <c r="AT527">
        <f t="shared" si="261"/>
        <v>137</v>
      </c>
      <c r="AU527">
        <f t="shared" si="262"/>
        <v>105</v>
      </c>
      <c r="AV527">
        <f t="shared" si="263"/>
        <v>94</v>
      </c>
      <c r="AW527">
        <f t="shared" si="264"/>
        <v>81</v>
      </c>
      <c r="AX527">
        <f t="shared" si="265"/>
        <v>96</v>
      </c>
      <c r="AY527">
        <f t="shared" si="266"/>
        <v>88</v>
      </c>
      <c r="AZ527">
        <f t="shared" si="267"/>
        <v>56</v>
      </c>
      <c r="BA527">
        <f t="shared" si="268"/>
        <v>50</v>
      </c>
      <c r="BB527">
        <f t="shared" si="269"/>
        <v>36</v>
      </c>
    </row>
    <row r="528" spans="1:54" x14ac:dyDescent="0.15">
      <c r="B528" t="s">
        <v>1911</v>
      </c>
      <c r="C528">
        <v>413</v>
      </c>
      <c r="D528">
        <v>2</v>
      </c>
      <c r="E528" t="s">
        <v>1907</v>
      </c>
      <c r="F528" t="s">
        <v>1904</v>
      </c>
      <c r="G528" t="s">
        <v>1912</v>
      </c>
      <c r="J528" t="s">
        <v>1056</v>
      </c>
      <c r="K528">
        <v>6.5</v>
      </c>
      <c r="L528">
        <v>0.5</v>
      </c>
      <c r="M528" t="s">
        <v>90</v>
      </c>
      <c r="N528" t="s">
        <v>203</v>
      </c>
      <c r="O528" t="s">
        <v>758</v>
      </c>
      <c r="P528" t="s">
        <v>538</v>
      </c>
      <c r="R528">
        <v>8</v>
      </c>
      <c r="S528">
        <v>60</v>
      </c>
      <c r="T528">
        <v>69</v>
      </c>
      <c r="U528">
        <v>95</v>
      </c>
      <c r="V528">
        <v>69</v>
      </c>
      <c r="W528">
        <v>95</v>
      </c>
      <c r="X528">
        <v>36</v>
      </c>
      <c r="Y528">
        <f t="shared" si="240"/>
        <v>167</v>
      </c>
      <c r="Z528">
        <f t="shared" si="241"/>
        <v>167</v>
      </c>
      <c r="AA528">
        <f t="shared" si="242"/>
        <v>135</v>
      </c>
      <c r="AB528">
        <f t="shared" si="243"/>
        <v>135</v>
      </c>
      <c r="AC528">
        <f t="shared" si="244"/>
        <v>120</v>
      </c>
      <c r="AD528">
        <f t="shared" si="245"/>
        <v>133</v>
      </c>
      <c r="AE528">
        <f t="shared" si="246"/>
        <v>121</v>
      </c>
      <c r="AF528">
        <f t="shared" si="247"/>
        <v>89</v>
      </c>
      <c r="AG528">
        <f t="shared" si="248"/>
        <v>80</v>
      </c>
      <c r="AH528">
        <f t="shared" si="249"/>
        <v>66</v>
      </c>
      <c r="AI528">
        <f t="shared" si="250"/>
        <v>161</v>
      </c>
      <c r="AJ528">
        <f t="shared" si="251"/>
        <v>147</v>
      </c>
      <c r="AK528">
        <f t="shared" si="252"/>
        <v>115</v>
      </c>
      <c r="AL528">
        <f t="shared" si="253"/>
        <v>103</v>
      </c>
      <c r="AM528">
        <f t="shared" si="254"/>
        <v>90</v>
      </c>
      <c r="AN528">
        <f t="shared" si="255"/>
        <v>133</v>
      </c>
      <c r="AO528">
        <f t="shared" si="256"/>
        <v>121</v>
      </c>
      <c r="AP528">
        <f t="shared" si="257"/>
        <v>89</v>
      </c>
      <c r="AQ528">
        <f t="shared" si="258"/>
        <v>80</v>
      </c>
      <c r="AR528">
        <f t="shared" si="259"/>
        <v>66</v>
      </c>
      <c r="AS528">
        <f t="shared" si="260"/>
        <v>161</v>
      </c>
      <c r="AT528">
        <f t="shared" si="261"/>
        <v>147</v>
      </c>
      <c r="AU528">
        <f t="shared" si="262"/>
        <v>115</v>
      </c>
      <c r="AV528">
        <f t="shared" si="263"/>
        <v>103</v>
      </c>
      <c r="AW528">
        <f t="shared" si="264"/>
        <v>90</v>
      </c>
      <c r="AX528">
        <f t="shared" si="265"/>
        <v>96</v>
      </c>
      <c r="AY528">
        <f t="shared" si="266"/>
        <v>88</v>
      </c>
      <c r="AZ528">
        <f t="shared" si="267"/>
        <v>56</v>
      </c>
      <c r="BA528">
        <f t="shared" si="268"/>
        <v>50</v>
      </c>
      <c r="BB528">
        <f t="shared" si="269"/>
        <v>36</v>
      </c>
    </row>
    <row r="529" spans="1:54" x14ac:dyDescent="0.15">
      <c r="B529" t="s">
        <v>1913</v>
      </c>
      <c r="C529">
        <v>414</v>
      </c>
      <c r="D529">
        <v>0</v>
      </c>
      <c r="E529" t="s">
        <v>1914</v>
      </c>
      <c r="G529" t="s">
        <v>1914</v>
      </c>
      <c r="J529" t="s">
        <v>1915</v>
      </c>
      <c r="K529">
        <v>23.3</v>
      </c>
      <c r="L529">
        <v>0.9</v>
      </c>
      <c r="M529" t="s">
        <v>90</v>
      </c>
      <c r="N529" t="s">
        <v>57</v>
      </c>
      <c r="O529" t="s">
        <v>112</v>
      </c>
      <c r="P529" t="s">
        <v>101</v>
      </c>
      <c r="R529">
        <v>8</v>
      </c>
      <c r="S529">
        <v>70</v>
      </c>
      <c r="T529">
        <v>94</v>
      </c>
      <c r="U529">
        <v>50</v>
      </c>
      <c r="V529">
        <v>94</v>
      </c>
      <c r="W529">
        <v>50</v>
      </c>
      <c r="X529">
        <v>66</v>
      </c>
      <c r="Y529">
        <f t="shared" si="240"/>
        <v>177</v>
      </c>
      <c r="Z529">
        <f t="shared" si="241"/>
        <v>177</v>
      </c>
      <c r="AA529">
        <f t="shared" si="242"/>
        <v>145</v>
      </c>
      <c r="AB529">
        <f t="shared" si="243"/>
        <v>145</v>
      </c>
      <c r="AC529">
        <f t="shared" si="244"/>
        <v>130</v>
      </c>
      <c r="AD529">
        <f t="shared" si="245"/>
        <v>160</v>
      </c>
      <c r="AE529">
        <f t="shared" si="246"/>
        <v>146</v>
      </c>
      <c r="AF529">
        <f t="shared" si="247"/>
        <v>114</v>
      </c>
      <c r="AG529">
        <f t="shared" si="248"/>
        <v>102</v>
      </c>
      <c r="AH529">
        <f t="shared" si="249"/>
        <v>89</v>
      </c>
      <c r="AI529">
        <f t="shared" si="250"/>
        <v>112</v>
      </c>
      <c r="AJ529">
        <f t="shared" si="251"/>
        <v>102</v>
      </c>
      <c r="AK529">
        <f t="shared" si="252"/>
        <v>70</v>
      </c>
      <c r="AL529">
        <f t="shared" si="253"/>
        <v>63</v>
      </c>
      <c r="AM529">
        <f t="shared" si="254"/>
        <v>49</v>
      </c>
      <c r="AN529">
        <f t="shared" si="255"/>
        <v>160</v>
      </c>
      <c r="AO529">
        <f t="shared" si="256"/>
        <v>146</v>
      </c>
      <c r="AP529">
        <f t="shared" si="257"/>
        <v>114</v>
      </c>
      <c r="AQ529">
        <f t="shared" si="258"/>
        <v>102</v>
      </c>
      <c r="AR529">
        <f t="shared" si="259"/>
        <v>89</v>
      </c>
      <c r="AS529">
        <f t="shared" si="260"/>
        <v>112</v>
      </c>
      <c r="AT529">
        <f t="shared" si="261"/>
        <v>102</v>
      </c>
      <c r="AU529">
        <f t="shared" si="262"/>
        <v>70</v>
      </c>
      <c r="AV529">
        <f t="shared" si="263"/>
        <v>63</v>
      </c>
      <c r="AW529">
        <f t="shared" si="264"/>
        <v>49</v>
      </c>
      <c r="AX529">
        <f t="shared" si="265"/>
        <v>129</v>
      </c>
      <c r="AY529">
        <f t="shared" si="266"/>
        <v>118</v>
      </c>
      <c r="AZ529">
        <f t="shared" si="267"/>
        <v>86</v>
      </c>
      <c r="BA529">
        <f t="shared" si="268"/>
        <v>77</v>
      </c>
      <c r="BB529">
        <f t="shared" si="269"/>
        <v>63</v>
      </c>
    </row>
    <row r="530" spans="1:54" x14ac:dyDescent="0.15">
      <c r="A530">
        <v>342</v>
      </c>
      <c r="B530" t="s">
        <v>1916</v>
      </c>
      <c r="C530">
        <v>415</v>
      </c>
      <c r="D530">
        <v>0</v>
      </c>
      <c r="E530" t="s">
        <v>1917</v>
      </c>
      <c r="G530" t="s">
        <v>1917</v>
      </c>
      <c r="H530" t="s">
        <v>1918</v>
      </c>
      <c r="J530" t="s">
        <v>1919</v>
      </c>
      <c r="K530">
        <v>5.5</v>
      </c>
      <c r="L530">
        <v>0.3</v>
      </c>
      <c r="M530" t="s">
        <v>90</v>
      </c>
      <c r="N530" t="s">
        <v>57</v>
      </c>
      <c r="O530" t="s">
        <v>1113</v>
      </c>
      <c r="P530" t="s">
        <v>136</v>
      </c>
      <c r="R530">
        <v>9</v>
      </c>
      <c r="S530">
        <v>30</v>
      </c>
      <c r="T530">
        <v>30</v>
      </c>
      <c r="U530">
        <v>42</v>
      </c>
      <c r="V530">
        <v>30</v>
      </c>
      <c r="W530">
        <v>42</v>
      </c>
      <c r="X530">
        <v>70</v>
      </c>
      <c r="Y530">
        <f t="shared" si="240"/>
        <v>137</v>
      </c>
      <c r="Z530">
        <f t="shared" si="241"/>
        <v>137</v>
      </c>
      <c r="AA530">
        <f t="shared" si="242"/>
        <v>105</v>
      </c>
      <c r="AB530">
        <f t="shared" si="243"/>
        <v>105</v>
      </c>
      <c r="AC530">
        <f t="shared" si="244"/>
        <v>90</v>
      </c>
      <c r="AD530">
        <f t="shared" si="245"/>
        <v>90</v>
      </c>
      <c r="AE530">
        <f t="shared" si="246"/>
        <v>82</v>
      </c>
      <c r="AF530">
        <f t="shared" si="247"/>
        <v>50</v>
      </c>
      <c r="AG530">
        <f t="shared" si="248"/>
        <v>45</v>
      </c>
      <c r="AH530">
        <f t="shared" si="249"/>
        <v>31</v>
      </c>
      <c r="AI530">
        <f t="shared" si="250"/>
        <v>103</v>
      </c>
      <c r="AJ530">
        <f t="shared" si="251"/>
        <v>94</v>
      </c>
      <c r="AK530">
        <f t="shared" si="252"/>
        <v>62</v>
      </c>
      <c r="AL530">
        <f t="shared" si="253"/>
        <v>55</v>
      </c>
      <c r="AM530">
        <f t="shared" si="254"/>
        <v>42</v>
      </c>
      <c r="AN530">
        <f t="shared" si="255"/>
        <v>90</v>
      </c>
      <c r="AO530">
        <f t="shared" si="256"/>
        <v>82</v>
      </c>
      <c r="AP530">
        <f t="shared" si="257"/>
        <v>50</v>
      </c>
      <c r="AQ530">
        <f t="shared" si="258"/>
        <v>45</v>
      </c>
      <c r="AR530">
        <f t="shared" si="259"/>
        <v>31</v>
      </c>
      <c r="AS530">
        <f t="shared" si="260"/>
        <v>103</v>
      </c>
      <c r="AT530">
        <f t="shared" si="261"/>
        <v>94</v>
      </c>
      <c r="AU530">
        <f t="shared" si="262"/>
        <v>62</v>
      </c>
      <c r="AV530">
        <f t="shared" si="263"/>
        <v>55</v>
      </c>
      <c r="AW530">
        <f t="shared" si="264"/>
        <v>42</v>
      </c>
      <c r="AX530">
        <f t="shared" si="265"/>
        <v>134</v>
      </c>
      <c r="AY530">
        <f t="shared" si="266"/>
        <v>122</v>
      </c>
      <c r="AZ530">
        <f t="shared" si="267"/>
        <v>90</v>
      </c>
      <c r="BA530">
        <f t="shared" si="268"/>
        <v>81</v>
      </c>
      <c r="BB530">
        <f t="shared" si="269"/>
        <v>67</v>
      </c>
    </row>
    <row r="531" spans="1:54" x14ac:dyDescent="0.15">
      <c r="A531">
        <v>343</v>
      </c>
      <c r="B531" t="s">
        <v>1920</v>
      </c>
      <c r="C531">
        <v>416</v>
      </c>
      <c r="D531">
        <v>0</v>
      </c>
      <c r="E531" t="s">
        <v>1921</v>
      </c>
      <c r="G531" t="s">
        <v>1921</v>
      </c>
      <c r="H531" t="s">
        <v>1922</v>
      </c>
      <c r="J531" t="s">
        <v>1923</v>
      </c>
      <c r="K531">
        <v>38.5</v>
      </c>
      <c r="L531">
        <v>1.2</v>
      </c>
      <c r="M531" t="s">
        <v>90</v>
      </c>
      <c r="N531" t="s">
        <v>57</v>
      </c>
      <c r="O531" t="s">
        <v>792</v>
      </c>
      <c r="P531" t="s">
        <v>156</v>
      </c>
      <c r="R531">
        <v>9</v>
      </c>
      <c r="S531">
        <v>70</v>
      </c>
      <c r="T531">
        <v>80</v>
      </c>
      <c r="U531">
        <v>102</v>
      </c>
      <c r="V531">
        <v>80</v>
      </c>
      <c r="W531">
        <v>102</v>
      </c>
      <c r="X531">
        <v>40</v>
      </c>
      <c r="Y531">
        <f t="shared" si="240"/>
        <v>177</v>
      </c>
      <c r="Z531">
        <f t="shared" si="241"/>
        <v>177</v>
      </c>
      <c r="AA531">
        <f t="shared" si="242"/>
        <v>145</v>
      </c>
      <c r="AB531">
        <f t="shared" si="243"/>
        <v>145</v>
      </c>
      <c r="AC531">
        <f t="shared" si="244"/>
        <v>130</v>
      </c>
      <c r="AD531">
        <f t="shared" si="245"/>
        <v>145</v>
      </c>
      <c r="AE531">
        <f t="shared" si="246"/>
        <v>132</v>
      </c>
      <c r="AF531">
        <f t="shared" si="247"/>
        <v>100</v>
      </c>
      <c r="AG531">
        <f t="shared" si="248"/>
        <v>90</v>
      </c>
      <c r="AH531">
        <f t="shared" si="249"/>
        <v>76</v>
      </c>
      <c r="AI531">
        <f t="shared" si="250"/>
        <v>169</v>
      </c>
      <c r="AJ531">
        <f t="shared" si="251"/>
        <v>154</v>
      </c>
      <c r="AK531">
        <f t="shared" si="252"/>
        <v>122</v>
      </c>
      <c r="AL531">
        <f t="shared" si="253"/>
        <v>109</v>
      </c>
      <c r="AM531">
        <f t="shared" si="254"/>
        <v>96</v>
      </c>
      <c r="AN531">
        <f t="shared" si="255"/>
        <v>145</v>
      </c>
      <c r="AO531">
        <f t="shared" si="256"/>
        <v>132</v>
      </c>
      <c r="AP531">
        <f t="shared" si="257"/>
        <v>100</v>
      </c>
      <c r="AQ531">
        <f t="shared" si="258"/>
        <v>90</v>
      </c>
      <c r="AR531">
        <f t="shared" si="259"/>
        <v>76</v>
      </c>
      <c r="AS531">
        <f t="shared" si="260"/>
        <v>169</v>
      </c>
      <c r="AT531">
        <f t="shared" si="261"/>
        <v>154</v>
      </c>
      <c r="AU531">
        <f t="shared" si="262"/>
        <v>122</v>
      </c>
      <c r="AV531">
        <f t="shared" si="263"/>
        <v>109</v>
      </c>
      <c r="AW531">
        <f t="shared" si="264"/>
        <v>96</v>
      </c>
      <c r="AX531">
        <f t="shared" si="265"/>
        <v>101</v>
      </c>
      <c r="AY531">
        <f t="shared" si="266"/>
        <v>92</v>
      </c>
      <c r="AZ531">
        <f t="shared" si="267"/>
        <v>60</v>
      </c>
      <c r="BA531">
        <f t="shared" si="268"/>
        <v>54</v>
      </c>
      <c r="BB531">
        <f t="shared" si="269"/>
        <v>40</v>
      </c>
    </row>
    <row r="532" spans="1:54" x14ac:dyDescent="0.15">
      <c r="A532">
        <v>344</v>
      </c>
      <c r="B532" t="s">
        <v>1924</v>
      </c>
      <c r="C532">
        <v>417</v>
      </c>
      <c r="D532">
        <v>0</v>
      </c>
      <c r="E532" t="s">
        <v>1925</v>
      </c>
      <c r="G532" t="s">
        <v>1925</v>
      </c>
      <c r="H532" t="s">
        <v>1926</v>
      </c>
      <c r="J532" t="s">
        <v>1927</v>
      </c>
      <c r="K532">
        <v>3.9</v>
      </c>
      <c r="L532">
        <v>0.4</v>
      </c>
      <c r="M532" t="s">
        <v>164</v>
      </c>
      <c r="O532" t="s">
        <v>92</v>
      </c>
      <c r="P532" t="s">
        <v>321</v>
      </c>
      <c r="Q532" t="s">
        <v>769</v>
      </c>
      <c r="R532">
        <v>9</v>
      </c>
      <c r="S532">
        <v>60</v>
      </c>
      <c r="T532">
        <v>45</v>
      </c>
      <c r="U532">
        <v>70</v>
      </c>
      <c r="V532">
        <v>45</v>
      </c>
      <c r="W532">
        <v>90</v>
      </c>
      <c r="X532">
        <v>95</v>
      </c>
      <c r="Y532">
        <f t="shared" si="240"/>
        <v>167</v>
      </c>
      <c r="Z532">
        <f t="shared" si="241"/>
        <v>167</v>
      </c>
      <c r="AA532">
        <f t="shared" si="242"/>
        <v>135</v>
      </c>
      <c r="AB532">
        <f t="shared" si="243"/>
        <v>135</v>
      </c>
      <c r="AC532">
        <f t="shared" si="244"/>
        <v>120</v>
      </c>
      <c r="AD532">
        <f t="shared" si="245"/>
        <v>106</v>
      </c>
      <c r="AE532">
        <f t="shared" si="246"/>
        <v>97</v>
      </c>
      <c r="AF532">
        <f t="shared" si="247"/>
        <v>65</v>
      </c>
      <c r="AG532">
        <f t="shared" si="248"/>
        <v>58</v>
      </c>
      <c r="AH532">
        <f t="shared" si="249"/>
        <v>45</v>
      </c>
      <c r="AI532">
        <f t="shared" si="250"/>
        <v>134</v>
      </c>
      <c r="AJ532">
        <f t="shared" si="251"/>
        <v>122</v>
      </c>
      <c r="AK532">
        <f t="shared" si="252"/>
        <v>90</v>
      </c>
      <c r="AL532">
        <f t="shared" si="253"/>
        <v>81</v>
      </c>
      <c r="AM532">
        <f t="shared" si="254"/>
        <v>67</v>
      </c>
      <c r="AN532">
        <f t="shared" si="255"/>
        <v>106</v>
      </c>
      <c r="AO532">
        <f t="shared" si="256"/>
        <v>97</v>
      </c>
      <c r="AP532">
        <f t="shared" si="257"/>
        <v>65</v>
      </c>
      <c r="AQ532">
        <f t="shared" si="258"/>
        <v>58</v>
      </c>
      <c r="AR532">
        <f t="shared" si="259"/>
        <v>45</v>
      </c>
      <c r="AS532">
        <f t="shared" si="260"/>
        <v>156</v>
      </c>
      <c r="AT532">
        <f t="shared" si="261"/>
        <v>142</v>
      </c>
      <c r="AU532">
        <f t="shared" si="262"/>
        <v>110</v>
      </c>
      <c r="AV532">
        <f t="shared" si="263"/>
        <v>99</v>
      </c>
      <c r="AW532">
        <f t="shared" si="264"/>
        <v>85</v>
      </c>
      <c r="AX532">
        <f t="shared" si="265"/>
        <v>161</v>
      </c>
      <c r="AY532">
        <f t="shared" si="266"/>
        <v>147</v>
      </c>
      <c r="AZ532">
        <f t="shared" si="267"/>
        <v>115</v>
      </c>
      <c r="BA532">
        <f t="shared" si="268"/>
        <v>103</v>
      </c>
      <c r="BB532">
        <f t="shared" si="269"/>
        <v>90</v>
      </c>
    </row>
    <row r="533" spans="1:54" x14ac:dyDescent="0.15">
      <c r="A533">
        <v>345</v>
      </c>
      <c r="B533" t="s">
        <v>1928</v>
      </c>
      <c r="C533">
        <v>418</v>
      </c>
      <c r="D533">
        <v>0</v>
      </c>
      <c r="E533" t="s">
        <v>1929</v>
      </c>
      <c r="G533" t="s">
        <v>1929</v>
      </c>
      <c r="H533" t="s">
        <v>1930</v>
      </c>
      <c r="J533" t="s">
        <v>1931</v>
      </c>
      <c r="K533">
        <v>29.5</v>
      </c>
      <c r="L533">
        <v>0.7</v>
      </c>
      <c r="M533" t="s">
        <v>71</v>
      </c>
      <c r="O533" t="s">
        <v>346</v>
      </c>
      <c r="P533" t="s">
        <v>677</v>
      </c>
      <c r="R533">
        <v>9</v>
      </c>
      <c r="S533">
        <v>55</v>
      </c>
      <c r="T533">
        <v>65</v>
      </c>
      <c r="U533">
        <v>35</v>
      </c>
      <c r="V533">
        <v>60</v>
      </c>
      <c r="W533">
        <v>30</v>
      </c>
      <c r="X533">
        <v>85</v>
      </c>
      <c r="Y533">
        <f t="shared" si="240"/>
        <v>162</v>
      </c>
      <c r="Z533">
        <f t="shared" si="241"/>
        <v>162</v>
      </c>
      <c r="AA533">
        <f t="shared" si="242"/>
        <v>130</v>
      </c>
      <c r="AB533">
        <f t="shared" si="243"/>
        <v>130</v>
      </c>
      <c r="AC533">
        <f t="shared" si="244"/>
        <v>115</v>
      </c>
      <c r="AD533">
        <f t="shared" si="245"/>
        <v>128</v>
      </c>
      <c r="AE533">
        <f t="shared" si="246"/>
        <v>117</v>
      </c>
      <c r="AF533">
        <f t="shared" si="247"/>
        <v>85</v>
      </c>
      <c r="AG533">
        <f t="shared" si="248"/>
        <v>76</v>
      </c>
      <c r="AH533">
        <f t="shared" si="249"/>
        <v>63</v>
      </c>
      <c r="AI533">
        <f t="shared" si="250"/>
        <v>95</v>
      </c>
      <c r="AJ533">
        <f t="shared" si="251"/>
        <v>87</v>
      </c>
      <c r="AK533">
        <f t="shared" si="252"/>
        <v>55</v>
      </c>
      <c r="AL533">
        <f t="shared" si="253"/>
        <v>49</v>
      </c>
      <c r="AM533">
        <f t="shared" si="254"/>
        <v>36</v>
      </c>
      <c r="AN533">
        <f t="shared" si="255"/>
        <v>123</v>
      </c>
      <c r="AO533">
        <f t="shared" si="256"/>
        <v>112</v>
      </c>
      <c r="AP533">
        <f t="shared" si="257"/>
        <v>80</v>
      </c>
      <c r="AQ533">
        <f t="shared" si="258"/>
        <v>72</v>
      </c>
      <c r="AR533">
        <f t="shared" si="259"/>
        <v>58</v>
      </c>
      <c r="AS533">
        <f t="shared" si="260"/>
        <v>90</v>
      </c>
      <c r="AT533">
        <f t="shared" si="261"/>
        <v>82</v>
      </c>
      <c r="AU533">
        <f t="shared" si="262"/>
        <v>50</v>
      </c>
      <c r="AV533">
        <f t="shared" si="263"/>
        <v>45</v>
      </c>
      <c r="AW533">
        <f t="shared" si="264"/>
        <v>31</v>
      </c>
      <c r="AX533">
        <f t="shared" si="265"/>
        <v>150</v>
      </c>
      <c r="AY533">
        <f t="shared" si="266"/>
        <v>137</v>
      </c>
      <c r="AZ533">
        <f t="shared" si="267"/>
        <v>105</v>
      </c>
      <c r="BA533">
        <f t="shared" si="268"/>
        <v>94</v>
      </c>
      <c r="BB533">
        <f t="shared" si="269"/>
        <v>81</v>
      </c>
    </row>
    <row r="534" spans="1:54" x14ac:dyDescent="0.15">
      <c r="A534">
        <v>346</v>
      </c>
      <c r="B534" t="s">
        <v>1932</v>
      </c>
      <c r="C534">
        <v>419</v>
      </c>
      <c r="D534">
        <v>0</v>
      </c>
      <c r="E534" t="s">
        <v>1933</v>
      </c>
      <c r="G534" t="s">
        <v>1933</v>
      </c>
      <c r="H534" t="s">
        <v>1934</v>
      </c>
      <c r="J534" t="s">
        <v>1931</v>
      </c>
      <c r="K534">
        <v>33.5</v>
      </c>
      <c r="L534">
        <v>1.1000000000000001</v>
      </c>
      <c r="M534" t="s">
        <v>71</v>
      </c>
      <c r="O534" t="s">
        <v>346</v>
      </c>
      <c r="P534" t="s">
        <v>677</v>
      </c>
      <c r="R534">
        <v>9</v>
      </c>
      <c r="S534">
        <v>85</v>
      </c>
      <c r="T534">
        <v>105</v>
      </c>
      <c r="U534">
        <v>55</v>
      </c>
      <c r="V534">
        <v>85</v>
      </c>
      <c r="W534">
        <v>50</v>
      </c>
      <c r="X534">
        <v>115</v>
      </c>
      <c r="Y534">
        <f t="shared" si="240"/>
        <v>192</v>
      </c>
      <c r="Z534">
        <f t="shared" si="241"/>
        <v>192</v>
      </c>
      <c r="AA534">
        <f t="shared" si="242"/>
        <v>160</v>
      </c>
      <c r="AB534">
        <f t="shared" si="243"/>
        <v>160</v>
      </c>
      <c r="AC534">
        <f t="shared" si="244"/>
        <v>145</v>
      </c>
      <c r="AD534">
        <f t="shared" si="245"/>
        <v>172</v>
      </c>
      <c r="AE534">
        <f t="shared" si="246"/>
        <v>157</v>
      </c>
      <c r="AF534">
        <f t="shared" si="247"/>
        <v>125</v>
      </c>
      <c r="AG534">
        <f t="shared" si="248"/>
        <v>112</v>
      </c>
      <c r="AH534">
        <f t="shared" si="249"/>
        <v>99</v>
      </c>
      <c r="AI534">
        <f t="shared" si="250"/>
        <v>117</v>
      </c>
      <c r="AJ534">
        <f t="shared" si="251"/>
        <v>107</v>
      </c>
      <c r="AK534">
        <f t="shared" si="252"/>
        <v>75</v>
      </c>
      <c r="AL534">
        <f t="shared" si="253"/>
        <v>67</v>
      </c>
      <c r="AM534">
        <f t="shared" si="254"/>
        <v>54</v>
      </c>
      <c r="AN534">
        <f t="shared" si="255"/>
        <v>150</v>
      </c>
      <c r="AO534">
        <f t="shared" si="256"/>
        <v>137</v>
      </c>
      <c r="AP534">
        <f t="shared" si="257"/>
        <v>105</v>
      </c>
      <c r="AQ534">
        <f t="shared" si="258"/>
        <v>94</v>
      </c>
      <c r="AR534">
        <f t="shared" si="259"/>
        <v>81</v>
      </c>
      <c r="AS534">
        <f t="shared" si="260"/>
        <v>112</v>
      </c>
      <c r="AT534">
        <f t="shared" si="261"/>
        <v>102</v>
      </c>
      <c r="AU534">
        <f t="shared" si="262"/>
        <v>70</v>
      </c>
      <c r="AV534">
        <f t="shared" si="263"/>
        <v>63</v>
      </c>
      <c r="AW534">
        <f t="shared" si="264"/>
        <v>49</v>
      </c>
      <c r="AX534">
        <f t="shared" si="265"/>
        <v>183</v>
      </c>
      <c r="AY534">
        <f t="shared" si="266"/>
        <v>167</v>
      </c>
      <c r="AZ534">
        <f t="shared" si="267"/>
        <v>135</v>
      </c>
      <c r="BA534">
        <f t="shared" si="268"/>
        <v>121</v>
      </c>
      <c r="BB534">
        <f t="shared" si="269"/>
        <v>108</v>
      </c>
    </row>
    <row r="535" spans="1:54" x14ac:dyDescent="0.15">
      <c r="B535" t="s">
        <v>1935</v>
      </c>
      <c r="C535">
        <v>420</v>
      </c>
      <c r="D535">
        <v>0</v>
      </c>
      <c r="E535" t="s">
        <v>1936</v>
      </c>
      <c r="G535" t="s">
        <v>1936</v>
      </c>
      <c r="J535" t="s">
        <v>1937</v>
      </c>
      <c r="K535">
        <v>3.3</v>
      </c>
      <c r="L535">
        <v>0.4</v>
      </c>
      <c r="M535" t="s">
        <v>26</v>
      </c>
      <c r="O535" t="s">
        <v>29</v>
      </c>
      <c r="R535">
        <v>8</v>
      </c>
      <c r="S535">
        <v>45</v>
      </c>
      <c r="T535">
        <v>35</v>
      </c>
      <c r="U535">
        <v>45</v>
      </c>
      <c r="V535">
        <v>62</v>
      </c>
      <c r="W535">
        <v>53</v>
      </c>
      <c r="X535">
        <v>35</v>
      </c>
      <c r="Y535">
        <f t="shared" si="240"/>
        <v>152</v>
      </c>
      <c r="Z535">
        <f t="shared" si="241"/>
        <v>152</v>
      </c>
      <c r="AA535">
        <f t="shared" si="242"/>
        <v>120</v>
      </c>
      <c r="AB535">
        <f t="shared" si="243"/>
        <v>120</v>
      </c>
      <c r="AC535">
        <f t="shared" si="244"/>
        <v>105</v>
      </c>
      <c r="AD535">
        <f t="shared" si="245"/>
        <v>95</v>
      </c>
      <c r="AE535">
        <f t="shared" si="246"/>
        <v>87</v>
      </c>
      <c r="AF535">
        <f t="shared" si="247"/>
        <v>55</v>
      </c>
      <c r="AG535">
        <f t="shared" si="248"/>
        <v>49</v>
      </c>
      <c r="AH535">
        <f t="shared" si="249"/>
        <v>36</v>
      </c>
      <c r="AI535">
        <f t="shared" si="250"/>
        <v>106</v>
      </c>
      <c r="AJ535">
        <f t="shared" si="251"/>
        <v>97</v>
      </c>
      <c r="AK535">
        <f t="shared" si="252"/>
        <v>65</v>
      </c>
      <c r="AL535">
        <f t="shared" si="253"/>
        <v>58</v>
      </c>
      <c r="AM535">
        <f t="shared" si="254"/>
        <v>45</v>
      </c>
      <c r="AN535">
        <f t="shared" si="255"/>
        <v>125</v>
      </c>
      <c r="AO535">
        <f t="shared" si="256"/>
        <v>114</v>
      </c>
      <c r="AP535">
        <f t="shared" si="257"/>
        <v>82</v>
      </c>
      <c r="AQ535">
        <f t="shared" si="258"/>
        <v>73</v>
      </c>
      <c r="AR535">
        <f t="shared" si="259"/>
        <v>60</v>
      </c>
      <c r="AS535">
        <f t="shared" si="260"/>
        <v>115</v>
      </c>
      <c r="AT535">
        <f t="shared" si="261"/>
        <v>105</v>
      </c>
      <c r="AU535">
        <f t="shared" si="262"/>
        <v>73</v>
      </c>
      <c r="AV535">
        <f t="shared" si="263"/>
        <v>65</v>
      </c>
      <c r="AW535">
        <f t="shared" si="264"/>
        <v>52</v>
      </c>
      <c r="AX535">
        <f t="shared" si="265"/>
        <v>95</v>
      </c>
      <c r="AY535">
        <f t="shared" si="266"/>
        <v>87</v>
      </c>
      <c r="AZ535">
        <f t="shared" si="267"/>
        <v>55</v>
      </c>
      <c r="BA535">
        <f t="shared" si="268"/>
        <v>49</v>
      </c>
      <c r="BB535">
        <f t="shared" si="269"/>
        <v>36</v>
      </c>
    </row>
    <row r="536" spans="1:54" x14ac:dyDescent="0.15">
      <c r="B536" t="s">
        <v>1938</v>
      </c>
      <c r="C536">
        <v>421</v>
      </c>
      <c r="D536">
        <v>0</v>
      </c>
      <c r="E536" t="s">
        <v>1939</v>
      </c>
      <c r="F536" t="s">
        <v>1940</v>
      </c>
      <c r="G536" t="s">
        <v>1939</v>
      </c>
      <c r="J536" t="s">
        <v>1941</v>
      </c>
      <c r="K536">
        <v>9.3000000000000007</v>
      </c>
      <c r="L536">
        <v>0.5</v>
      </c>
      <c r="M536" t="s">
        <v>26</v>
      </c>
      <c r="O536" t="s">
        <v>1942</v>
      </c>
      <c r="R536">
        <v>8</v>
      </c>
      <c r="S536">
        <v>70</v>
      </c>
      <c r="T536">
        <v>60</v>
      </c>
      <c r="U536">
        <v>70</v>
      </c>
      <c r="V536">
        <v>87</v>
      </c>
      <c r="W536">
        <v>78</v>
      </c>
      <c r="X536">
        <v>85</v>
      </c>
      <c r="Y536">
        <f t="shared" si="240"/>
        <v>177</v>
      </c>
      <c r="Z536">
        <f t="shared" si="241"/>
        <v>177</v>
      </c>
      <c r="AA536">
        <f t="shared" si="242"/>
        <v>145</v>
      </c>
      <c r="AB536">
        <f t="shared" si="243"/>
        <v>145</v>
      </c>
      <c r="AC536">
        <f t="shared" si="244"/>
        <v>130</v>
      </c>
      <c r="AD536">
        <f t="shared" si="245"/>
        <v>123</v>
      </c>
      <c r="AE536">
        <f t="shared" si="246"/>
        <v>112</v>
      </c>
      <c r="AF536">
        <f t="shared" si="247"/>
        <v>80</v>
      </c>
      <c r="AG536">
        <f t="shared" si="248"/>
        <v>72</v>
      </c>
      <c r="AH536">
        <f t="shared" si="249"/>
        <v>58</v>
      </c>
      <c r="AI536">
        <f t="shared" si="250"/>
        <v>134</v>
      </c>
      <c r="AJ536">
        <f t="shared" si="251"/>
        <v>122</v>
      </c>
      <c r="AK536">
        <f t="shared" si="252"/>
        <v>90</v>
      </c>
      <c r="AL536">
        <f t="shared" si="253"/>
        <v>81</v>
      </c>
      <c r="AM536">
        <f t="shared" si="254"/>
        <v>67</v>
      </c>
      <c r="AN536">
        <f t="shared" si="255"/>
        <v>152</v>
      </c>
      <c r="AO536">
        <f t="shared" si="256"/>
        <v>139</v>
      </c>
      <c r="AP536">
        <f t="shared" si="257"/>
        <v>107</v>
      </c>
      <c r="AQ536">
        <f t="shared" si="258"/>
        <v>96</v>
      </c>
      <c r="AR536">
        <f t="shared" si="259"/>
        <v>82</v>
      </c>
      <c r="AS536">
        <f t="shared" si="260"/>
        <v>143</v>
      </c>
      <c r="AT536">
        <f t="shared" si="261"/>
        <v>130</v>
      </c>
      <c r="AU536">
        <f t="shared" si="262"/>
        <v>98</v>
      </c>
      <c r="AV536">
        <f t="shared" si="263"/>
        <v>88</v>
      </c>
      <c r="AW536">
        <f t="shared" si="264"/>
        <v>74</v>
      </c>
      <c r="AX536">
        <f t="shared" si="265"/>
        <v>150</v>
      </c>
      <c r="AY536">
        <f t="shared" si="266"/>
        <v>137</v>
      </c>
      <c r="AZ536">
        <f t="shared" si="267"/>
        <v>105</v>
      </c>
      <c r="BA536">
        <f t="shared" si="268"/>
        <v>94</v>
      </c>
      <c r="BB536">
        <f t="shared" si="269"/>
        <v>81</v>
      </c>
    </row>
    <row r="537" spans="1:54" x14ac:dyDescent="0.15">
      <c r="A537">
        <v>347</v>
      </c>
      <c r="B537" t="s">
        <v>1943</v>
      </c>
      <c r="C537">
        <v>422</v>
      </c>
      <c r="D537">
        <v>0</v>
      </c>
      <c r="E537" t="s">
        <v>1944</v>
      </c>
      <c r="F537" t="s">
        <v>1945</v>
      </c>
      <c r="G537" t="s">
        <v>1944</v>
      </c>
      <c r="H537" t="s">
        <v>1946</v>
      </c>
      <c r="J537" t="s">
        <v>1947</v>
      </c>
      <c r="K537">
        <v>6.3</v>
      </c>
      <c r="L537">
        <v>0.3</v>
      </c>
      <c r="M537" t="s">
        <v>71</v>
      </c>
      <c r="O537" t="s">
        <v>522</v>
      </c>
      <c r="P537" t="s">
        <v>1614</v>
      </c>
      <c r="Q537" t="s">
        <v>306</v>
      </c>
      <c r="R537">
        <v>6</v>
      </c>
      <c r="S537">
        <v>76</v>
      </c>
      <c r="T537">
        <v>48</v>
      </c>
      <c r="U537">
        <v>48</v>
      </c>
      <c r="V537">
        <v>57</v>
      </c>
      <c r="W537">
        <v>62</v>
      </c>
      <c r="X537">
        <v>34</v>
      </c>
      <c r="Y537">
        <f t="shared" si="240"/>
        <v>183</v>
      </c>
      <c r="Z537">
        <f t="shared" si="241"/>
        <v>183</v>
      </c>
      <c r="AA537">
        <f t="shared" si="242"/>
        <v>151</v>
      </c>
      <c r="AB537">
        <f t="shared" si="243"/>
        <v>151</v>
      </c>
      <c r="AC537">
        <f t="shared" si="244"/>
        <v>136</v>
      </c>
      <c r="AD537">
        <f t="shared" si="245"/>
        <v>110</v>
      </c>
      <c r="AE537">
        <f t="shared" si="246"/>
        <v>100</v>
      </c>
      <c r="AF537">
        <f t="shared" si="247"/>
        <v>68</v>
      </c>
      <c r="AG537">
        <f t="shared" si="248"/>
        <v>61</v>
      </c>
      <c r="AH537">
        <f t="shared" si="249"/>
        <v>47</v>
      </c>
      <c r="AI537">
        <f t="shared" si="250"/>
        <v>110</v>
      </c>
      <c r="AJ537">
        <f t="shared" si="251"/>
        <v>100</v>
      </c>
      <c r="AK537">
        <f t="shared" si="252"/>
        <v>68</v>
      </c>
      <c r="AL537">
        <f t="shared" si="253"/>
        <v>61</v>
      </c>
      <c r="AM537">
        <f t="shared" si="254"/>
        <v>47</v>
      </c>
      <c r="AN537">
        <f t="shared" si="255"/>
        <v>119</v>
      </c>
      <c r="AO537">
        <f t="shared" si="256"/>
        <v>109</v>
      </c>
      <c r="AP537">
        <f t="shared" si="257"/>
        <v>77</v>
      </c>
      <c r="AQ537">
        <f t="shared" si="258"/>
        <v>69</v>
      </c>
      <c r="AR537">
        <f t="shared" si="259"/>
        <v>55</v>
      </c>
      <c r="AS537">
        <f t="shared" si="260"/>
        <v>125</v>
      </c>
      <c r="AT537">
        <f t="shared" si="261"/>
        <v>114</v>
      </c>
      <c r="AU537">
        <f t="shared" si="262"/>
        <v>82</v>
      </c>
      <c r="AV537">
        <f t="shared" si="263"/>
        <v>73</v>
      </c>
      <c r="AW537">
        <f t="shared" si="264"/>
        <v>60</v>
      </c>
      <c r="AX537">
        <f t="shared" si="265"/>
        <v>94</v>
      </c>
      <c r="AY537">
        <f t="shared" si="266"/>
        <v>86</v>
      </c>
      <c r="AZ537">
        <f t="shared" si="267"/>
        <v>54</v>
      </c>
      <c r="BA537">
        <f t="shared" si="268"/>
        <v>48</v>
      </c>
      <c r="BB537">
        <f t="shared" si="269"/>
        <v>35</v>
      </c>
    </row>
    <row r="538" spans="1:54" x14ac:dyDescent="0.15">
      <c r="A538">
        <v>348</v>
      </c>
      <c r="B538" t="s">
        <v>1943</v>
      </c>
      <c r="C538">
        <v>422</v>
      </c>
      <c r="D538">
        <v>1</v>
      </c>
      <c r="E538" t="s">
        <v>1944</v>
      </c>
      <c r="F538" t="s">
        <v>1948</v>
      </c>
      <c r="G538" t="s">
        <v>1944</v>
      </c>
      <c r="H538" t="s">
        <v>1949</v>
      </c>
      <c r="J538" t="s">
        <v>1947</v>
      </c>
      <c r="K538">
        <v>6.3</v>
      </c>
      <c r="L538">
        <v>0.3</v>
      </c>
      <c r="M538" t="s">
        <v>71</v>
      </c>
      <c r="O538" t="s">
        <v>522</v>
      </c>
      <c r="P538" t="s">
        <v>1614</v>
      </c>
      <c r="Q538" t="s">
        <v>306</v>
      </c>
      <c r="R538">
        <v>6</v>
      </c>
      <c r="S538">
        <v>76</v>
      </c>
      <c r="T538">
        <v>48</v>
      </c>
      <c r="U538">
        <v>48</v>
      </c>
      <c r="V538">
        <v>57</v>
      </c>
      <c r="W538">
        <v>62</v>
      </c>
      <c r="X538">
        <v>34</v>
      </c>
      <c r="Y538">
        <f t="shared" si="240"/>
        <v>183</v>
      </c>
      <c r="Z538">
        <f t="shared" si="241"/>
        <v>183</v>
      </c>
      <c r="AA538">
        <f t="shared" si="242"/>
        <v>151</v>
      </c>
      <c r="AB538">
        <f t="shared" si="243"/>
        <v>151</v>
      </c>
      <c r="AC538">
        <f t="shared" si="244"/>
        <v>136</v>
      </c>
      <c r="AD538">
        <f t="shared" si="245"/>
        <v>110</v>
      </c>
      <c r="AE538">
        <f t="shared" si="246"/>
        <v>100</v>
      </c>
      <c r="AF538">
        <f t="shared" si="247"/>
        <v>68</v>
      </c>
      <c r="AG538">
        <f t="shared" si="248"/>
        <v>61</v>
      </c>
      <c r="AH538">
        <f t="shared" si="249"/>
        <v>47</v>
      </c>
      <c r="AI538">
        <f t="shared" si="250"/>
        <v>110</v>
      </c>
      <c r="AJ538">
        <f t="shared" si="251"/>
        <v>100</v>
      </c>
      <c r="AK538">
        <f t="shared" si="252"/>
        <v>68</v>
      </c>
      <c r="AL538">
        <f t="shared" si="253"/>
        <v>61</v>
      </c>
      <c r="AM538">
        <f t="shared" si="254"/>
        <v>47</v>
      </c>
      <c r="AN538">
        <f t="shared" si="255"/>
        <v>119</v>
      </c>
      <c r="AO538">
        <f t="shared" si="256"/>
        <v>109</v>
      </c>
      <c r="AP538">
        <f t="shared" si="257"/>
        <v>77</v>
      </c>
      <c r="AQ538">
        <f t="shared" si="258"/>
        <v>69</v>
      </c>
      <c r="AR538">
        <f t="shared" si="259"/>
        <v>55</v>
      </c>
      <c r="AS538">
        <f t="shared" si="260"/>
        <v>125</v>
      </c>
      <c r="AT538">
        <f t="shared" si="261"/>
        <v>114</v>
      </c>
      <c r="AU538">
        <f t="shared" si="262"/>
        <v>82</v>
      </c>
      <c r="AV538">
        <f t="shared" si="263"/>
        <v>73</v>
      </c>
      <c r="AW538">
        <f t="shared" si="264"/>
        <v>60</v>
      </c>
      <c r="AX538">
        <f t="shared" si="265"/>
        <v>94</v>
      </c>
      <c r="AY538">
        <f t="shared" si="266"/>
        <v>86</v>
      </c>
      <c r="AZ538">
        <f t="shared" si="267"/>
        <v>54</v>
      </c>
      <c r="BA538">
        <f t="shared" si="268"/>
        <v>48</v>
      </c>
      <c r="BB538">
        <f t="shared" si="269"/>
        <v>35</v>
      </c>
    </row>
    <row r="539" spans="1:54" x14ac:dyDescent="0.15">
      <c r="A539">
        <v>349</v>
      </c>
      <c r="B539" t="s">
        <v>1950</v>
      </c>
      <c r="C539">
        <v>423</v>
      </c>
      <c r="D539">
        <v>0</v>
      </c>
      <c r="E539" t="s">
        <v>1951</v>
      </c>
      <c r="F539" t="s">
        <v>1945</v>
      </c>
      <c r="G539" t="s">
        <v>1951</v>
      </c>
      <c r="H539" t="s">
        <v>1952</v>
      </c>
      <c r="J539" t="s">
        <v>1947</v>
      </c>
      <c r="K539">
        <v>29.9</v>
      </c>
      <c r="L539">
        <v>0.9</v>
      </c>
      <c r="M539" t="s">
        <v>71</v>
      </c>
      <c r="N539" t="s">
        <v>196</v>
      </c>
      <c r="O539" t="s">
        <v>522</v>
      </c>
      <c r="P539" t="s">
        <v>1614</v>
      </c>
      <c r="Q539" t="s">
        <v>306</v>
      </c>
      <c r="R539">
        <v>6</v>
      </c>
      <c r="S539">
        <v>111</v>
      </c>
      <c r="T539">
        <v>83</v>
      </c>
      <c r="U539">
        <v>68</v>
      </c>
      <c r="V539">
        <v>92</v>
      </c>
      <c r="W539">
        <v>82</v>
      </c>
      <c r="X539">
        <v>39</v>
      </c>
      <c r="Y539">
        <f t="shared" si="240"/>
        <v>218</v>
      </c>
      <c r="Z539">
        <f t="shared" si="241"/>
        <v>218</v>
      </c>
      <c r="AA539">
        <f t="shared" si="242"/>
        <v>186</v>
      </c>
      <c r="AB539">
        <f t="shared" si="243"/>
        <v>186</v>
      </c>
      <c r="AC539">
        <f t="shared" si="244"/>
        <v>171</v>
      </c>
      <c r="AD539">
        <f t="shared" si="245"/>
        <v>148</v>
      </c>
      <c r="AE539">
        <f t="shared" si="246"/>
        <v>135</v>
      </c>
      <c r="AF539">
        <f t="shared" si="247"/>
        <v>103</v>
      </c>
      <c r="AG539">
        <f t="shared" si="248"/>
        <v>92</v>
      </c>
      <c r="AH539">
        <f t="shared" si="249"/>
        <v>79</v>
      </c>
      <c r="AI539">
        <f t="shared" si="250"/>
        <v>132</v>
      </c>
      <c r="AJ539">
        <f t="shared" si="251"/>
        <v>120</v>
      </c>
      <c r="AK539">
        <f t="shared" si="252"/>
        <v>88</v>
      </c>
      <c r="AL539">
        <f t="shared" si="253"/>
        <v>79</v>
      </c>
      <c r="AM539">
        <f t="shared" si="254"/>
        <v>65</v>
      </c>
      <c r="AN539">
        <f t="shared" si="255"/>
        <v>158</v>
      </c>
      <c r="AO539">
        <f t="shared" si="256"/>
        <v>144</v>
      </c>
      <c r="AP539">
        <f t="shared" si="257"/>
        <v>112</v>
      </c>
      <c r="AQ539">
        <f t="shared" si="258"/>
        <v>100</v>
      </c>
      <c r="AR539">
        <f t="shared" si="259"/>
        <v>87</v>
      </c>
      <c r="AS539">
        <f t="shared" si="260"/>
        <v>147</v>
      </c>
      <c r="AT539">
        <f t="shared" si="261"/>
        <v>134</v>
      </c>
      <c r="AU539">
        <f t="shared" si="262"/>
        <v>102</v>
      </c>
      <c r="AV539">
        <f t="shared" si="263"/>
        <v>91</v>
      </c>
      <c r="AW539">
        <f t="shared" si="264"/>
        <v>78</v>
      </c>
      <c r="AX539">
        <f t="shared" si="265"/>
        <v>100</v>
      </c>
      <c r="AY539">
        <f t="shared" si="266"/>
        <v>91</v>
      </c>
      <c r="AZ539">
        <f t="shared" si="267"/>
        <v>59</v>
      </c>
      <c r="BA539">
        <f t="shared" si="268"/>
        <v>53</v>
      </c>
      <c r="BB539">
        <f t="shared" si="269"/>
        <v>39</v>
      </c>
    </row>
    <row r="540" spans="1:54" x14ac:dyDescent="0.15">
      <c r="A540">
        <v>350</v>
      </c>
      <c r="B540" t="s">
        <v>1950</v>
      </c>
      <c r="C540">
        <v>423</v>
      </c>
      <c r="D540">
        <v>1</v>
      </c>
      <c r="E540" t="s">
        <v>1951</v>
      </c>
      <c r="F540" t="s">
        <v>1948</v>
      </c>
      <c r="G540" t="s">
        <v>1951</v>
      </c>
      <c r="H540" t="s">
        <v>1953</v>
      </c>
      <c r="J540" t="s">
        <v>1947</v>
      </c>
      <c r="K540">
        <v>29.9</v>
      </c>
      <c r="L540">
        <v>0.9</v>
      </c>
      <c r="M540" t="s">
        <v>71</v>
      </c>
      <c r="N540" t="s">
        <v>196</v>
      </c>
      <c r="O540" t="s">
        <v>522</v>
      </c>
      <c r="P540" t="s">
        <v>1614</v>
      </c>
      <c r="Q540" t="s">
        <v>306</v>
      </c>
      <c r="R540">
        <v>6</v>
      </c>
      <c r="S540">
        <v>111</v>
      </c>
      <c r="T540">
        <v>83</v>
      </c>
      <c r="U540">
        <v>68</v>
      </c>
      <c r="V540">
        <v>92</v>
      </c>
      <c r="W540">
        <v>82</v>
      </c>
      <c r="X540">
        <v>39</v>
      </c>
      <c r="Y540">
        <f t="shared" si="240"/>
        <v>218</v>
      </c>
      <c r="Z540">
        <f t="shared" si="241"/>
        <v>218</v>
      </c>
      <c r="AA540">
        <f t="shared" si="242"/>
        <v>186</v>
      </c>
      <c r="AB540">
        <f t="shared" si="243"/>
        <v>186</v>
      </c>
      <c r="AC540">
        <f t="shared" si="244"/>
        <v>171</v>
      </c>
      <c r="AD540">
        <f t="shared" si="245"/>
        <v>148</v>
      </c>
      <c r="AE540">
        <f t="shared" si="246"/>
        <v>135</v>
      </c>
      <c r="AF540">
        <f t="shared" si="247"/>
        <v>103</v>
      </c>
      <c r="AG540">
        <f t="shared" si="248"/>
        <v>92</v>
      </c>
      <c r="AH540">
        <f t="shared" si="249"/>
        <v>79</v>
      </c>
      <c r="AI540">
        <f t="shared" si="250"/>
        <v>132</v>
      </c>
      <c r="AJ540">
        <f t="shared" si="251"/>
        <v>120</v>
      </c>
      <c r="AK540">
        <f t="shared" si="252"/>
        <v>88</v>
      </c>
      <c r="AL540">
        <f t="shared" si="253"/>
        <v>79</v>
      </c>
      <c r="AM540">
        <f t="shared" si="254"/>
        <v>65</v>
      </c>
      <c r="AN540">
        <f t="shared" si="255"/>
        <v>158</v>
      </c>
      <c r="AO540">
        <f t="shared" si="256"/>
        <v>144</v>
      </c>
      <c r="AP540">
        <f t="shared" si="257"/>
        <v>112</v>
      </c>
      <c r="AQ540">
        <f t="shared" si="258"/>
        <v>100</v>
      </c>
      <c r="AR540">
        <f t="shared" si="259"/>
        <v>87</v>
      </c>
      <c r="AS540">
        <f t="shared" si="260"/>
        <v>147</v>
      </c>
      <c r="AT540">
        <f t="shared" si="261"/>
        <v>134</v>
      </c>
      <c r="AU540">
        <f t="shared" si="262"/>
        <v>102</v>
      </c>
      <c r="AV540">
        <f t="shared" si="263"/>
        <v>91</v>
      </c>
      <c r="AW540">
        <f t="shared" si="264"/>
        <v>78</v>
      </c>
      <c r="AX540">
        <f t="shared" si="265"/>
        <v>100</v>
      </c>
      <c r="AY540">
        <f t="shared" si="266"/>
        <v>91</v>
      </c>
      <c r="AZ540">
        <f t="shared" si="267"/>
        <v>59</v>
      </c>
      <c r="BA540">
        <f t="shared" si="268"/>
        <v>53</v>
      </c>
      <c r="BB540">
        <f t="shared" si="269"/>
        <v>39</v>
      </c>
    </row>
    <row r="541" spans="1:54" x14ac:dyDescent="0.15">
      <c r="A541">
        <v>351</v>
      </c>
      <c r="B541" t="s">
        <v>1954</v>
      </c>
      <c r="C541">
        <v>424</v>
      </c>
      <c r="D541">
        <v>0</v>
      </c>
      <c r="E541" t="s">
        <v>1955</v>
      </c>
      <c r="G541" t="s">
        <v>1955</v>
      </c>
      <c r="H541" t="s">
        <v>1956</v>
      </c>
      <c r="J541" t="s">
        <v>992</v>
      </c>
      <c r="K541">
        <v>20.3</v>
      </c>
      <c r="L541">
        <v>1.2</v>
      </c>
      <c r="M541" t="s">
        <v>120</v>
      </c>
      <c r="O541" t="s">
        <v>322</v>
      </c>
      <c r="P541" t="s">
        <v>321</v>
      </c>
      <c r="Q541" t="s">
        <v>537</v>
      </c>
      <c r="R541">
        <v>9</v>
      </c>
      <c r="S541">
        <v>75</v>
      </c>
      <c r="T541">
        <v>100</v>
      </c>
      <c r="U541">
        <v>66</v>
      </c>
      <c r="V541">
        <v>60</v>
      </c>
      <c r="W541">
        <v>66</v>
      </c>
      <c r="X541">
        <v>115</v>
      </c>
      <c r="Y541">
        <f t="shared" si="240"/>
        <v>182</v>
      </c>
      <c r="Z541">
        <f t="shared" si="241"/>
        <v>182</v>
      </c>
      <c r="AA541">
        <f t="shared" si="242"/>
        <v>150</v>
      </c>
      <c r="AB541">
        <f t="shared" si="243"/>
        <v>150</v>
      </c>
      <c r="AC541">
        <f t="shared" si="244"/>
        <v>135</v>
      </c>
      <c r="AD541">
        <f t="shared" si="245"/>
        <v>167</v>
      </c>
      <c r="AE541">
        <f t="shared" si="246"/>
        <v>152</v>
      </c>
      <c r="AF541">
        <f t="shared" si="247"/>
        <v>120</v>
      </c>
      <c r="AG541">
        <f t="shared" si="248"/>
        <v>108</v>
      </c>
      <c r="AH541">
        <f t="shared" si="249"/>
        <v>94</v>
      </c>
      <c r="AI541">
        <f t="shared" si="250"/>
        <v>129</v>
      </c>
      <c r="AJ541">
        <f t="shared" si="251"/>
        <v>118</v>
      </c>
      <c r="AK541">
        <f t="shared" si="252"/>
        <v>86</v>
      </c>
      <c r="AL541">
        <f t="shared" si="253"/>
        <v>77</v>
      </c>
      <c r="AM541">
        <f t="shared" si="254"/>
        <v>63</v>
      </c>
      <c r="AN541">
        <f t="shared" si="255"/>
        <v>123</v>
      </c>
      <c r="AO541">
        <f t="shared" si="256"/>
        <v>112</v>
      </c>
      <c r="AP541">
        <f t="shared" si="257"/>
        <v>80</v>
      </c>
      <c r="AQ541">
        <f t="shared" si="258"/>
        <v>72</v>
      </c>
      <c r="AR541">
        <f t="shared" si="259"/>
        <v>58</v>
      </c>
      <c r="AS541">
        <f t="shared" si="260"/>
        <v>129</v>
      </c>
      <c r="AT541">
        <f t="shared" si="261"/>
        <v>118</v>
      </c>
      <c r="AU541">
        <f t="shared" si="262"/>
        <v>86</v>
      </c>
      <c r="AV541">
        <f t="shared" si="263"/>
        <v>77</v>
      </c>
      <c r="AW541">
        <f t="shared" si="264"/>
        <v>63</v>
      </c>
      <c r="AX541">
        <f t="shared" si="265"/>
        <v>183</v>
      </c>
      <c r="AY541">
        <f t="shared" si="266"/>
        <v>167</v>
      </c>
      <c r="AZ541">
        <f t="shared" si="267"/>
        <v>135</v>
      </c>
      <c r="BA541">
        <f t="shared" si="268"/>
        <v>121</v>
      </c>
      <c r="BB541">
        <f t="shared" si="269"/>
        <v>108</v>
      </c>
    </row>
    <row r="542" spans="1:54" x14ac:dyDescent="0.15">
      <c r="A542">
        <v>353</v>
      </c>
      <c r="B542" t="s">
        <v>1957</v>
      </c>
      <c r="C542">
        <v>425</v>
      </c>
      <c r="D542">
        <v>0</v>
      </c>
      <c r="E542" t="s">
        <v>1958</v>
      </c>
      <c r="G542" t="s">
        <v>1958</v>
      </c>
      <c r="H542" t="s">
        <v>1959</v>
      </c>
      <c r="J542" t="s">
        <v>259</v>
      </c>
      <c r="K542">
        <v>1.2</v>
      </c>
      <c r="L542">
        <v>0.4</v>
      </c>
      <c r="M542" t="s">
        <v>546</v>
      </c>
      <c r="N542" t="s">
        <v>57</v>
      </c>
      <c r="O542" t="s">
        <v>587</v>
      </c>
      <c r="P542" t="s">
        <v>624</v>
      </c>
      <c r="Q542" t="s">
        <v>1960</v>
      </c>
      <c r="R542">
        <v>9</v>
      </c>
      <c r="S542">
        <v>90</v>
      </c>
      <c r="T542">
        <v>50</v>
      </c>
      <c r="U542">
        <v>34</v>
      </c>
      <c r="V542">
        <v>60</v>
      </c>
      <c r="W542">
        <v>44</v>
      </c>
      <c r="X542">
        <v>70</v>
      </c>
      <c r="Y542">
        <f t="shared" si="240"/>
        <v>197</v>
      </c>
      <c r="Z542">
        <f t="shared" si="241"/>
        <v>197</v>
      </c>
      <c r="AA542">
        <f t="shared" si="242"/>
        <v>165</v>
      </c>
      <c r="AB542">
        <f t="shared" si="243"/>
        <v>165</v>
      </c>
      <c r="AC542">
        <f t="shared" si="244"/>
        <v>150</v>
      </c>
      <c r="AD542">
        <f t="shared" si="245"/>
        <v>112</v>
      </c>
      <c r="AE542">
        <f t="shared" si="246"/>
        <v>102</v>
      </c>
      <c r="AF542">
        <f t="shared" si="247"/>
        <v>70</v>
      </c>
      <c r="AG542">
        <f t="shared" si="248"/>
        <v>63</v>
      </c>
      <c r="AH542">
        <f t="shared" si="249"/>
        <v>49</v>
      </c>
      <c r="AI542">
        <f t="shared" si="250"/>
        <v>94</v>
      </c>
      <c r="AJ542">
        <f t="shared" si="251"/>
        <v>86</v>
      </c>
      <c r="AK542">
        <f t="shared" si="252"/>
        <v>54</v>
      </c>
      <c r="AL542">
        <f t="shared" si="253"/>
        <v>48</v>
      </c>
      <c r="AM542">
        <f t="shared" si="254"/>
        <v>35</v>
      </c>
      <c r="AN542">
        <f t="shared" si="255"/>
        <v>123</v>
      </c>
      <c r="AO542">
        <f t="shared" si="256"/>
        <v>112</v>
      </c>
      <c r="AP542">
        <f t="shared" si="257"/>
        <v>80</v>
      </c>
      <c r="AQ542">
        <f t="shared" si="258"/>
        <v>72</v>
      </c>
      <c r="AR542">
        <f t="shared" si="259"/>
        <v>58</v>
      </c>
      <c r="AS542">
        <f t="shared" si="260"/>
        <v>105</v>
      </c>
      <c r="AT542">
        <f t="shared" si="261"/>
        <v>96</v>
      </c>
      <c r="AU542">
        <f t="shared" si="262"/>
        <v>64</v>
      </c>
      <c r="AV542">
        <f t="shared" si="263"/>
        <v>57</v>
      </c>
      <c r="AW542">
        <f t="shared" si="264"/>
        <v>44</v>
      </c>
      <c r="AX542">
        <f t="shared" si="265"/>
        <v>134</v>
      </c>
      <c r="AY542">
        <f t="shared" si="266"/>
        <v>122</v>
      </c>
      <c r="AZ542">
        <f t="shared" si="267"/>
        <v>90</v>
      </c>
      <c r="BA542">
        <f t="shared" si="268"/>
        <v>81</v>
      </c>
      <c r="BB542">
        <f t="shared" si="269"/>
        <v>67</v>
      </c>
    </row>
    <row r="543" spans="1:54" x14ac:dyDescent="0.15">
      <c r="A543">
        <v>354</v>
      </c>
      <c r="B543" t="s">
        <v>1961</v>
      </c>
      <c r="C543">
        <v>426</v>
      </c>
      <c r="D543">
        <v>0</v>
      </c>
      <c r="E543" t="s">
        <v>1962</v>
      </c>
      <c r="G543" t="s">
        <v>1962</v>
      </c>
      <c r="H543" t="s">
        <v>1963</v>
      </c>
      <c r="J543" t="s">
        <v>1964</v>
      </c>
      <c r="K543">
        <v>15</v>
      </c>
      <c r="L543">
        <v>1.2</v>
      </c>
      <c r="M543" t="s">
        <v>546</v>
      </c>
      <c r="N543" t="s">
        <v>57</v>
      </c>
      <c r="O543" t="s">
        <v>587</v>
      </c>
      <c r="P543" t="s">
        <v>624</v>
      </c>
      <c r="Q543" t="s">
        <v>1960</v>
      </c>
      <c r="R543">
        <v>9</v>
      </c>
      <c r="S543">
        <v>150</v>
      </c>
      <c r="T543">
        <v>80</v>
      </c>
      <c r="U543">
        <v>44</v>
      </c>
      <c r="V543">
        <v>90</v>
      </c>
      <c r="W543">
        <v>54</v>
      </c>
      <c r="X543">
        <v>80</v>
      </c>
      <c r="Y543">
        <f t="shared" si="240"/>
        <v>257</v>
      </c>
      <c r="Z543">
        <f t="shared" si="241"/>
        <v>257</v>
      </c>
      <c r="AA543">
        <f t="shared" si="242"/>
        <v>225</v>
      </c>
      <c r="AB543">
        <f t="shared" si="243"/>
        <v>225</v>
      </c>
      <c r="AC543">
        <f t="shared" si="244"/>
        <v>210</v>
      </c>
      <c r="AD543">
        <f t="shared" si="245"/>
        <v>145</v>
      </c>
      <c r="AE543">
        <f t="shared" si="246"/>
        <v>132</v>
      </c>
      <c r="AF543">
        <f t="shared" si="247"/>
        <v>100</v>
      </c>
      <c r="AG543">
        <f t="shared" si="248"/>
        <v>90</v>
      </c>
      <c r="AH543">
        <f t="shared" si="249"/>
        <v>76</v>
      </c>
      <c r="AI543">
        <f t="shared" si="250"/>
        <v>105</v>
      </c>
      <c r="AJ543">
        <f t="shared" si="251"/>
        <v>96</v>
      </c>
      <c r="AK543">
        <f t="shared" si="252"/>
        <v>64</v>
      </c>
      <c r="AL543">
        <f t="shared" si="253"/>
        <v>57</v>
      </c>
      <c r="AM543">
        <f t="shared" si="254"/>
        <v>44</v>
      </c>
      <c r="AN543">
        <f t="shared" si="255"/>
        <v>156</v>
      </c>
      <c r="AO543">
        <f t="shared" si="256"/>
        <v>142</v>
      </c>
      <c r="AP543">
        <f t="shared" si="257"/>
        <v>110</v>
      </c>
      <c r="AQ543">
        <f t="shared" si="258"/>
        <v>99</v>
      </c>
      <c r="AR543">
        <f t="shared" si="259"/>
        <v>85</v>
      </c>
      <c r="AS543">
        <f t="shared" si="260"/>
        <v>116</v>
      </c>
      <c r="AT543">
        <f t="shared" si="261"/>
        <v>106</v>
      </c>
      <c r="AU543">
        <f t="shared" si="262"/>
        <v>74</v>
      </c>
      <c r="AV543">
        <f t="shared" si="263"/>
        <v>66</v>
      </c>
      <c r="AW543">
        <f t="shared" si="264"/>
        <v>53</v>
      </c>
      <c r="AX543">
        <f t="shared" si="265"/>
        <v>145</v>
      </c>
      <c r="AY543">
        <f t="shared" si="266"/>
        <v>132</v>
      </c>
      <c r="AZ543">
        <f t="shared" si="267"/>
        <v>100</v>
      </c>
      <c r="BA543">
        <f t="shared" si="268"/>
        <v>90</v>
      </c>
      <c r="BB543">
        <f t="shared" si="269"/>
        <v>76</v>
      </c>
    </row>
    <row r="544" spans="1:54" x14ac:dyDescent="0.15">
      <c r="B544" t="s">
        <v>1965</v>
      </c>
      <c r="C544">
        <v>427</v>
      </c>
      <c r="D544">
        <v>0</v>
      </c>
      <c r="E544" t="s">
        <v>1966</v>
      </c>
      <c r="G544" t="s">
        <v>1966</v>
      </c>
      <c r="J544" t="s">
        <v>1967</v>
      </c>
      <c r="K544">
        <v>5.5</v>
      </c>
      <c r="L544">
        <v>0.4</v>
      </c>
      <c r="M544" t="s">
        <v>120</v>
      </c>
      <c r="O544" t="s">
        <v>92</v>
      </c>
      <c r="P544" t="s">
        <v>1968</v>
      </c>
      <c r="Q544" t="s">
        <v>336</v>
      </c>
      <c r="R544">
        <v>8</v>
      </c>
      <c r="S544">
        <v>55</v>
      </c>
      <c r="T544">
        <v>66</v>
      </c>
      <c r="U544">
        <v>44</v>
      </c>
      <c r="V544">
        <v>44</v>
      </c>
      <c r="W544">
        <v>56</v>
      </c>
      <c r="X544">
        <v>85</v>
      </c>
      <c r="Y544">
        <f t="shared" si="240"/>
        <v>162</v>
      </c>
      <c r="Z544">
        <f t="shared" si="241"/>
        <v>162</v>
      </c>
      <c r="AA544">
        <f t="shared" si="242"/>
        <v>130</v>
      </c>
      <c r="AB544">
        <f t="shared" si="243"/>
        <v>130</v>
      </c>
      <c r="AC544">
        <f t="shared" si="244"/>
        <v>115</v>
      </c>
      <c r="AD544">
        <f t="shared" si="245"/>
        <v>129</v>
      </c>
      <c r="AE544">
        <f t="shared" si="246"/>
        <v>118</v>
      </c>
      <c r="AF544">
        <f t="shared" si="247"/>
        <v>86</v>
      </c>
      <c r="AG544">
        <f t="shared" si="248"/>
        <v>77</v>
      </c>
      <c r="AH544">
        <f t="shared" si="249"/>
        <v>63</v>
      </c>
      <c r="AI544">
        <f t="shared" si="250"/>
        <v>105</v>
      </c>
      <c r="AJ544">
        <f t="shared" si="251"/>
        <v>96</v>
      </c>
      <c r="AK544">
        <f t="shared" si="252"/>
        <v>64</v>
      </c>
      <c r="AL544">
        <f t="shared" si="253"/>
        <v>57</v>
      </c>
      <c r="AM544">
        <f t="shared" si="254"/>
        <v>44</v>
      </c>
      <c r="AN544">
        <f t="shared" si="255"/>
        <v>105</v>
      </c>
      <c r="AO544">
        <f t="shared" si="256"/>
        <v>96</v>
      </c>
      <c r="AP544">
        <f t="shared" si="257"/>
        <v>64</v>
      </c>
      <c r="AQ544">
        <f t="shared" si="258"/>
        <v>57</v>
      </c>
      <c r="AR544">
        <f t="shared" si="259"/>
        <v>44</v>
      </c>
      <c r="AS544">
        <f t="shared" si="260"/>
        <v>118</v>
      </c>
      <c r="AT544">
        <f t="shared" si="261"/>
        <v>108</v>
      </c>
      <c r="AU544">
        <f t="shared" si="262"/>
        <v>76</v>
      </c>
      <c r="AV544">
        <f t="shared" si="263"/>
        <v>68</v>
      </c>
      <c r="AW544">
        <f t="shared" si="264"/>
        <v>54</v>
      </c>
      <c r="AX544">
        <f t="shared" si="265"/>
        <v>150</v>
      </c>
      <c r="AY544">
        <f t="shared" si="266"/>
        <v>137</v>
      </c>
      <c r="AZ544">
        <f t="shared" si="267"/>
        <v>105</v>
      </c>
      <c r="BA544">
        <f t="shared" si="268"/>
        <v>94</v>
      </c>
      <c r="BB544">
        <f t="shared" si="269"/>
        <v>81</v>
      </c>
    </row>
    <row r="545" spans="1:54" x14ac:dyDescent="0.15">
      <c r="B545" t="s">
        <v>1969</v>
      </c>
      <c r="C545">
        <v>428</v>
      </c>
      <c r="D545">
        <v>0</v>
      </c>
      <c r="E545" t="s">
        <v>1970</v>
      </c>
      <c r="G545" t="s">
        <v>1970</v>
      </c>
      <c r="J545" t="s">
        <v>1967</v>
      </c>
      <c r="K545">
        <v>33.299999999999997</v>
      </c>
      <c r="L545">
        <v>1.2</v>
      </c>
      <c r="M545" t="s">
        <v>120</v>
      </c>
      <c r="O545" t="s">
        <v>234</v>
      </c>
      <c r="P545" t="s">
        <v>1968</v>
      </c>
      <c r="Q545" t="s">
        <v>336</v>
      </c>
      <c r="R545">
        <v>8</v>
      </c>
      <c r="S545">
        <v>65</v>
      </c>
      <c r="T545">
        <v>76</v>
      </c>
      <c r="U545">
        <v>84</v>
      </c>
      <c r="V545">
        <v>54</v>
      </c>
      <c r="W545">
        <v>96</v>
      </c>
      <c r="X545">
        <v>105</v>
      </c>
      <c r="Y545">
        <f t="shared" si="240"/>
        <v>172</v>
      </c>
      <c r="Z545">
        <f t="shared" si="241"/>
        <v>172</v>
      </c>
      <c r="AA545">
        <f t="shared" si="242"/>
        <v>140</v>
      </c>
      <c r="AB545">
        <f t="shared" si="243"/>
        <v>140</v>
      </c>
      <c r="AC545">
        <f t="shared" si="244"/>
        <v>125</v>
      </c>
      <c r="AD545">
        <f t="shared" si="245"/>
        <v>140</v>
      </c>
      <c r="AE545">
        <f t="shared" si="246"/>
        <v>128</v>
      </c>
      <c r="AF545">
        <f t="shared" si="247"/>
        <v>96</v>
      </c>
      <c r="AG545">
        <f t="shared" si="248"/>
        <v>86</v>
      </c>
      <c r="AH545">
        <f t="shared" si="249"/>
        <v>72</v>
      </c>
      <c r="AI545">
        <f t="shared" si="250"/>
        <v>149</v>
      </c>
      <c r="AJ545">
        <f t="shared" si="251"/>
        <v>136</v>
      </c>
      <c r="AK545">
        <f t="shared" si="252"/>
        <v>104</v>
      </c>
      <c r="AL545">
        <f t="shared" si="253"/>
        <v>93</v>
      </c>
      <c r="AM545">
        <f t="shared" si="254"/>
        <v>80</v>
      </c>
      <c r="AN545">
        <f t="shared" si="255"/>
        <v>116</v>
      </c>
      <c r="AO545">
        <f t="shared" si="256"/>
        <v>106</v>
      </c>
      <c r="AP545">
        <f t="shared" si="257"/>
        <v>74</v>
      </c>
      <c r="AQ545">
        <f t="shared" si="258"/>
        <v>66</v>
      </c>
      <c r="AR545">
        <f t="shared" si="259"/>
        <v>53</v>
      </c>
      <c r="AS545">
        <f t="shared" si="260"/>
        <v>162</v>
      </c>
      <c r="AT545">
        <f t="shared" si="261"/>
        <v>148</v>
      </c>
      <c r="AU545">
        <f t="shared" si="262"/>
        <v>116</v>
      </c>
      <c r="AV545">
        <f t="shared" si="263"/>
        <v>104</v>
      </c>
      <c r="AW545">
        <f t="shared" si="264"/>
        <v>90</v>
      </c>
      <c r="AX545">
        <f t="shared" si="265"/>
        <v>172</v>
      </c>
      <c r="AY545">
        <f t="shared" si="266"/>
        <v>157</v>
      </c>
      <c r="AZ545">
        <f t="shared" si="267"/>
        <v>125</v>
      </c>
      <c r="BA545">
        <f t="shared" si="268"/>
        <v>112</v>
      </c>
      <c r="BB545">
        <f t="shared" si="269"/>
        <v>99</v>
      </c>
    </row>
    <row r="546" spans="1:54" x14ac:dyDescent="0.15">
      <c r="B546" t="s">
        <v>1971</v>
      </c>
      <c r="C546">
        <v>428</v>
      </c>
      <c r="D546">
        <v>1</v>
      </c>
      <c r="E546" t="s">
        <v>1970</v>
      </c>
      <c r="F546" t="s">
        <v>1972</v>
      </c>
      <c r="G546" t="s">
        <v>1972</v>
      </c>
      <c r="J546" t="s">
        <v>1967</v>
      </c>
      <c r="K546">
        <v>28.3</v>
      </c>
      <c r="L546">
        <v>1.3</v>
      </c>
      <c r="M546" t="s">
        <v>120</v>
      </c>
      <c r="N546" t="s">
        <v>354</v>
      </c>
      <c r="O546" t="s">
        <v>499</v>
      </c>
      <c r="P546" t="s">
        <v>336</v>
      </c>
      <c r="R546">
        <v>7</v>
      </c>
      <c r="S546">
        <v>65</v>
      </c>
      <c r="T546">
        <v>76</v>
      </c>
      <c r="U546">
        <v>84</v>
      </c>
      <c r="V546">
        <v>54</v>
      </c>
      <c r="W546">
        <v>96</v>
      </c>
      <c r="X546">
        <v>105</v>
      </c>
      <c r="Y546">
        <f t="shared" si="240"/>
        <v>172</v>
      </c>
      <c r="Z546">
        <f t="shared" si="241"/>
        <v>172</v>
      </c>
      <c r="AA546">
        <f t="shared" si="242"/>
        <v>140</v>
      </c>
      <c r="AB546">
        <f t="shared" si="243"/>
        <v>140</v>
      </c>
      <c r="AC546">
        <f t="shared" si="244"/>
        <v>125</v>
      </c>
      <c r="AD546">
        <f t="shared" si="245"/>
        <v>140</v>
      </c>
      <c r="AE546">
        <f t="shared" si="246"/>
        <v>128</v>
      </c>
      <c r="AF546">
        <f t="shared" si="247"/>
        <v>96</v>
      </c>
      <c r="AG546">
        <f t="shared" si="248"/>
        <v>86</v>
      </c>
      <c r="AH546">
        <f t="shared" si="249"/>
        <v>72</v>
      </c>
      <c r="AI546">
        <f t="shared" si="250"/>
        <v>149</v>
      </c>
      <c r="AJ546">
        <f t="shared" si="251"/>
        <v>136</v>
      </c>
      <c r="AK546">
        <f t="shared" si="252"/>
        <v>104</v>
      </c>
      <c r="AL546">
        <f t="shared" si="253"/>
        <v>93</v>
      </c>
      <c r="AM546">
        <f t="shared" si="254"/>
        <v>80</v>
      </c>
      <c r="AN546">
        <f t="shared" si="255"/>
        <v>116</v>
      </c>
      <c r="AO546">
        <f t="shared" si="256"/>
        <v>106</v>
      </c>
      <c r="AP546">
        <f t="shared" si="257"/>
        <v>74</v>
      </c>
      <c r="AQ546">
        <f t="shared" si="258"/>
        <v>66</v>
      </c>
      <c r="AR546">
        <f t="shared" si="259"/>
        <v>53</v>
      </c>
      <c r="AS546">
        <f t="shared" si="260"/>
        <v>162</v>
      </c>
      <c r="AT546">
        <f t="shared" si="261"/>
        <v>148</v>
      </c>
      <c r="AU546">
        <f t="shared" si="262"/>
        <v>116</v>
      </c>
      <c r="AV546">
        <f t="shared" si="263"/>
        <v>104</v>
      </c>
      <c r="AW546">
        <f t="shared" si="264"/>
        <v>90</v>
      </c>
      <c r="AX546">
        <f t="shared" si="265"/>
        <v>172</v>
      </c>
      <c r="AY546">
        <f t="shared" si="266"/>
        <v>157</v>
      </c>
      <c r="AZ546">
        <f t="shared" si="267"/>
        <v>125</v>
      </c>
      <c r="BA546">
        <f t="shared" si="268"/>
        <v>112</v>
      </c>
      <c r="BB546">
        <f t="shared" si="269"/>
        <v>99</v>
      </c>
    </row>
    <row r="547" spans="1:54" x14ac:dyDescent="0.15">
      <c r="A547">
        <v>355</v>
      </c>
      <c r="B547" t="s">
        <v>1973</v>
      </c>
      <c r="C547">
        <v>429</v>
      </c>
      <c r="D547">
        <v>0</v>
      </c>
      <c r="E547" t="s">
        <v>1974</v>
      </c>
      <c r="G547" t="s">
        <v>1974</v>
      </c>
      <c r="H547" t="s">
        <v>1975</v>
      </c>
      <c r="J547" t="s">
        <v>1976</v>
      </c>
      <c r="K547">
        <v>4.4000000000000004</v>
      </c>
      <c r="L547">
        <v>0.9</v>
      </c>
      <c r="M547" t="s">
        <v>546</v>
      </c>
      <c r="O547" t="s">
        <v>547</v>
      </c>
      <c r="R547">
        <v>9</v>
      </c>
      <c r="S547">
        <v>60</v>
      </c>
      <c r="T547">
        <v>60</v>
      </c>
      <c r="U547">
        <v>60</v>
      </c>
      <c r="V547">
        <v>105</v>
      </c>
      <c r="W547">
        <v>105</v>
      </c>
      <c r="X547">
        <v>105</v>
      </c>
      <c r="Y547">
        <f t="shared" si="240"/>
        <v>167</v>
      </c>
      <c r="Z547">
        <f t="shared" si="241"/>
        <v>167</v>
      </c>
      <c r="AA547">
        <f t="shared" si="242"/>
        <v>135</v>
      </c>
      <c r="AB547">
        <f t="shared" si="243"/>
        <v>135</v>
      </c>
      <c r="AC547">
        <f t="shared" si="244"/>
        <v>120</v>
      </c>
      <c r="AD547">
        <f t="shared" si="245"/>
        <v>123</v>
      </c>
      <c r="AE547">
        <f t="shared" si="246"/>
        <v>112</v>
      </c>
      <c r="AF547">
        <f t="shared" si="247"/>
        <v>80</v>
      </c>
      <c r="AG547">
        <f t="shared" si="248"/>
        <v>72</v>
      </c>
      <c r="AH547">
        <f t="shared" si="249"/>
        <v>58</v>
      </c>
      <c r="AI547">
        <f t="shared" si="250"/>
        <v>123</v>
      </c>
      <c r="AJ547">
        <f t="shared" si="251"/>
        <v>112</v>
      </c>
      <c r="AK547">
        <f t="shared" si="252"/>
        <v>80</v>
      </c>
      <c r="AL547">
        <f t="shared" si="253"/>
        <v>72</v>
      </c>
      <c r="AM547">
        <f t="shared" si="254"/>
        <v>58</v>
      </c>
      <c r="AN547">
        <f t="shared" si="255"/>
        <v>172</v>
      </c>
      <c r="AO547">
        <f t="shared" si="256"/>
        <v>157</v>
      </c>
      <c r="AP547">
        <f t="shared" si="257"/>
        <v>125</v>
      </c>
      <c r="AQ547">
        <f t="shared" si="258"/>
        <v>112</v>
      </c>
      <c r="AR547">
        <f t="shared" si="259"/>
        <v>99</v>
      </c>
      <c r="AS547">
        <f t="shared" si="260"/>
        <v>172</v>
      </c>
      <c r="AT547">
        <f t="shared" si="261"/>
        <v>157</v>
      </c>
      <c r="AU547">
        <f t="shared" si="262"/>
        <v>125</v>
      </c>
      <c r="AV547">
        <f t="shared" si="263"/>
        <v>112</v>
      </c>
      <c r="AW547">
        <f t="shared" si="264"/>
        <v>99</v>
      </c>
      <c r="AX547">
        <f t="shared" si="265"/>
        <v>172</v>
      </c>
      <c r="AY547">
        <f t="shared" si="266"/>
        <v>157</v>
      </c>
      <c r="AZ547">
        <f t="shared" si="267"/>
        <v>125</v>
      </c>
      <c r="BA547">
        <f t="shared" si="268"/>
        <v>112</v>
      </c>
      <c r="BB547">
        <f t="shared" si="269"/>
        <v>99</v>
      </c>
    </row>
    <row r="548" spans="1:54" x14ac:dyDescent="0.15">
      <c r="A548">
        <v>356</v>
      </c>
      <c r="B548" t="s">
        <v>1977</v>
      </c>
      <c r="C548">
        <v>430</v>
      </c>
      <c r="D548">
        <v>0</v>
      </c>
      <c r="E548" t="s">
        <v>1978</v>
      </c>
      <c r="G548" t="s">
        <v>1978</v>
      </c>
      <c r="H548" t="s">
        <v>1979</v>
      </c>
      <c r="J548" t="s">
        <v>1980</v>
      </c>
      <c r="K548">
        <v>27.3</v>
      </c>
      <c r="L548">
        <v>0.9</v>
      </c>
      <c r="M548" t="s">
        <v>140</v>
      </c>
      <c r="N548" t="s">
        <v>57</v>
      </c>
      <c r="O548" t="s">
        <v>568</v>
      </c>
      <c r="P548" t="s">
        <v>934</v>
      </c>
      <c r="Q548" t="s">
        <v>714</v>
      </c>
      <c r="R548">
        <v>9</v>
      </c>
      <c r="S548">
        <v>100</v>
      </c>
      <c r="T548">
        <v>125</v>
      </c>
      <c r="U548">
        <v>52</v>
      </c>
      <c r="V548">
        <v>105</v>
      </c>
      <c r="W548">
        <v>52</v>
      </c>
      <c r="X548">
        <v>71</v>
      </c>
      <c r="Y548">
        <f t="shared" si="240"/>
        <v>207</v>
      </c>
      <c r="Z548">
        <f t="shared" si="241"/>
        <v>207</v>
      </c>
      <c r="AA548">
        <f t="shared" si="242"/>
        <v>175</v>
      </c>
      <c r="AB548">
        <f t="shared" si="243"/>
        <v>175</v>
      </c>
      <c r="AC548">
        <f t="shared" si="244"/>
        <v>160</v>
      </c>
      <c r="AD548">
        <f t="shared" si="245"/>
        <v>194</v>
      </c>
      <c r="AE548">
        <f t="shared" si="246"/>
        <v>177</v>
      </c>
      <c r="AF548">
        <f t="shared" si="247"/>
        <v>145</v>
      </c>
      <c r="AG548">
        <f t="shared" si="248"/>
        <v>130</v>
      </c>
      <c r="AH548">
        <f t="shared" si="249"/>
        <v>117</v>
      </c>
      <c r="AI548">
        <f t="shared" si="250"/>
        <v>114</v>
      </c>
      <c r="AJ548">
        <f t="shared" si="251"/>
        <v>104</v>
      </c>
      <c r="AK548">
        <f t="shared" si="252"/>
        <v>72</v>
      </c>
      <c r="AL548">
        <f t="shared" si="253"/>
        <v>64</v>
      </c>
      <c r="AM548">
        <f t="shared" si="254"/>
        <v>51</v>
      </c>
      <c r="AN548">
        <f t="shared" si="255"/>
        <v>172</v>
      </c>
      <c r="AO548">
        <f t="shared" si="256"/>
        <v>157</v>
      </c>
      <c r="AP548">
        <f t="shared" si="257"/>
        <v>125</v>
      </c>
      <c r="AQ548">
        <f t="shared" si="258"/>
        <v>112</v>
      </c>
      <c r="AR548">
        <f t="shared" si="259"/>
        <v>99</v>
      </c>
      <c r="AS548">
        <f t="shared" si="260"/>
        <v>114</v>
      </c>
      <c r="AT548">
        <f t="shared" si="261"/>
        <v>104</v>
      </c>
      <c r="AU548">
        <f t="shared" si="262"/>
        <v>72</v>
      </c>
      <c r="AV548">
        <f t="shared" si="263"/>
        <v>64</v>
      </c>
      <c r="AW548">
        <f t="shared" si="264"/>
        <v>51</v>
      </c>
      <c r="AX548">
        <f t="shared" si="265"/>
        <v>135</v>
      </c>
      <c r="AY548">
        <f t="shared" si="266"/>
        <v>123</v>
      </c>
      <c r="AZ548">
        <f t="shared" si="267"/>
        <v>91</v>
      </c>
      <c r="BA548">
        <f t="shared" si="268"/>
        <v>81</v>
      </c>
      <c r="BB548">
        <f t="shared" si="269"/>
        <v>68</v>
      </c>
    </row>
    <row r="549" spans="1:54" x14ac:dyDescent="0.15">
      <c r="B549" t="s">
        <v>1981</v>
      </c>
      <c r="C549">
        <v>431</v>
      </c>
      <c r="D549">
        <v>0</v>
      </c>
      <c r="E549" t="s">
        <v>1982</v>
      </c>
      <c r="G549" t="s">
        <v>1982</v>
      </c>
      <c r="J549" t="s">
        <v>1983</v>
      </c>
      <c r="K549">
        <v>3.9</v>
      </c>
      <c r="L549">
        <v>0.5</v>
      </c>
      <c r="M549" t="s">
        <v>120</v>
      </c>
      <c r="O549" t="s">
        <v>336</v>
      </c>
      <c r="P549" t="s">
        <v>470</v>
      </c>
      <c r="Q549" t="s">
        <v>121</v>
      </c>
      <c r="R549">
        <v>8</v>
      </c>
      <c r="S549">
        <v>49</v>
      </c>
      <c r="T549">
        <v>55</v>
      </c>
      <c r="U549">
        <v>42</v>
      </c>
      <c r="V549">
        <v>42</v>
      </c>
      <c r="W549">
        <v>37</v>
      </c>
      <c r="X549">
        <v>85</v>
      </c>
      <c r="Y549">
        <f t="shared" si="240"/>
        <v>156</v>
      </c>
      <c r="Z549">
        <f t="shared" si="241"/>
        <v>156</v>
      </c>
      <c r="AA549">
        <f t="shared" si="242"/>
        <v>124</v>
      </c>
      <c r="AB549">
        <f t="shared" si="243"/>
        <v>124</v>
      </c>
      <c r="AC549">
        <f t="shared" si="244"/>
        <v>109</v>
      </c>
      <c r="AD549">
        <f t="shared" si="245"/>
        <v>117</v>
      </c>
      <c r="AE549">
        <f t="shared" si="246"/>
        <v>107</v>
      </c>
      <c r="AF549">
        <f t="shared" si="247"/>
        <v>75</v>
      </c>
      <c r="AG549">
        <f t="shared" si="248"/>
        <v>67</v>
      </c>
      <c r="AH549">
        <f t="shared" si="249"/>
        <v>54</v>
      </c>
      <c r="AI549">
        <f t="shared" si="250"/>
        <v>103</v>
      </c>
      <c r="AJ549">
        <f t="shared" si="251"/>
        <v>94</v>
      </c>
      <c r="AK549">
        <f t="shared" si="252"/>
        <v>62</v>
      </c>
      <c r="AL549">
        <f t="shared" si="253"/>
        <v>55</v>
      </c>
      <c r="AM549">
        <f t="shared" si="254"/>
        <v>42</v>
      </c>
      <c r="AN549">
        <f t="shared" si="255"/>
        <v>103</v>
      </c>
      <c r="AO549">
        <f t="shared" si="256"/>
        <v>94</v>
      </c>
      <c r="AP549">
        <f t="shared" si="257"/>
        <v>62</v>
      </c>
      <c r="AQ549">
        <f t="shared" si="258"/>
        <v>55</v>
      </c>
      <c r="AR549">
        <f t="shared" si="259"/>
        <v>42</v>
      </c>
      <c r="AS549">
        <f t="shared" si="260"/>
        <v>97</v>
      </c>
      <c r="AT549">
        <f t="shared" si="261"/>
        <v>89</v>
      </c>
      <c r="AU549">
        <f t="shared" si="262"/>
        <v>57</v>
      </c>
      <c r="AV549">
        <f t="shared" si="263"/>
        <v>51</v>
      </c>
      <c r="AW549">
        <f t="shared" si="264"/>
        <v>37</v>
      </c>
      <c r="AX549">
        <f t="shared" si="265"/>
        <v>150</v>
      </c>
      <c r="AY549">
        <f t="shared" si="266"/>
        <v>137</v>
      </c>
      <c r="AZ549">
        <f t="shared" si="267"/>
        <v>105</v>
      </c>
      <c r="BA549">
        <f t="shared" si="268"/>
        <v>94</v>
      </c>
      <c r="BB549">
        <f t="shared" si="269"/>
        <v>81</v>
      </c>
    </row>
    <row r="550" spans="1:54" x14ac:dyDescent="0.15">
      <c r="B550" t="s">
        <v>1984</v>
      </c>
      <c r="C550">
        <v>432</v>
      </c>
      <c r="D550">
        <v>0</v>
      </c>
      <c r="E550" t="s">
        <v>1985</v>
      </c>
      <c r="G550" t="s">
        <v>1985</v>
      </c>
      <c r="J550" t="s">
        <v>1986</v>
      </c>
      <c r="K550">
        <v>43.8</v>
      </c>
      <c r="L550">
        <v>1</v>
      </c>
      <c r="M550" t="s">
        <v>120</v>
      </c>
      <c r="O550" t="s">
        <v>38</v>
      </c>
      <c r="P550" t="s">
        <v>470</v>
      </c>
      <c r="Q550" t="s">
        <v>357</v>
      </c>
      <c r="R550">
        <v>8</v>
      </c>
      <c r="S550">
        <v>71</v>
      </c>
      <c r="T550">
        <v>82</v>
      </c>
      <c r="U550">
        <v>64</v>
      </c>
      <c r="V550">
        <v>64</v>
      </c>
      <c r="W550">
        <v>59</v>
      </c>
      <c r="X550">
        <v>112</v>
      </c>
      <c r="Y550">
        <f t="shared" si="240"/>
        <v>178</v>
      </c>
      <c r="Z550">
        <f t="shared" si="241"/>
        <v>178</v>
      </c>
      <c r="AA550">
        <f t="shared" si="242"/>
        <v>146</v>
      </c>
      <c r="AB550">
        <f t="shared" si="243"/>
        <v>146</v>
      </c>
      <c r="AC550">
        <f t="shared" si="244"/>
        <v>131</v>
      </c>
      <c r="AD550">
        <f t="shared" si="245"/>
        <v>147</v>
      </c>
      <c r="AE550">
        <f t="shared" si="246"/>
        <v>134</v>
      </c>
      <c r="AF550">
        <f t="shared" si="247"/>
        <v>102</v>
      </c>
      <c r="AG550">
        <f t="shared" si="248"/>
        <v>91</v>
      </c>
      <c r="AH550">
        <f t="shared" si="249"/>
        <v>78</v>
      </c>
      <c r="AI550">
        <f t="shared" si="250"/>
        <v>127</v>
      </c>
      <c r="AJ550">
        <f t="shared" si="251"/>
        <v>116</v>
      </c>
      <c r="AK550">
        <f t="shared" si="252"/>
        <v>84</v>
      </c>
      <c r="AL550">
        <f t="shared" si="253"/>
        <v>75</v>
      </c>
      <c r="AM550">
        <f t="shared" si="254"/>
        <v>62</v>
      </c>
      <c r="AN550">
        <f t="shared" si="255"/>
        <v>127</v>
      </c>
      <c r="AO550">
        <f t="shared" si="256"/>
        <v>116</v>
      </c>
      <c r="AP550">
        <f t="shared" si="257"/>
        <v>84</v>
      </c>
      <c r="AQ550">
        <f t="shared" si="258"/>
        <v>75</v>
      </c>
      <c r="AR550">
        <f t="shared" si="259"/>
        <v>62</v>
      </c>
      <c r="AS550">
        <f t="shared" si="260"/>
        <v>122</v>
      </c>
      <c r="AT550">
        <f t="shared" si="261"/>
        <v>111</v>
      </c>
      <c r="AU550">
        <f t="shared" si="262"/>
        <v>79</v>
      </c>
      <c r="AV550">
        <f t="shared" si="263"/>
        <v>71</v>
      </c>
      <c r="AW550">
        <f t="shared" si="264"/>
        <v>57</v>
      </c>
      <c r="AX550">
        <f t="shared" si="265"/>
        <v>180</v>
      </c>
      <c r="AY550">
        <f t="shared" si="266"/>
        <v>164</v>
      </c>
      <c r="AZ550">
        <f t="shared" si="267"/>
        <v>132</v>
      </c>
      <c r="BA550">
        <f t="shared" si="268"/>
        <v>118</v>
      </c>
      <c r="BB550">
        <f t="shared" si="269"/>
        <v>105</v>
      </c>
    </row>
    <row r="551" spans="1:54" x14ac:dyDescent="0.15">
      <c r="A551">
        <v>357</v>
      </c>
      <c r="B551" t="s">
        <v>1987</v>
      </c>
      <c r="C551">
        <v>433</v>
      </c>
      <c r="D551">
        <v>0</v>
      </c>
      <c r="E551" t="s">
        <v>1988</v>
      </c>
      <c r="G551" t="s">
        <v>1988</v>
      </c>
      <c r="H551" t="s">
        <v>1989</v>
      </c>
      <c r="J551" t="s">
        <v>1990</v>
      </c>
      <c r="K551">
        <v>0.6</v>
      </c>
      <c r="L551">
        <v>0.2</v>
      </c>
      <c r="M551" t="s">
        <v>191</v>
      </c>
      <c r="O551" t="s">
        <v>547</v>
      </c>
      <c r="R551">
        <v>9</v>
      </c>
      <c r="S551">
        <v>45</v>
      </c>
      <c r="T551">
        <v>30</v>
      </c>
      <c r="U551">
        <v>50</v>
      </c>
      <c r="V551">
        <v>65</v>
      </c>
      <c r="W551">
        <v>50</v>
      </c>
      <c r="X551">
        <v>45</v>
      </c>
      <c r="Y551">
        <f t="shared" si="240"/>
        <v>152</v>
      </c>
      <c r="Z551">
        <f t="shared" si="241"/>
        <v>152</v>
      </c>
      <c r="AA551">
        <f t="shared" si="242"/>
        <v>120</v>
      </c>
      <c r="AB551">
        <f t="shared" si="243"/>
        <v>120</v>
      </c>
      <c r="AC551">
        <f t="shared" si="244"/>
        <v>105</v>
      </c>
      <c r="AD551">
        <f t="shared" si="245"/>
        <v>90</v>
      </c>
      <c r="AE551">
        <f t="shared" si="246"/>
        <v>82</v>
      </c>
      <c r="AF551">
        <f t="shared" si="247"/>
        <v>50</v>
      </c>
      <c r="AG551">
        <f t="shared" si="248"/>
        <v>45</v>
      </c>
      <c r="AH551">
        <f t="shared" si="249"/>
        <v>31</v>
      </c>
      <c r="AI551">
        <f t="shared" si="250"/>
        <v>112</v>
      </c>
      <c r="AJ551">
        <f t="shared" si="251"/>
        <v>102</v>
      </c>
      <c r="AK551">
        <f t="shared" si="252"/>
        <v>70</v>
      </c>
      <c r="AL551">
        <f t="shared" si="253"/>
        <v>63</v>
      </c>
      <c r="AM551">
        <f t="shared" si="254"/>
        <v>49</v>
      </c>
      <c r="AN551">
        <f t="shared" si="255"/>
        <v>128</v>
      </c>
      <c r="AO551">
        <f t="shared" si="256"/>
        <v>117</v>
      </c>
      <c r="AP551">
        <f t="shared" si="257"/>
        <v>85</v>
      </c>
      <c r="AQ551">
        <f t="shared" si="258"/>
        <v>76</v>
      </c>
      <c r="AR551">
        <f t="shared" si="259"/>
        <v>63</v>
      </c>
      <c r="AS551">
        <f t="shared" si="260"/>
        <v>112</v>
      </c>
      <c r="AT551">
        <f t="shared" si="261"/>
        <v>102</v>
      </c>
      <c r="AU551">
        <f t="shared" si="262"/>
        <v>70</v>
      </c>
      <c r="AV551">
        <f t="shared" si="263"/>
        <v>63</v>
      </c>
      <c r="AW551">
        <f t="shared" si="264"/>
        <v>49</v>
      </c>
      <c r="AX551">
        <f t="shared" si="265"/>
        <v>106</v>
      </c>
      <c r="AY551">
        <f t="shared" si="266"/>
        <v>97</v>
      </c>
      <c r="AZ551">
        <f t="shared" si="267"/>
        <v>65</v>
      </c>
      <c r="BA551">
        <f t="shared" si="268"/>
        <v>58</v>
      </c>
      <c r="BB551">
        <f t="shared" si="269"/>
        <v>45</v>
      </c>
    </row>
    <row r="552" spans="1:54" x14ac:dyDescent="0.15">
      <c r="A552">
        <v>358</v>
      </c>
      <c r="B552" t="s">
        <v>1991</v>
      </c>
      <c r="C552">
        <v>434</v>
      </c>
      <c r="D552">
        <v>0</v>
      </c>
      <c r="E552" t="s">
        <v>1992</v>
      </c>
      <c r="G552" t="s">
        <v>1992</v>
      </c>
      <c r="H552" t="s">
        <v>1993</v>
      </c>
      <c r="J552" t="s">
        <v>1994</v>
      </c>
      <c r="K552">
        <v>19.2</v>
      </c>
      <c r="L552">
        <v>0.4</v>
      </c>
      <c r="M552" t="s">
        <v>27</v>
      </c>
      <c r="N552" t="s">
        <v>140</v>
      </c>
      <c r="O552" t="s">
        <v>279</v>
      </c>
      <c r="P552" t="s">
        <v>587</v>
      </c>
      <c r="Q552" t="s">
        <v>121</v>
      </c>
      <c r="R552">
        <v>9</v>
      </c>
      <c r="S552">
        <v>63</v>
      </c>
      <c r="T552">
        <v>63</v>
      </c>
      <c r="U552">
        <v>47</v>
      </c>
      <c r="V552">
        <v>41</v>
      </c>
      <c r="W552">
        <v>41</v>
      </c>
      <c r="X552">
        <v>74</v>
      </c>
      <c r="Y552">
        <f t="shared" si="240"/>
        <v>170</v>
      </c>
      <c r="Z552">
        <f t="shared" si="241"/>
        <v>170</v>
      </c>
      <c r="AA552">
        <f t="shared" si="242"/>
        <v>138</v>
      </c>
      <c r="AB552">
        <f t="shared" si="243"/>
        <v>138</v>
      </c>
      <c r="AC552">
        <f t="shared" si="244"/>
        <v>123</v>
      </c>
      <c r="AD552">
        <f t="shared" si="245"/>
        <v>126</v>
      </c>
      <c r="AE552">
        <f t="shared" si="246"/>
        <v>115</v>
      </c>
      <c r="AF552">
        <f t="shared" si="247"/>
        <v>83</v>
      </c>
      <c r="AG552">
        <f t="shared" si="248"/>
        <v>74</v>
      </c>
      <c r="AH552">
        <f t="shared" si="249"/>
        <v>61</v>
      </c>
      <c r="AI552">
        <f t="shared" si="250"/>
        <v>108</v>
      </c>
      <c r="AJ552">
        <f t="shared" si="251"/>
        <v>99</v>
      </c>
      <c r="AK552">
        <f t="shared" si="252"/>
        <v>67</v>
      </c>
      <c r="AL552">
        <f t="shared" si="253"/>
        <v>60</v>
      </c>
      <c r="AM552">
        <f t="shared" si="254"/>
        <v>46</v>
      </c>
      <c r="AN552">
        <f t="shared" si="255"/>
        <v>102</v>
      </c>
      <c r="AO552">
        <f t="shared" si="256"/>
        <v>93</v>
      </c>
      <c r="AP552">
        <f t="shared" si="257"/>
        <v>61</v>
      </c>
      <c r="AQ552">
        <f t="shared" si="258"/>
        <v>54</v>
      </c>
      <c r="AR552">
        <f t="shared" si="259"/>
        <v>41</v>
      </c>
      <c r="AS552">
        <f t="shared" si="260"/>
        <v>102</v>
      </c>
      <c r="AT552">
        <f t="shared" si="261"/>
        <v>93</v>
      </c>
      <c r="AU552">
        <f t="shared" si="262"/>
        <v>61</v>
      </c>
      <c r="AV552">
        <f t="shared" si="263"/>
        <v>54</v>
      </c>
      <c r="AW552">
        <f t="shared" si="264"/>
        <v>41</v>
      </c>
      <c r="AX552">
        <f t="shared" si="265"/>
        <v>138</v>
      </c>
      <c r="AY552">
        <f t="shared" si="266"/>
        <v>126</v>
      </c>
      <c r="AZ552">
        <f t="shared" si="267"/>
        <v>94</v>
      </c>
      <c r="BA552">
        <f t="shared" si="268"/>
        <v>84</v>
      </c>
      <c r="BB552">
        <f t="shared" si="269"/>
        <v>71</v>
      </c>
    </row>
    <row r="553" spans="1:54" x14ac:dyDescent="0.15">
      <c r="A553">
        <v>359</v>
      </c>
      <c r="B553" t="s">
        <v>1995</v>
      </c>
      <c r="C553">
        <v>435</v>
      </c>
      <c r="D553">
        <v>0</v>
      </c>
      <c r="E553" t="s">
        <v>1996</v>
      </c>
      <c r="G553" t="s">
        <v>1996</v>
      </c>
      <c r="H553" t="s">
        <v>1997</v>
      </c>
      <c r="J553" t="s">
        <v>1994</v>
      </c>
      <c r="K553">
        <v>38</v>
      </c>
      <c r="L553">
        <v>1</v>
      </c>
      <c r="M553" t="s">
        <v>27</v>
      </c>
      <c r="N553" t="s">
        <v>140</v>
      </c>
      <c r="O553" t="s">
        <v>279</v>
      </c>
      <c r="P553" t="s">
        <v>587</v>
      </c>
      <c r="Q553" t="s">
        <v>121</v>
      </c>
      <c r="R553">
        <v>9</v>
      </c>
      <c r="S553">
        <v>103</v>
      </c>
      <c r="T553">
        <v>93</v>
      </c>
      <c r="U553">
        <v>67</v>
      </c>
      <c r="V553">
        <v>71</v>
      </c>
      <c r="W553">
        <v>61</v>
      </c>
      <c r="X553">
        <v>84</v>
      </c>
      <c r="Y553">
        <f t="shared" si="240"/>
        <v>210</v>
      </c>
      <c r="Z553">
        <f t="shared" si="241"/>
        <v>210</v>
      </c>
      <c r="AA553">
        <f t="shared" si="242"/>
        <v>178</v>
      </c>
      <c r="AB553">
        <f t="shared" si="243"/>
        <v>178</v>
      </c>
      <c r="AC553">
        <f t="shared" si="244"/>
        <v>163</v>
      </c>
      <c r="AD553">
        <f t="shared" si="245"/>
        <v>159</v>
      </c>
      <c r="AE553">
        <f t="shared" si="246"/>
        <v>145</v>
      </c>
      <c r="AF553">
        <f t="shared" si="247"/>
        <v>113</v>
      </c>
      <c r="AG553">
        <f t="shared" si="248"/>
        <v>101</v>
      </c>
      <c r="AH553">
        <f t="shared" si="249"/>
        <v>88</v>
      </c>
      <c r="AI553">
        <f t="shared" si="250"/>
        <v>130</v>
      </c>
      <c r="AJ553">
        <f t="shared" si="251"/>
        <v>119</v>
      </c>
      <c r="AK553">
        <f t="shared" si="252"/>
        <v>87</v>
      </c>
      <c r="AL553">
        <f t="shared" si="253"/>
        <v>78</v>
      </c>
      <c r="AM553">
        <f t="shared" si="254"/>
        <v>64</v>
      </c>
      <c r="AN553">
        <f t="shared" si="255"/>
        <v>135</v>
      </c>
      <c r="AO553">
        <f t="shared" si="256"/>
        <v>123</v>
      </c>
      <c r="AP553">
        <f t="shared" si="257"/>
        <v>91</v>
      </c>
      <c r="AQ553">
        <f t="shared" si="258"/>
        <v>81</v>
      </c>
      <c r="AR553">
        <f t="shared" si="259"/>
        <v>68</v>
      </c>
      <c r="AS553">
        <f t="shared" si="260"/>
        <v>124</v>
      </c>
      <c r="AT553">
        <f t="shared" si="261"/>
        <v>113</v>
      </c>
      <c r="AU553">
        <f t="shared" si="262"/>
        <v>81</v>
      </c>
      <c r="AV553">
        <f t="shared" si="263"/>
        <v>72</v>
      </c>
      <c r="AW553">
        <f t="shared" si="264"/>
        <v>59</v>
      </c>
      <c r="AX553">
        <f t="shared" si="265"/>
        <v>149</v>
      </c>
      <c r="AY553">
        <f t="shared" si="266"/>
        <v>136</v>
      </c>
      <c r="AZ553">
        <f t="shared" si="267"/>
        <v>104</v>
      </c>
      <c r="BA553">
        <f t="shared" si="268"/>
        <v>93</v>
      </c>
      <c r="BB553">
        <f t="shared" si="269"/>
        <v>80</v>
      </c>
    </row>
    <row r="554" spans="1:54" x14ac:dyDescent="0.15">
      <c r="A554">
        <v>360</v>
      </c>
      <c r="B554" t="s">
        <v>1998</v>
      </c>
      <c r="C554">
        <v>436</v>
      </c>
      <c r="D554">
        <v>0</v>
      </c>
      <c r="E554" t="s">
        <v>1999</v>
      </c>
      <c r="G554" t="s">
        <v>1999</v>
      </c>
      <c r="H554" t="s">
        <v>2000</v>
      </c>
      <c r="J554" t="s">
        <v>2001</v>
      </c>
      <c r="K554">
        <v>60.5</v>
      </c>
      <c r="L554">
        <v>0.5</v>
      </c>
      <c r="M554" t="s">
        <v>203</v>
      </c>
      <c r="N554" t="s">
        <v>191</v>
      </c>
      <c r="O554" t="s">
        <v>547</v>
      </c>
      <c r="P554" t="s">
        <v>2002</v>
      </c>
      <c r="Q554" t="s">
        <v>1453</v>
      </c>
      <c r="R554">
        <v>9</v>
      </c>
      <c r="S554">
        <v>57</v>
      </c>
      <c r="T554">
        <v>24</v>
      </c>
      <c r="U554">
        <v>86</v>
      </c>
      <c r="V554">
        <v>24</v>
      </c>
      <c r="W554">
        <v>86</v>
      </c>
      <c r="X554">
        <v>23</v>
      </c>
      <c r="Y554">
        <f t="shared" si="240"/>
        <v>164</v>
      </c>
      <c r="Z554">
        <f t="shared" si="241"/>
        <v>164</v>
      </c>
      <c r="AA554">
        <f t="shared" si="242"/>
        <v>132</v>
      </c>
      <c r="AB554">
        <f t="shared" si="243"/>
        <v>132</v>
      </c>
      <c r="AC554">
        <f t="shared" si="244"/>
        <v>117</v>
      </c>
      <c r="AD554">
        <f t="shared" si="245"/>
        <v>83</v>
      </c>
      <c r="AE554">
        <f t="shared" si="246"/>
        <v>76</v>
      </c>
      <c r="AF554">
        <f t="shared" si="247"/>
        <v>44</v>
      </c>
      <c r="AG554">
        <f t="shared" si="248"/>
        <v>39</v>
      </c>
      <c r="AH554">
        <f t="shared" si="249"/>
        <v>26</v>
      </c>
      <c r="AI554">
        <f t="shared" si="250"/>
        <v>151</v>
      </c>
      <c r="AJ554">
        <f t="shared" si="251"/>
        <v>138</v>
      </c>
      <c r="AK554">
        <f t="shared" si="252"/>
        <v>106</v>
      </c>
      <c r="AL554">
        <f t="shared" si="253"/>
        <v>95</v>
      </c>
      <c r="AM554">
        <f t="shared" si="254"/>
        <v>81</v>
      </c>
      <c r="AN554">
        <f t="shared" si="255"/>
        <v>83</v>
      </c>
      <c r="AO554">
        <f t="shared" si="256"/>
        <v>76</v>
      </c>
      <c r="AP554">
        <f t="shared" si="257"/>
        <v>44</v>
      </c>
      <c r="AQ554">
        <f t="shared" si="258"/>
        <v>39</v>
      </c>
      <c r="AR554">
        <f t="shared" si="259"/>
        <v>26</v>
      </c>
      <c r="AS554">
        <f t="shared" si="260"/>
        <v>151</v>
      </c>
      <c r="AT554">
        <f t="shared" si="261"/>
        <v>138</v>
      </c>
      <c r="AU554">
        <f t="shared" si="262"/>
        <v>106</v>
      </c>
      <c r="AV554">
        <f t="shared" si="263"/>
        <v>95</v>
      </c>
      <c r="AW554">
        <f t="shared" si="264"/>
        <v>81</v>
      </c>
      <c r="AX554">
        <f t="shared" si="265"/>
        <v>82</v>
      </c>
      <c r="AY554">
        <f t="shared" si="266"/>
        <v>75</v>
      </c>
      <c r="AZ554">
        <f t="shared" si="267"/>
        <v>43</v>
      </c>
      <c r="BA554">
        <f t="shared" si="268"/>
        <v>38</v>
      </c>
      <c r="BB554">
        <f t="shared" si="269"/>
        <v>25</v>
      </c>
    </row>
    <row r="555" spans="1:54" x14ac:dyDescent="0.15">
      <c r="A555">
        <v>361</v>
      </c>
      <c r="B555" t="s">
        <v>2003</v>
      </c>
      <c r="C555">
        <v>437</v>
      </c>
      <c r="D555">
        <v>0</v>
      </c>
      <c r="E555" t="s">
        <v>2004</v>
      </c>
      <c r="G555" t="s">
        <v>2004</v>
      </c>
      <c r="H555" t="s">
        <v>2005</v>
      </c>
      <c r="J555" t="s">
        <v>2006</v>
      </c>
      <c r="K555">
        <v>187</v>
      </c>
      <c r="L555">
        <v>1.3</v>
      </c>
      <c r="M555" t="s">
        <v>203</v>
      </c>
      <c r="N555" t="s">
        <v>191</v>
      </c>
      <c r="O555" t="s">
        <v>547</v>
      </c>
      <c r="P555" t="s">
        <v>2002</v>
      </c>
      <c r="Q555" t="s">
        <v>1453</v>
      </c>
      <c r="R555">
        <v>9</v>
      </c>
      <c r="S555">
        <v>67</v>
      </c>
      <c r="T555">
        <v>89</v>
      </c>
      <c r="U555">
        <v>116</v>
      </c>
      <c r="V555">
        <v>79</v>
      </c>
      <c r="W555">
        <v>116</v>
      </c>
      <c r="X555">
        <v>33</v>
      </c>
      <c r="Y555">
        <f t="shared" si="240"/>
        <v>174</v>
      </c>
      <c r="Z555">
        <f t="shared" si="241"/>
        <v>174</v>
      </c>
      <c r="AA555">
        <f t="shared" si="242"/>
        <v>142</v>
      </c>
      <c r="AB555">
        <f t="shared" si="243"/>
        <v>142</v>
      </c>
      <c r="AC555">
        <f t="shared" si="244"/>
        <v>127</v>
      </c>
      <c r="AD555">
        <f t="shared" si="245"/>
        <v>155</v>
      </c>
      <c r="AE555">
        <f t="shared" si="246"/>
        <v>141</v>
      </c>
      <c r="AF555">
        <f t="shared" si="247"/>
        <v>109</v>
      </c>
      <c r="AG555">
        <f t="shared" si="248"/>
        <v>98</v>
      </c>
      <c r="AH555">
        <f t="shared" si="249"/>
        <v>84</v>
      </c>
      <c r="AI555">
        <f t="shared" si="250"/>
        <v>184</v>
      </c>
      <c r="AJ555">
        <f t="shared" si="251"/>
        <v>168</v>
      </c>
      <c r="AK555">
        <f t="shared" si="252"/>
        <v>136</v>
      </c>
      <c r="AL555">
        <f t="shared" si="253"/>
        <v>122</v>
      </c>
      <c r="AM555">
        <f t="shared" si="254"/>
        <v>108</v>
      </c>
      <c r="AN555">
        <f t="shared" si="255"/>
        <v>144</v>
      </c>
      <c r="AO555">
        <f t="shared" si="256"/>
        <v>131</v>
      </c>
      <c r="AP555">
        <f t="shared" si="257"/>
        <v>99</v>
      </c>
      <c r="AQ555">
        <f t="shared" si="258"/>
        <v>89</v>
      </c>
      <c r="AR555">
        <f t="shared" si="259"/>
        <v>75</v>
      </c>
      <c r="AS555">
        <f t="shared" si="260"/>
        <v>184</v>
      </c>
      <c r="AT555">
        <f t="shared" si="261"/>
        <v>168</v>
      </c>
      <c r="AU555">
        <f t="shared" si="262"/>
        <v>136</v>
      </c>
      <c r="AV555">
        <f t="shared" si="263"/>
        <v>122</v>
      </c>
      <c r="AW555">
        <f t="shared" si="264"/>
        <v>108</v>
      </c>
      <c r="AX555">
        <f t="shared" si="265"/>
        <v>93</v>
      </c>
      <c r="AY555">
        <f t="shared" si="266"/>
        <v>85</v>
      </c>
      <c r="AZ555">
        <f t="shared" si="267"/>
        <v>53</v>
      </c>
      <c r="BA555">
        <f t="shared" si="268"/>
        <v>47</v>
      </c>
      <c r="BB555">
        <f t="shared" si="269"/>
        <v>34</v>
      </c>
    </row>
    <row r="556" spans="1:54" x14ac:dyDescent="0.15">
      <c r="A556">
        <v>362</v>
      </c>
      <c r="B556" t="s">
        <v>2007</v>
      </c>
      <c r="C556">
        <v>438</v>
      </c>
      <c r="D556">
        <v>0</v>
      </c>
      <c r="E556" t="s">
        <v>2008</v>
      </c>
      <c r="G556" t="s">
        <v>2008</v>
      </c>
      <c r="H556" t="s">
        <v>2009</v>
      </c>
      <c r="J556" t="s">
        <v>2010</v>
      </c>
      <c r="K556">
        <v>15</v>
      </c>
      <c r="L556">
        <v>0.5</v>
      </c>
      <c r="M556" t="s">
        <v>371</v>
      </c>
      <c r="O556" t="s">
        <v>435</v>
      </c>
      <c r="P556" t="s">
        <v>434</v>
      </c>
      <c r="Q556" t="s">
        <v>736</v>
      </c>
      <c r="R556">
        <v>9</v>
      </c>
      <c r="S556">
        <v>50</v>
      </c>
      <c r="T556">
        <v>80</v>
      </c>
      <c r="U556">
        <v>95</v>
      </c>
      <c r="V556">
        <v>10</v>
      </c>
      <c r="W556">
        <v>45</v>
      </c>
      <c r="X556">
        <v>10</v>
      </c>
      <c r="Y556">
        <f t="shared" si="240"/>
        <v>157</v>
      </c>
      <c r="Z556">
        <f t="shared" si="241"/>
        <v>157</v>
      </c>
      <c r="AA556">
        <f t="shared" si="242"/>
        <v>125</v>
      </c>
      <c r="AB556">
        <f t="shared" si="243"/>
        <v>125</v>
      </c>
      <c r="AC556">
        <f t="shared" si="244"/>
        <v>110</v>
      </c>
      <c r="AD556">
        <f t="shared" si="245"/>
        <v>145</v>
      </c>
      <c r="AE556">
        <f t="shared" si="246"/>
        <v>132</v>
      </c>
      <c r="AF556">
        <f t="shared" si="247"/>
        <v>100</v>
      </c>
      <c r="AG556">
        <f t="shared" si="248"/>
        <v>90</v>
      </c>
      <c r="AH556">
        <f t="shared" si="249"/>
        <v>76</v>
      </c>
      <c r="AI556">
        <f t="shared" si="250"/>
        <v>161</v>
      </c>
      <c r="AJ556">
        <f t="shared" si="251"/>
        <v>147</v>
      </c>
      <c r="AK556">
        <f t="shared" si="252"/>
        <v>115</v>
      </c>
      <c r="AL556">
        <f t="shared" si="253"/>
        <v>103</v>
      </c>
      <c r="AM556">
        <f t="shared" si="254"/>
        <v>90</v>
      </c>
      <c r="AN556">
        <f t="shared" si="255"/>
        <v>68</v>
      </c>
      <c r="AO556">
        <f t="shared" si="256"/>
        <v>62</v>
      </c>
      <c r="AP556">
        <f t="shared" si="257"/>
        <v>30</v>
      </c>
      <c r="AQ556">
        <f t="shared" si="258"/>
        <v>27</v>
      </c>
      <c r="AR556">
        <f t="shared" si="259"/>
        <v>13</v>
      </c>
      <c r="AS556">
        <f t="shared" si="260"/>
        <v>106</v>
      </c>
      <c r="AT556">
        <f t="shared" si="261"/>
        <v>97</v>
      </c>
      <c r="AU556">
        <f t="shared" si="262"/>
        <v>65</v>
      </c>
      <c r="AV556">
        <f t="shared" si="263"/>
        <v>58</v>
      </c>
      <c r="AW556">
        <f t="shared" si="264"/>
        <v>45</v>
      </c>
      <c r="AX556">
        <f t="shared" si="265"/>
        <v>68</v>
      </c>
      <c r="AY556">
        <f t="shared" si="266"/>
        <v>62</v>
      </c>
      <c r="AZ556">
        <f t="shared" si="267"/>
        <v>30</v>
      </c>
      <c r="BA556">
        <f t="shared" si="268"/>
        <v>27</v>
      </c>
      <c r="BB556">
        <f t="shared" si="269"/>
        <v>13</v>
      </c>
    </row>
    <row r="557" spans="1:54" x14ac:dyDescent="0.15">
      <c r="B557" t="s">
        <v>2011</v>
      </c>
      <c r="C557">
        <v>439</v>
      </c>
      <c r="D557">
        <v>0</v>
      </c>
      <c r="E557" t="s">
        <v>2012</v>
      </c>
      <c r="G557" t="s">
        <v>2012</v>
      </c>
      <c r="J557" t="s">
        <v>2013</v>
      </c>
      <c r="K557">
        <v>13</v>
      </c>
      <c r="L557">
        <v>0.6</v>
      </c>
      <c r="M557" t="s">
        <v>191</v>
      </c>
      <c r="N557" t="s">
        <v>233</v>
      </c>
      <c r="O557" t="s">
        <v>586</v>
      </c>
      <c r="P557" t="s">
        <v>690</v>
      </c>
      <c r="Q557" t="s">
        <v>322</v>
      </c>
      <c r="R557">
        <v>8</v>
      </c>
      <c r="S557">
        <v>20</v>
      </c>
      <c r="T557">
        <v>25</v>
      </c>
      <c r="U557">
        <v>45</v>
      </c>
      <c r="V557">
        <v>70</v>
      </c>
      <c r="W557">
        <v>90</v>
      </c>
      <c r="X557">
        <v>60</v>
      </c>
      <c r="Y557">
        <f t="shared" si="240"/>
        <v>127</v>
      </c>
      <c r="Z557">
        <f t="shared" si="241"/>
        <v>127</v>
      </c>
      <c r="AA557">
        <f t="shared" si="242"/>
        <v>95</v>
      </c>
      <c r="AB557">
        <f t="shared" si="243"/>
        <v>95</v>
      </c>
      <c r="AC557">
        <f t="shared" si="244"/>
        <v>80</v>
      </c>
      <c r="AD557">
        <f t="shared" si="245"/>
        <v>84</v>
      </c>
      <c r="AE557">
        <f t="shared" si="246"/>
        <v>77</v>
      </c>
      <c r="AF557">
        <f t="shared" si="247"/>
        <v>45</v>
      </c>
      <c r="AG557">
        <f t="shared" si="248"/>
        <v>40</v>
      </c>
      <c r="AH557">
        <f t="shared" si="249"/>
        <v>27</v>
      </c>
      <c r="AI557">
        <f t="shared" si="250"/>
        <v>106</v>
      </c>
      <c r="AJ557">
        <f t="shared" si="251"/>
        <v>97</v>
      </c>
      <c r="AK557">
        <f t="shared" si="252"/>
        <v>65</v>
      </c>
      <c r="AL557">
        <f t="shared" si="253"/>
        <v>58</v>
      </c>
      <c r="AM557">
        <f t="shared" si="254"/>
        <v>45</v>
      </c>
      <c r="AN557">
        <f t="shared" si="255"/>
        <v>134</v>
      </c>
      <c r="AO557">
        <f t="shared" si="256"/>
        <v>122</v>
      </c>
      <c r="AP557">
        <f t="shared" si="257"/>
        <v>90</v>
      </c>
      <c r="AQ557">
        <f t="shared" si="258"/>
        <v>81</v>
      </c>
      <c r="AR557">
        <f t="shared" si="259"/>
        <v>67</v>
      </c>
      <c r="AS557">
        <f t="shared" si="260"/>
        <v>156</v>
      </c>
      <c r="AT557">
        <f t="shared" si="261"/>
        <v>142</v>
      </c>
      <c r="AU557">
        <f t="shared" si="262"/>
        <v>110</v>
      </c>
      <c r="AV557">
        <f t="shared" si="263"/>
        <v>99</v>
      </c>
      <c r="AW557">
        <f t="shared" si="264"/>
        <v>85</v>
      </c>
      <c r="AX557">
        <f t="shared" si="265"/>
        <v>123</v>
      </c>
      <c r="AY557">
        <f t="shared" si="266"/>
        <v>112</v>
      </c>
      <c r="AZ557">
        <f t="shared" si="267"/>
        <v>80</v>
      </c>
      <c r="BA557">
        <f t="shared" si="268"/>
        <v>72</v>
      </c>
      <c r="BB557">
        <f t="shared" si="269"/>
        <v>58</v>
      </c>
    </row>
    <row r="558" spans="1:54" x14ac:dyDescent="0.15">
      <c r="A558">
        <v>363</v>
      </c>
      <c r="B558" t="s">
        <v>2014</v>
      </c>
      <c r="C558">
        <v>440</v>
      </c>
      <c r="D558">
        <v>0</v>
      </c>
      <c r="E558" t="s">
        <v>2015</v>
      </c>
      <c r="G558" t="s">
        <v>2015</v>
      </c>
      <c r="H558" t="s">
        <v>2016</v>
      </c>
      <c r="J558" t="s">
        <v>2017</v>
      </c>
      <c r="K558">
        <v>24.4</v>
      </c>
      <c r="L558">
        <v>0.6</v>
      </c>
      <c r="M558" t="s">
        <v>120</v>
      </c>
      <c r="O558" t="s">
        <v>654</v>
      </c>
      <c r="P558" t="s">
        <v>655</v>
      </c>
      <c r="Q558" t="s">
        <v>236</v>
      </c>
      <c r="R558">
        <v>9</v>
      </c>
      <c r="S558">
        <v>100</v>
      </c>
      <c r="T558">
        <v>5</v>
      </c>
      <c r="U558">
        <v>5</v>
      </c>
      <c r="V558">
        <v>15</v>
      </c>
      <c r="W558">
        <v>65</v>
      </c>
      <c r="X558">
        <v>30</v>
      </c>
      <c r="Y558">
        <f t="shared" si="240"/>
        <v>207</v>
      </c>
      <c r="Z558">
        <f t="shared" si="241"/>
        <v>207</v>
      </c>
      <c r="AA558">
        <f t="shared" si="242"/>
        <v>175</v>
      </c>
      <c r="AB558">
        <f t="shared" si="243"/>
        <v>175</v>
      </c>
      <c r="AC558">
        <f t="shared" si="244"/>
        <v>160</v>
      </c>
      <c r="AD558">
        <f t="shared" si="245"/>
        <v>62</v>
      </c>
      <c r="AE558">
        <f t="shared" si="246"/>
        <v>57</v>
      </c>
      <c r="AF558">
        <f t="shared" si="247"/>
        <v>25</v>
      </c>
      <c r="AG558">
        <f t="shared" si="248"/>
        <v>22</v>
      </c>
      <c r="AH558">
        <f t="shared" si="249"/>
        <v>9</v>
      </c>
      <c r="AI558">
        <f t="shared" si="250"/>
        <v>62</v>
      </c>
      <c r="AJ558">
        <f t="shared" si="251"/>
        <v>57</v>
      </c>
      <c r="AK558">
        <f t="shared" si="252"/>
        <v>25</v>
      </c>
      <c r="AL558">
        <f t="shared" si="253"/>
        <v>22</v>
      </c>
      <c r="AM558">
        <f t="shared" si="254"/>
        <v>9</v>
      </c>
      <c r="AN558">
        <f t="shared" si="255"/>
        <v>73</v>
      </c>
      <c r="AO558">
        <f t="shared" si="256"/>
        <v>67</v>
      </c>
      <c r="AP558">
        <f t="shared" si="257"/>
        <v>35</v>
      </c>
      <c r="AQ558">
        <f t="shared" si="258"/>
        <v>31</v>
      </c>
      <c r="AR558">
        <f t="shared" si="259"/>
        <v>18</v>
      </c>
      <c r="AS558">
        <f t="shared" si="260"/>
        <v>128</v>
      </c>
      <c r="AT558">
        <f t="shared" si="261"/>
        <v>117</v>
      </c>
      <c r="AU558">
        <f t="shared" si="262"/>
        <v>85</v>
      </c>
      <c r="AV558">
        <f t="shared" si="263"/>
        <v>76</v>
      </c>
      <c r="AW558">
        <f t="shared" si="264"/>
        <v>63</v>
      </c>
      <c r="AX558">
        <f t="shared" si="265"/>
        <v>90</v>
      </c>
      <c r="AY558">
        <f t="shared" si="266"/>
        <v>82</v>
      </c>
      <c r="AZ558">
        <f t="shared" si="267"/>
        <v>50</v>
      </c>
      <c r="BA558">
        <f t="shared" si="268"/>
        <v>45</v>
      </c>
      <c r="BB558">
        <f t="shared" si="269"/>
        <v>31</v>
      </c>
    </row>
    <row r="559" spans="1:54" x14ac:dyDescent="0.15">
      <c r="B559" t="s">
        <v>2018</v>
      </c>
      <c r="C559">
        <v>441</v>
      </c>
      <c r="D559">
        <v>0</v>
      </c>
      <c r="E559" t="s">
        <v>2019</v>
      </c>
      <c r="G559" t="s">
        <v>2019</v>
      </c>
      <c r="J559" t="s">
        <v>2020</v>
      </c>
      <c r="K559">
        <v>1.9</v>
      </c>
      <c r="L559">
        <v>0.5</v>
      </c>
      <c r="M559" t="s">
        <v>120</v>
      </c>
      <c r="N559" t="s">
        <v>57</v>
      </c>
      <c r="O559" t="s">
        <v>121</v>
      </c>
      <c r="P559" t="s">
        <v>122</v>
      </c>
      <c r="Q559" t="s">
        <v>123</v>
      </c>
      <c r="R559">
        <v>8</v>
      </c>
      <c r="S559">
        <v>76</v>
      </c>
      <c r="T559">
        <v>65</v>
      </c>
      <c r="U559">
        <v>45</v>
      </c>
      <c r="V559">
        <v>92</v>
      </c>
      <c r="W559">
        <v>42</v>
      </c>
      <c r="X559">
        <v>91</v>
      </c>
      <c r="Y559">
        <f t="shared" si="240"/>
        <v>183</v>
      </c>
      <c r="Z559">
        <f t="shared" si="241"/>
        <v>183</v>
      </c>
      <c r="AA559">
        <f t="shared" si="242"/>
        <v>151</v>
      </c>
      <c r="AB559">
        <f t="shared" si="243"/>
        <v>151</v>
      </c>
      <c r="AC559">
        <f t="shared" si="244"/>
        <v>136</v>
      </c>
      <c r="AD559">
        <f t="shared" si="245"/>
        <v>128</v>
      </c>
      <c r="AE559">
        <f t="shared" si="246"/>
        <v>117</v>
      </c>
      <c r="AF559">
        <f t="shared" si="247"/>
        <v>85</v>
      </c>
      <c r="AG559">
        <f t="shared" si="248"/>
        <v>76</v>
      </c>
      <c r="AH559">
        <f t="shared" si="249"/>
        <v>63</v>
      </c>
      <c r="AI559">
        <f t="shared" si="250"/>
        <v>106</v>
      </c>
      <c r="AJ559">
        <f t="shared" si="251"/>
        <v>97</v>
      </c>
      <c r="AK559">
        <f t="shared" si="252"/>
        <v>65</v>
      </c>
      <c r="AL559">
        <f t="shared" si="253"/>
        <v>58</v>
      </c>
      <c r="AM559">
        <f t="shared" si="254"/>
        <v>45</v>
      </c>
      <c r="AN559">
        <f t="shared" si="255"/>
        <v>158</v>
      </c>
      <c r="AO559">
        <f t="shared" si="256"/>
        <v>144</v>
      </c>
      <c r="AP559">
        <f t="shared" si="257"/>
        <v>112</v>
      </c>
      <c r="AQ559">
        <f t="shared" si="258"/>
        <v>100</v>
      </c>
      <c r="AR559">
        <f t="shared" si="259"/>
        <v>87</v>
      </c>
      <c r="AS559">
        <f t="shared" si="260"/>
        <v>103</v>
      </c>
      <c r="AT559">
        <f t="shared" si="261"/>
        <v>94</v>
      </c>
      <c r="AU559">
        <f t="shared" si="262"/>
        <v>62</v>
      </c>
      <c r="AV559">
        <f t="shared" si="263"/>
        <v>55</v>
      </c>
      <c r="AW559">
        <f t="shared" si="264"/>
        <v>42</v>
      </c>
      <c r="AX559">
        <f t="shared" si="265"/>
        <v>157</v>
      </c>
      <c r="AY559">
        <f t="shared" si="266"/>
        <v>143</v>
      </c>
      <c r="AZ559">
        <f t="shared" si="267"/>
        <v>111</v>
      </c>
      <c r="BA559">
        <f t="shared" si="268"/>
        <v>99</v>
      </c>
      <c r="BB559">
        <f t="shared" si="269"/>
        <v>86</v>
      </c>
    </row>
    <row r="560" spans="1:54" x14ac:dyDescent="0.15">
      <c r="A560">
        <v>364</v>
      </c>
      <c r="B560" t="s">
        <v>2021</v>
      </c>
      <c r="C560">
        <v>442</v>
      </c>
      <c r="D560">
        <v>0</v>
      </c>
      <c r="E560" t="s">
        <v>2022</v>
      </c>
      <c r="G560" t="s">
        <v>2022</v>
      </c>
      <c r="H560" t="s">
        <v>2023</v>
      </c>
      <c r="J560" t="s">
        <v>2024</v>
      </c>
      <c r="K560">
        <v>108</v>
      </c>
      <c r="L560">
        <v>1</v>
      </c>
      <c r="M560" t="s">
        <v>546</v>
      </c>
      <c r="N560" t="s">
        <v>140</v>
      </c>
      <c r="O560" t="s">
        <v>792</v>
      </c>
      <c r="P560" t="s">
        <v>269</v>
      </c>
      <c r="R560">
        <v>9</v>
      </c>
      <c r="S560">
        <v>50</v>
      </c>
      <c r="T560">
        <v>92</v>
      </c>
      <c r="U560">
        <v>108</v>
      </c>
      <c r="V560">
        <v>92</v>
      </c>
      <c r="W560">
        <v>108</v>
      </c>
      <c r="X560">
        <v>35</v>
      </c>
      <c r="Y560">
        <f t="shared" si="240"/>
        <v>157</v>
      </c>
      <c r="Z560">
        <f t="shared" si="241"/>
        <v>157</v>
      </c>
      <c r="AA560">
        <f t="shared" si="242"/>
        <v>125</v>
      </c>
      <c r="AB560">
        <f t="shared" si="243"/>
        <v>125</v>
      </c>
      <c r="AC560">
        <f t="shared" si="244"/>
        <v>110</v>
      </c>
      <c r="AD560">
        <f t="shared" si="245"/>
        <v>158</v>
      </c>
      <c r="AE560">
        <f t="shared" si="246"/>
        <v>144</v>
      </c>
      <c r="AF560">
        <f t="shared" si="247"/>
        <v>112</v>
      </c>
      <c r="AG560">
        <f t="shared" si="248"/>
        <v>100</v>
      </c>
      <c r="AH560">
        <f t="shared" si="249"/>
        <v>87</v>
      </c>
      <c r="AI560">
        <f t="shared" si="250"/>
        <v>176</v>
      </c>
      <c r="AJ560">
        <f t="shared" si="251"/>
        <v>160</v>
      </c>
      <c r="AK560">
        <f t="shared" si="252"/>
        <v>128</v>
      </c>
      <c r="AL560">
        <f t="shared" si="253"/>
        <v>115</v>
      </c>
      <c r="AM560">
        <f t="shared" si="254"/>
        <v>101</v>
      </c>
      <c r="AN560">
        <f t="shared" si="255"/>
        <v>158</v>
      </c>
      <c r="AO560">
        <f t="shared" si="256"/>
        <v>144</v>
      </c>
      <c r="AP560">
        <f t="shared" si="257"/>
        <v>112</v>
      </c>
      <c r="AQ560">
        <f t="shared" si="258"/>
        <v>100</v>
      </c>
      <c r="AR560">
        <f t="shared" si="259"/>
        <v>87</v>
      </c>
      <c r="AS560">
        <f t="shared" si="260"/>
        <v>176</v>
      </c>
      <c r="AT560">
        <f t="shared" si="261"/>
        <v>160</v>
      </c>
      <c r="AU560">
        <f t="shared" si="262"/>
        <v>128</v>
      </c>
      <c r="AV560">
        <f t="shared" si="263"/>
        <v>115</v>
      </c>
      <c r="AW560">
        <f t="shared" si="264"/>
        <v>101</v>
      </c>
      <c r="AX560">
        <f t="shared" si="265"/>
        <v>95</v>
      </c>
      <c r="AY560">
        <f t="shared" si="266"/>
        <v>87</v>
      </c>
      <c r="AZ560">
        <f t="shared" si="267"/>
        <v>55</v>
      </c>
      <c r="BA560">
        <f t="shared" si="268"/>
        <v>49</v>
      </c>
      <c r="BB560">
        <f t="shared" si="269"/>
        <v>36</v>
      </c>
    </row>
    <row r="561" spans="1:54" x14ac:dyDescent="0.15">
      <c r="A561">
        <v>365</v>
      </c>
      <c r="B561" t="s">
        <v>2025</v>
      </c>
      <c r="C561">
        <v>443</v>
      </c>
      <c r="D561">
        <v>0</v>
      </c>
      <c r="E561" t="s">
        <v>2026</v>
      </c>
      <c r="G561" t="s">
        <v>2026</v>
      </c>
      <c r="H561" t="s">
        <v>2027</v>
      </c>
      <c r="J561" t="s">
        <v>2028</v>
      </c>
      <c r="K561">
        <v>20.5</v>
      </c>
      <c r="L561">
        <v>0.7</v>
      </c>
      <c r="M561" t="s">
        <v>60</v>
      </c>
      <c r="N561" t="s">
        <v>196</v>
      </c>
      <c r="O561" t="s">
        <v>197</v>
      </c>
      <c r="P561" t="s">
        <v>1507</v>
      </c>
      <c r="R561">
        <v>9</v>
      </c>
      <c r="S561">
        <v>58</v>
      </c>
      <c r="T561">
        <v>70</v>
      </c>
      <c r="U561">
        <v>45</v>
      </c>
      <c r="V561">
        <v>40</v>
      </c>
      <c r="W561">
        <v>45</v>
      </c>
      <c r="X561">
        <v>42</v>
      </c>
      <c r="Y561">
        <f t="shared" si="240"/>
        <v>165</v>
      </c>
      <c r="Z561">
        <f t="shared" si="241"/>
        <v>165</v>
      </c>
      <c r="AA561">
        <f t="shared" si="242"/>
        <v>133</v>
      </c>
      <c r="AB561">
        <f t="shared" si="243"/>
        <v>133</v>
      </c>
      <c r="AC561">
        <f t="shared" si="244"/>
        <v>118</v>
      </c>
      <c r="AD561">
        <f t="shared" si="245"/>
        <v>134</v>
      </c>
      <c r="AE561">
        <f t="shared" si="246"/>
        <v>122</v>
      </c>
      <c r="AF561">
        <f t="shared" si="247"/>
        <v>90</v>
      </c>
      <c r="AG561">
        <f t="shared" si="248"/>
        <v>81</v>
      </c>
      <c r="AH561">
        <f t="shared" si="249"/>
        <v>67</v>
      </c>
      <c r="AI561">
        <f t="shared" si="250"/>
        <v>106</v>
      </c>
      <c r="AJ561">
        <f t="shared" si="251"/>
        <v>97</v>
      </c>
      <c r="AK561">
        <f t="shared" si="252"/>
        <v>65</v>
      </c>
      <c r="AL561">
        <f t="shared" si="253"/>
        <v>58</v>
      </c>
      <c r="AM561">
        <f t="shared" si="254"/>
        <v>45</v>
      </c>
      <c r="AN561">
        <f t="shared" si="255"/>
        <v>101</v>
      </c>
      <c r="AO561">
        <f t="shared" si="256"/>
        <v>92</v>
      </c>
      <c r="AP561">
        <f t="shared" si="257"/>
        <v>60</v>
      </c>
      <c r="AQ561">
        <f t="shared" si="258"/>
        <v>54</v>
      </c>
      <c r="AR561">
        <f t="shared" si="259"/>
        <v>40</v>
      </c>
      <c r="AS561">
        <f t="shared" si="260"/>
        <v>106</v>
      </c>
      <c r="AT561">
        <f t="shared" si="261"/>
        <v>97</v>
      </c>
      <c r="AU561">
        <f t="shared" si="262"/>
        <v>65</v>
      </c>
      <c r="AV561">
        <f t="shared" si="263"/>
        <v>58</v>
      </c>
      <c r="AW561">
        <f t="shared" si="264"/>
        <v>45</v>
      </c>
      <c r="AX561">
        <f t="shared" si="265"/>
        <v>103</v>
      </c>
      <c r="AY561">
        <f t="shared" si="266"/>
        <v>94</v>
      </c>
      <c r="AZ561">
        <f t="shared" si="267"/>
        <v>62</v>
      </c>
      <c r="BA561">
        <f t="shared" si="268"/>
        <v>55</v>
      </c>
      <c r="BB561">
        <f t="shared" si="269"/>
        <v>42</v>
      </c>
    </row>
    <row r="562" spans="1:54" x14ac:dyDescent="0.15">
      <c r="A562">
        <v>366</v>
      </c>
      <c r="B562" t="s">
        <v>2029</v>
      </c>
      <c r="C562">
        <v>444</v>
      </c>
      <c r="D562">
        <v>0</v>
      </c>
      <c r="E562" t="s">
        <v>2030</v>
      </c>
      <c r="G562" t="s">
        <v>2030</v>
      </c>
      <c r="H562" t="s">
        <v>2031</v>
      </c>
      <c r="J562" t="s">
        <v>2032</v>
      </c>
      <c r="K562">
        <v>56</v>
      </c>
      <c r="L562">
        <v>1.4</v>
      </c>
      <c r="M562" t="s">
        <v>60</v>
      </c>
      <c r="N562" t="s">
        <v>196</v>
      </c>
      <c r="O562" t="s">
        <v>197</v>
      </c>
      <c r="P562" t="s">
        <v>1507</v>
      </c>
      <c r="R562">
        <v>9</v>
      </c>
      <c r="S562">
        <v>68</v>
      </c>
      <c r="T562">
        <v>90</v>
      </c>
      <c r="U562">
        <v>65</v>
      </c>
      <c r="V562">
        <v>50</v>
      </c>
      <c r="W562">
        <v>55</v>
      </c>
      <c r="X562">
        <v>82</v>
      </c>
      <c r="Y562">
        <f t="shared" si="240"/>
        <v>175</v>
      </c>
      <c r="Z562">
        <f t="shared" si="241"/>
        <v>175</v>
      </c>
      <c r="AA562">
        <f t="shared" si="242"/>
        <v>143</v>
      </c>
      <c r="AB562">
        <f t="shared" si="243"/>
        <v>143</v>
      </c>
      <c r="AC562">
        <f t="shared" si="244"/>
        <v>128</v>
      </c>
      <c r="AD562">
        <f t="shared" si="245"/>
        <v>156</v>
      </c>
      <c r="AE562">
        <f t="shared" si="246"/>
        <v>142</v>
      </c>
      <c r="AF562">
        <f t="shared" si="247"/>
        <v>110</v>
      </c>
      <c r="AG562">
        <f t="shared" si="248"/>
        <v>99</v>
      </c>
      <c r="AH562">
        <f t="shared" si="249"/>
        <v>85</v>
      </c>
      <c r="AI562">
        <f t="shared" si="250"/>
        <v>128</v>
      </c>
      <c r="AJ562">
        <f t="shared" si="251"/>
        <v>117</v>
      </c>
      <c r="AK562">
        <f t="shared" si="252"/>
        <v>85</v>
      </c>
      <c r="AL562">
        <f t="shared" si="253"/>
        <v>76</v>
      </c>
      <c r="AM562">
        <f t="shared" si="254"/>
        <v>63</v>
      </c>
      <c r="AN562">
        <f t="shared" si="255"/>
        <v>112</v>
      </c>
      <c r="AO562">
        <f t="shared" si="256"/>
        <v>102</v>
      </c>
      <c r="AP562">
        <f t="shared" si="257"/>
        <v>70</v>
      </c>
      <c r="AQ562">
        <f t="shared" si="258"/>
        <v>63</v>
      </c>
      <c r="AR562">
        <f t="shared" si="259"/>
        <v>49</v>
      </c>
      <c r="AS562">
        <f t="shared" si="260"/>
        <v>117</v>
      </c>
      <c r="AT562">
        <f t="shared" si="261"/>
        <v>107</v>
      </c>
      <c r="AU562">
        <f t="shared" si="262"/>
        <v>75</v>
      </c>
      <c r="AV562">
        <f t="shared" si="263"/>
        <v>67</v>
      </c>
      <c r="AW562">
        <f t="shared" si="264"/>
        <v>54</v>
      </c>
      <c r="AX562">
        <f t="shared" si="265"/>
        <v>147</v>
      </c>
      <c r="AY562">
        <f t="shared" si="266"/>
        <v>134</v>
      </c>
      <c r="AZ562">
        <f t="shared" si="267"/>
        <v>102</v>
      </c>
      <c r="BA562">
        <f t="shared" si="268"/>
        <v>91</v>
      </c>
      <c r="BB562">
        <f t="shared" si="269"/>
        <v>78</v>
      </c>
    </row>
    <row r="563" spans="1:54" x14ac:dyDescent="0.15">
      <c r="A563">
        <v>368</v>
      </c>
      <c r="B563" t="s">
        <v>2033</v>
      </c>
      <c r="C563">
        <v>445</v>
      </c>
      <c r="D563">
        <v>0</v>
      </c>
      <c r="E563" t="s">
        <v>2034</v>
      </c>
      <c r="G563" t="s">
        <v>2034</v>
      </c>
      <c r="H563" t="s">
        <v>2035</v>
      </c>
      <c r="J563" t="s">
        <v>2036</v>
      </c>
      <c r="K563">
        <v>95</v>
      </c>
      <c r="L563">
        <v>1.9</v>
      </c>
      <c r="M563" t="s">
        <v>60</v>
      </c>
      <c r="N563" t="s">
        <v>196</v>
      </c>
      <c r="O563" t="s">
        <v>197</v>
      </c>
      <c r="P563" t="s">
        <v>1507</v>
      </c>
      <c r="R563">
        <v>9</v>
      </c>
      <c r="S563">
        <v>108</v>
      </c>
      <c r="T563">
        <v>130</v>
      </c>
      <c r="U563">
        <v>95</v>
      </c>
      <c r="V563">
        <v>80</v>
      </c>
      <c r="W563">
        <v>85</v>
      </c>
      <c r="X563">
        <v>102</v>
      </c>
      <c r="Y563">
        <f t="shared" si="240"/>
        <v>215</v>
      </c>
      <c r="Z563">
        <f t="shared" si="241"/>
        <v>215</v>
      </c>
      <c r="AA563">
        <f t="shared" si="242"/>
        <v>183</v>
      </c>
      <c r="AB563">
        <f t="shared" si="243"/>
        <v>183</v>
      </c>
      <c r="AC563">
        <f t="shared" si="244"/>
        <v>168</v>
      </c>
      <c r="AD563">
        <f t="shared" si="245"/>
        <v>200</v>
      </c>
      <c r="AE563">
        <f t="shared" si="246"/>
        <v>182</v>
      </c>
      <c r="AF563">
        <f t="shared" si="247"/>
        <v>150</v>
      </c>
      <c r="AG563">
        <f t="shared" si="248"/>
        <v>135</v>
      </c>
      <c r="AH563">
        <f t="shared" si="249"/>
        <v>121</v>
      </c>
      <c r="AI563">
        <f t="shared" si="250"/>
        <v>161</v>
      </c>
      <c r="AJ563">
        <f t="shared" si="251"/>
        <v>147</v>
      </c>
      <c r="AK563">
        <f t="shared" si="252"/>
        <v>115</v>
      </c>
      <c r="AL563">
        <f t="shared" si="253"/>
        <v>103</v>
      </c>
      <c r="AM563">
        <f t="shared" si="254"/>
        <v>90</v>
      </c>
      <c r="AN563">
        <f t="shared" si="255"/>
        <v>145</v>
      </c>
      <c r="AO563">
        <f t="shared" si="256"/>
        <v>132</v>
      </c>
      <c r="AP563">
        <f t="shared" si="257"/>
        <v>100</v>
      </c>
      <c r="AQ563">
        <f t="shared" si="258"/>
        <v>90</v>
      </c>
      <c r="AR563">
        <f t="shared" si="259"/>
        <v>76</v>
      </c>
      <c r="AS563">
        <f t="shared" si="260"/>
        <v>150</v>
      </c>
      <c r="AT563">
        <f t="shared" si="261"/>
        <v>137</v>
      </c>
      <c r="AU563">
        <f t="shared" si="262"/>
        <v>105</v>
      </c>
      <c r="AV563">
        <f t="shared" si="263"/>
        <v>94</v>
      </c>
      <c r="AW563">
        <f t="shared" si="264"/>
        <v>81</v>
      </c>
      <c r="AX563">
        <f t="shared" si="265"/>
        <v>169</v>
      </c>
      <c r="AY563">
        <f t="shared" si="266"/>
        <v>154</v>
      </c>
      <c r="AZ563">
        <f t="shared" si="267"/>
        <v>122</v>
      </c>
      <c r="BA563">
        <f t="shared" si="268"/>
        <v>109</v>
      </c>
      <c r="BB563">
        <f t="shared" si="269"/>
        <v>96</v>
      </c>
    </row>
    <row r="564" spans="1:54" x14ac:dyDescent="0.15">
      <c r="B564" t="s">
        <v>2037</v>
      </c>
      <c r="C564">
        <v>445</v>
      </c>
      <c r="D564">
        <v>1</v>
      </c>
      <c r="E564" t="s">
        <v>2034</v>
      </c>
      <c r="F564" t="s">
        <v>2038</v>
      </c>
      <c r="G564" t="s">
        <v>2038</v>
      </c>
      <c r="J564" t="s">
        <v>2036</v>
      </c>
      <c r="K564">
        <v>95</v>
      </c>
      <c r="L564">
        <v>1.9</v>
      </c>
      <c r="M564" t="s">
        <v>60</v>
      </c>
      <c r="N564" t="s">
        <v>196</v>
      </c>
      <c r="O564" t="s">
        <v>306</v>
      </c>
      <c r="P564" t="s">
        <v>1507</v>
      </c>
      <c r="R564">
        <v>7</v>
      </c>
      <c r="S564">
        <v>108</v>
      </c>
      <c r="T564">
        <v>130</v>
      </c>
      <c r="U564">
        <v>95</v>
      </c>
      <c r="V564">
        <v>80</v>
      </c>
      <c r="W564">
        <v>85</v>
      </c>
      <c r="X564">
        <v>102</v>
      </c>
      <c r="Y564">
        <f t="shared" si="240"/>
        <v>215</v>
      </c>
      <c r="Z564">
        <f t="shared" si="241"/>
        <v>215</v>
      </c>
      <c r="AA564">
        <f t="shared" si="242"/>
        <v>183</v>
      </c>
      <c r="AB564">
        <f t="shared" si="243"/>
        <v>183</v>
      </c>
      <c r="AC564">
        <f t="shared" si="244"/>
        <v>168</v>
      </c>
      <c r="AD564">
        <f t="shared" si="245"/>
        <v>200</v>
      </c>
      <c r="AE564">
        <f t="shared" si="246"/>
        <v>182</v>
      </c>
      <c r="AF564">
        <f t="shared" si="247"/>
        <v>150</v>
      </c>
      <c r="AG564">
        <f t="shared" si="248"/>
        <v>135</v>
      </c>
      <c r="AH564">
        <f t="shared" si="249"/>
        <v>121</v>
      </c>
      <c r="AI564">
        <f t="shared" si="250"/>
        <v>161</v>
      </c>
      <c r="AJ564">
        <f t="shared" si="251"/>
        <v>147</v>
      </c>
      <c r="AK564">
        <f t="shared" si="252"/>
        <v>115</v>
      </c>
      <c r="AL564">
        <f t="shared" si="253"/>
        <v>103</v>
      </c>
      <c r="AM564">
        <f t="shared" si="254"/>
        <v>90</v>
      </c>
      <c r="AN564">
        <f t="shared" si="255"/>
        <v>145</v>
      </c>
      <c r="AO564">
        <f t="shared" si="256"/>
        <v>132</v>
      </c>
      <c r="AP564">
        <f t="shared" si="257"/>
        <v>100</v>
      </c>
      <c r="AQ564">
        <f t="shared" si="258"/>
        <v>90</v>
      </c>
      <c r="AR564">
        <f t="shared" si="259"/>
        <v>76</v>
      </c>
      <c r="AS564">
        <f t="shared" si="260"/>
        <v>150</v>
      </c>
      <c r="AT564">
        <f t="shared" si="261"/>
        <v>137</v>
      </c>
      <c r="AU564">
        <f t="shared" si="262"/>
        <v>105</v>
      </c>
      <c r="AV564">
        <f t="shared" si="263"/>
        <v>94</v>
      </c>
      <c r="AW564">
        <f t="shared" si="264"/>
        <v>81</v>
      </c>
      <c r="AX564">
        <f t="shared" si="265"/>
        <v>169</v>
      </c>
      <c r="AY564">
        <f t="shared" si="266"/>
        <v>154</v>
      </c>
      <c r="AZ564">
        <f t="shared" si="267"/>
        <v>122</v>
      </c>
      <c r="BA564">
        <f t="shared" si="268"/>
        <v>109</v>
      </c>
      <c r="BB564">
        <f t="shared" si="269"/>
        <v>96</v>
      </c>
    </row>
    <row r="565" spans="1:54" x14ac:dyDescent="0.15">
      <c r="A565">
        <v>369</v>
      </c>
      <c r="B565" t="s">
        <v>2039</v>
      </c>
      <c r="C565">
        <v>446</v>
      </c>
      <c r="D565">
        <v>0</v>
      </c>
      <c r="E565" t="s">
        <v>2040</v>
      </c>
      <c r="G565" t="s">
        <v>2040</v>
      </c>
      <c r="H565" t="s">
        <v>2041</v>
      </c>
      <c r="J565" t="s">
        <v>2042</v>
      </c>
      <c r="K565">
        <v>105</v>
      </c>
      <c r="L565">
        <v>0.6</v>
      </c>
      <c r="M565" t="s">
        <v>120</v>
      </c>
      <c r="O565" t="s">
        <v>321</v>
      </c>
      <c r="P565" t="s">
        <v>38</v>
      </c>
      <c r="Q565" t="s">
        <v>141</v>
      </c>
      <c r="R565">
        <v>9</v>
      </c>
      <c r="S565">
        <v>135</v>
      </c>
      <c r="T565">
        <v>85</v>
      </c>
      <c r="U565">
        <v>40</v>
      </c>
      <c r="V565">
        <v>40</v>
      </c>
      <c r="W565">
        <v>85</v>
      </c>
      <c r="X565">
        <v>5</v>
      </c>
      <c r="Y565">
        <f t="shared" si="240"/>
        <v>242</v>
      </c>
      <c r="Z565">
        <f t="shared" si="241"/>
        <v>242</v>
      </c>
      <c r="AA565">
        <f t="shared" si="242"/>
        <v>210</v>
      </c>
      <c r="AB565">
        <f t="shared" si="243"/>
        <v>210</v>
      </c>
      <c r="AC565">
        <f t="shared" si="244"/>
        <v>195</v>
      </c>
      <c r="AD565">
        <f t="shared" si="245"/>
        <v>150</v>
      </c>
      <c r="AE565">
        <f t="shared" si="246"/>
        <v>137</v>
      </c>
      <c r="AF565">
        <f t="shared" si="247"/>
        <v>105</v>
      </c>
      <c r="AG565">
        <f t="shared" si="248"/>
        <v>94</v>
      </c>
      <c r="AH565">
        <f t="shared" si="249"/>
        <v>81</v>
      </c>
      <c r="AI565">
        <f t="shared" si="250"/>
        <v>101</v>
      </c>
      <c r="AJ565">
        <f t="shared" si="251"/>
        <v>92</v>
      </c>
      <c r="AK565">
        <f t="shared" si="252"/>
        <v>60</v>
      </c>
      <c r="AL565">
        <f t="shared" si="253"/>
        <v>54</v>
      </c>
      <c r="AM565">
        <f t="shared" si="254"/>
        <v>40</v>
      </c>
      <c r="AN565">
        <f t="shared" si="255"/>
        <v>101</v>
      </c>
      <c r="AO565">
        <f t="shared" si="256"/>
        <v>92</v>
      </c>
      <c r="AP565">
        <f t="shared" si="257"/>
        <v>60</v>
      </c>
      <c r="AQ565">
        <f t="shared" si="258"/>
        <v>54</v>
      </c>
      <c r="AR565">
        <f t="shared" si="259"/>
        <v>40</v>
      </c>
      <c r="AS565">
        <f t="shared" si="260"/>
        <v>150</v>
      </c>
      <c r="AT565">
        <f t="shared" si="261"/>
        <v>137</v>
      </c>
      <c r="AU565">
        <f t="shared" si="262"/>
        <v>105</v>
      </c>
      <c r="AV565">
        <f t="shared" si="263"/>
        <v>94</v>
      </c>
      <c r="AW565">
        <f t="shared" si="264"/>
        <v>81</v>
      </c>
      <c r="AX565">
        <f t="shared" si="265"/>
        <v>62</v>
      </c>
      <c r="AY565">
        <f t="shared" si="266"/>
        <v>57</v>
      </c>
      <c r="AZ565">
        <f t="shared" si="267"/>
        <v>25</v>
      </c>
      <c r="BA565">
        <f t="shared" si="268"/>
        <v>22</v>
      </c>
      <c r="BB565">
        <f t="shared" si="269"/>
        <v>9</v>
      </c>
    </row>
    <row r="566" spans="1:54" x14ac:dyDescent="0.15">
      <c r="A566">
        <v>370</v>
      </c>
      <c r="B566" t="s">
        <v>2043</v>
      </c>
      <c r="C566">
        <v>447</v>
      </c>
      <c r="D566">
        <v>0</v>
      </c>
      <c r="E566" t="s">
        <v>2044</v>
      </c>
      <c r="G566" t="s">
        <v>2044</v>
      </c>
      <c r="H566" t="s">
        <v>2045</v>
      </c>
      <c r="J566" t="s">
        <v>2046</v>
      </c>
      <c r="K566">
        <v>20.2</v>
      </c>
      <c r="L566">
        <v>0.7</v>
      </c>
      <c r="M566" t="s">
        <v>354</v>
      </c>
      <c r="O566" t="s">
        <v>404</v>
      </c>
      <c r="P566" t="s">
        <v>268</v>
      </c>
      <c r="Q566" t="s">
        <v>1027</v>
      </c>
      <c r="R566">
        <v>9</v>
      </c>
      <c r="S566">
        <v>40</v>
      </c>
      <c r="T566">
        <v>70</v>
      </c>
      <c r="U566">
        <v>40</v>
      </c>
      <c r="V566">
        <v>35</v>
      </c>
      <c r="W566">
        <v>40</v>
      </c>
      <c r="X566">
        <v>60</v>
      </c>
      <c r="Y566">
        <f t="shared" si="240"/>
        <v>147</v>
      </c>
      <c r="Z566">
        <f t="shared" si="241"/>
        <v>147</v>
      </c>
      <c r="AA566">
        <f t="shared" si="242"/>
        <v>115</v>
      </c>
      <c r="AB566">
        <f t="shared" si="243"/>
        <v>115</v>
      </c>
      <c r="AC566">
        <f t="shared" si="244"/>
        <v>100</v>
      </c>
      <c r="AD566">
        <f t="shared" si="245"/>
        <v>134</v>
      </c>
      <c r="AE566">
        <f t="shared" si="246"/>
        <v>122</v>
      </c>
      <c r="AF566">
        <f t="shared" si="247"/>
        <v>90</v>
      </c>
      <c r="AG566">
        <f t="shared" si="248"/>
        <v>81</v>
      </c>
      <c r="AH566">
        <f t="shared" si="249"/>
        <v>67</v>
      </c>
      <c r="AI566">
        <f t="shared" si="250"/>
        <v>101</v>
      </c>
      <c r="AJ566">
        <f t="shared" si="251"/>
        <v>92</v>
      </c>
      <c r="AK566">
        <f t="shared" si="252"/>
        <v>60</v>
      </c>
      <c r="AL566">
        <f t="shared" si="253"/>
        <v>54</v>
      </c>
      <c r="AM566">
        <f t="shared" si="254"/>
        <v>40</v>
      </c>
      <c r="AN566">
        <f t="shared" si="255"/>
        <v>95</v>
      </c>
      <c r="AO566">
        <f t="shared" si="256"/>
        <v>87</v>
      </c>
      <c r="AP566">
        <f t="shared" si="257"/>
        <v>55</v>
      </c>
      <c r="AQ566">
        <f t="shared" si="258"/>
        <v>49</v>
      </c>
      <c r="AR566">
        <f t="shared" si="259"/>
        <v>36</v>
      </c>
      <c r="AS566">
        <f t="shared" si="260"/>
        <v>101</v>
      </c>
      <c r="AT566">
        <f t="shared" si="261"/>
        <v>92</v>
      </c>
      <c r="AU566">
        <f t="shared" si="262"/>
        <v>60</v>
      </c>
      <c r="AV566">
        <f t="shared" si="263"/>
        <v>54</v>
      </c>
      <c r="AW566">
        <f t="shared" si="264"/>
        <v>40</v>
      </c>
      <c r="AX566">
        <f t="shared" si="265"/>
        <v>123</v>
      </c>
      <c r="AY566">
        <f t="shared" si="266"/>
        <v>112</v>
      </c>
      <c r="AZ566">
        <f t="shared" si="267"/>
        <v>80</v>
      </c>
      <c r="BA566">
        <f t="shared" si="268"/>
        <v>72</v>
      </c>
      <c r="BB566">
        <f t="shared" si="269"/>
        <v>58</v>
      </c>
    </row>
    <row r="567" spans="1:54" x14ac:dyDescent="0.15">
      <c r="A567">
        <v>371</v>
      </c>
      <c r="B567" t="s">
        <v>2047</v>
      </c>
      <c r="C567">
        <v>448</v>
      </c>
      <c r="D567">
        <v>0</v>
      </c>
      <c r="E567" t="s">
        <v>2048</v>
      </c>
      <c r="G567" t="s">
        <v>2048</v>
      </c>
      <c r="H567" t="s">
        <v>2049</v>
      </c>
      <c r="J567" t="s">
        <v>2050</v>
      </c>
      <c r="K567">
        <v>54</v>
      </c>
      <c r="L567">
        <v>1.2</v>
      </c>
      <c r="M567" t="s">
        <v>354</v>
      </c>
      <c r="N567" t="s">
        <v>203</v>
      </c>
      <c r="O567" t="s">
        <v>404</v>
      </c>
      <c r="P567" t="s">
        <v>268</v>
      </c>
      <c r="Q567" t="s">
        <v>365</v>
      </c>
      <c r="R567">
        <v>9</v>
      </c>
      <c r="S567">
        <v>70</v>
      </c>
      <c r="T567">
        <v>110</v>
      </c>
      <c r="U567">
        <v>70</v>
      </c>
      <c r="V567">
        <v>115</v>
      </c>
      <c r="W567">
        <v>70</v>
      </c>
      <c r="X567">
        <v>90</v>
      </c>
      <c r="Y567">
        <f t="shared" si="240"/>
        <v>177</v>
      </c>
      <c r="Z567">
        <f t="shared" si="241"/>
        <v>177</v>
      </c>
      <c r="AA567">
        <f t="shared" si="242"/>
        <v>145</v>
      </c>
      <c r="AB567">
        <f t="shared" si="243"/>
        <v>145</v>
      </c>
      <c r="AC567">
        <f t="shared" si="244"/>
        <v>130</v>
      </c>
      <c r="AD567">
        <f t="shared" si="245"/>
        <v>178</v>
      </c>
      <c r="AE567">
        <f t="shared" si="246"/>
        <v>162</v>
      </c>
      <c r="AF567">
        <f t="shared" si="247"/>
        <v>130</v>
      </c>
      <c r="AG567">
        <f t="shared" si="248"/>
        <v>117</v>
      </c>
      <c r="AH567">
        <f t="shared" si="249"/>
        <v>103</v>
      </c>
      <c r="AI567">
        <f t="shared" si="250"/>
        <v>134</v>
      </c>
      <c r="AJ567">
        <f t="shared" si="251"/>
        <v>122</v>
      </c>
      <c r="AK567">
        <f t="shared" si="252"/>
        <v>90</v>
      </c>
      <c r="AL567">
        <f t="shared" si="253"/>
        <v>81</v>
      </c>
      <c r="AM567">
        <f t="shared" si="254"/>
        <v>67</v>
      </c>
      <c r="AN567">
        <f t="shared" si="255"/>
        <v>183</v>
      </c>
      <c r="AO567">
        <f t="shared" si="256"/>
        <v>167</v>
      </c>
      <c r="AP567">
        <f t="shared" si="257"/>
        <v>135</v>
      </c>
      <c r="AQ567">
        <f t="shared" si="258"/>
        <v>121</v>
      </c>
      <c r="AR567">
        <f t="shared" si="259"/>
        <v>108</v>
      </c>
      <c r="AS567">
        <f t="shared" si="260"/>
        <v>134</v>
      </c>
      <c r="AT567">
        <f t="shared" si="261"/>
        <v>122</v>
      </c>
      <c r="AU567">
        <f t="shared" si="262"/>
        <v>90</v>
      </c>
      <c r="AV567">
        <f t="shared" si="263"/>
        <v>81</v>
      </c>
      <c r="AW567">
        <f t="shared" si="264"/>
        <v>67</v>
      </c>
      <c r="AX567">
        <f t="shared" si="265"/>
        <v>156</v>
      </c>
      <c r="AY567">
        <f t="shared" si="266"/>
        <v>142</v>
      </c>
      <c r="AZ567">
        <f t="shared" si="267"/>
        <v>110</v>
      </c>
      <c r="BA567">
        <f t="shared" si="268"/>
        <v>99</v>
      </c>
      <c r="BB567">
        <f t="shared" si="269"/>
        <v>85</v>
      </c>
    </row>
    <row r="568" spans="1:54" x14ac:dyDescent="0.15">
      <c r="B568" t="s">
        <v>2051</v>
      </c>
      <c r="C568">
        <v>448</v>
      </c>
      <c r="D568">
        <v>1</v>
      </c>
      <c r="E568" t="s">
        <v>2048</v>
      </c>
      <c r="F568" t="s">
        <v>2052</v>
      </c>
      <c r="G568" t="s">
        <v>2052</v>
      </c>
      <c r="J568" t="s">
        <v>2050</v>
      </c>
      <c r="K568">
        <v>57.5</v>
      </c>
      <c r="L568">
        <v>1.3</v>
      </c>
      <c r="M568" t="s">
        <v>354</v>
      </c>
      <c r="N568" t="s">
        <v>203</v>
      </c>
      <c r="O568" t="s">
        <v>116</v>
      </c>
      <c r="P568" t="s">
        <v>365</v>
      </c>
      <c r="R568">
        <v>7</v>
      </c>
      <c r="S568">
        <v>70</v>
      </c>
      <c r="T568">
        <v>110</v>
      </c>
      <c r="U568">
        <v>70</v>
      </c>
      <c r="V568">
        <v>115</v>
      </c>
      <c r="W568">
        <v>70</v>
      </c>
      <c r="X568">
        <v>90</v>
      </c>
      <c r="Y568">
        <f t="shared" si="240"/>
        <v>177</v>
      </c>
      <c r="Z568">
        <f t="shared" si="241"/>
        <v>177</v>
      </c>
      <c r="AA568">
        <f t="shared" si="242"/>
        <v>145</v>
      </c>
      <c r="AB568">
        <f t="shared" si="243"/>
        <v>145</v>
      </c>
      <c r="AC568">
        <f t="shared" si="244"/>
        <v>130</v>
      </c>
      <c r="AD568">
        <f t="shared" si="245"/>
        <v>178</v>
      </c>
      <c r="AE568">
        <f t="shared" si="246"/>
        <v>162</v>
      </c>
      <c r="AF568">
        <f t="shared" si="247"/>
        <v>130</v>
      </c>
      <c r="AG568">
        <f t="shared" si="248"/>
        <v>117</v>
      </c>
      <c r="AH568">
        <f t="shared" si="249"/>
        <v>103</v>
      </c>
      <c r="AI568">
        <f t="shared" si="250"/>
        <v>134</v>
      </c>
      <c r="AJ568">
        <f t="shared" si="251"/>
        <v>122</v>
      </c>
      <c r="AK568">
        <f t="shared" si="252"/>
        <v>90</v>
      </c>
      <c r="AL568">
        <f t="shared" si="253"/>
        <v>81</v>
      </c>
      <c r="AM568">
        <f t="shared" si="254"/>
        <v>67</v>
      </c>
      <c r="AN568">
        <f t="shared" si="255"/>
        <v>183</v>
      </c>
      <c r="AO568">
        <f t="shared" si="256"/>
        <v>167</v>
      </c>
      <c r="AP568">
        <f t="shared" si="257"/>
        <v>135</v>
      </c>
      <c r="AQ568">
        <f t="shared" si="258"/>
        <v>121</v>
      </c>
      <c r="AR568">
        <f t="shared" si="259"/>
        <v>108</v>
      </c>
      <c r="AS568">
        <f t="shared" si="260"/>
        <v>134</v>
      </c>
      <c r="AT568">
        <f t="shared" si="261"/>
        <v>122</v>
      </c>
      <c r="AU568">
        <f t="shared" si="262"/>
        <v>90</v>
      </c>
      <c r="AV568">
        <f t="shared" si="263"/>
        <v>81</v>
      </c>
      <c r="AW568">
        <f t="shared" si="264"/>
        <v>67</v>
      </c>
      <c r="AX568">
        <f t="shared" si="265"/>
        <v>156</v>
      </c>
      <c r="AY568">
        <f t="shared" si="266"/>
        <v>142</v>
      </c>
      <c r="AZ568">
        <f t="shared" si="267"/>
        <v>110</v>
      </c>
      <c r="BA568">
        <f t="shared" si="268"/>
        <v>99</v>
      </c>
      <c r="BB568">
        <f t="shared" si="269"/>
        <v>85</v>
      </c>
    </row>
    <row r="569" spans="1:54" x14ac:dyDescent="0.15">
      <c r="A569">
        <v>372</v>
      </c>
      <c r="B569" t="s">
        <v>2053</v>
      </c>
      <c r="C569">
        <v>449</v>
      </c>
      <c r="D569">
        <v>0</v>
      </c>
      <c r="E569" t="s">
        <v>2054</v>
      </c>
      <c r="G569" t="s">
        <v>2054</v>
      </c>
      <c r="H569" t="s">
        <v>2055</v>
      </c>
      <c r="J569" t="s">
        <v>2056</v>
      </c>
      <c r="K569">
        <v>49.5</v>
      </c>
      <c r="L569">
        <v>0.8</v>
      </c>
      <c r="M569" t="s">
        <v>196</v>
      </c>
      <c r="O569" t="s">
        <v>1235</v>
      </c>
      <c r="P569" t="s">
        <v>306</v>
      </c>
      <c r="R569">
        <v>9</v>
      </c>
      <c r="S569">
        <v>68</v>
      </c>
      <c r="T569">
        <v>72</v>
      </c>
      <c r="U569">
        <v>78</v>
      </c>
      <c r="V569">
        <v>38</v>
      </c>
      <c r="W569">
        <v>42</v>
      </c>
      <c r="X569">
        <v>32</v>
      </c>
      <c r="Y569">
        <f t="shared" si="240"/>
        <v>175</v>
      </c>
      <c r="Z569">
        <f t="shared" si="241"/>
        <v>175</v>
      </c>
      <c r="AA569">
        <f t="shared" si="242"/>
        <v>143</v>
      </c>
      <c r="AB569">
        <f t="shared" si="243"/>
        <v>143</v>
      </c>
      <c r="AC569">
        <f t="shared" si="244"/>
        <v>128</v>
      </c>
      <c r="AD569">
        <f t="shared" si="245"/>
        <v>136</v>
      </c>
      <c r="AE569">
        <f t="shared" si="246"/>
        <v>124</v>
      </c>
      <c r="AF569">
        <f t="shared" si="247"/>
        <v>92</v>
      </c>
      <c r="AG569">
        <f t="shared" si="248"/>
        <v>82</v>
      </c>
      <c r="AH569">
        <f t="shared" si="249"/>
        <v>69</v>
      </c>
      <c r="AI569">
        <f t="shared" si="250"/>
        <v>143</v>
      </c>
      <c r="AJ569">
        <f t="shared" si="251"/>
        <v>130</v>
      </c>
      <c r="AK569">
        <f t="shared" si="252"/>
        <v>98</v>
      </c>
      <c r="AL569">
        <f t="shared" si="253"/>
        <v>88</v>
      </c>
      <c r="AM569">
        <f t="shared" si="254"/>
        <v>74</v>
      </c>
      <c r="AN569">
        <f t="shared" si="255"/>
        <v>99</v>
      </c>
      <c r="AO569">
        <f t="shared" si="256"/>
        <v>90</v>
      </c>
      <c r="AP569">
        <f t="shared" si="257"/>
        <v>58</v>
      </c>
      <c r="AQ569">
        <f t="shared" si="258"/>
        <v>52</v>
      </c>
      <c r="AR569">
        <f t="shared" si="259"/>
        <v>38</v>
      </c>
      <c r="AS569">
        <f t="shared" si="260"/>
        <v>103</v>
      </c>
      <c r="AT569">
        <f t="shared" si="261"/>
        <v>94</v>
      </c>
      <c r="AU569">
        <f t="shared" si="262"/>
        <v>62</v>
      </c>
      <c r="AV569">
        <f t="shared" si="263"/>
        <v>55</v>
      </c>
      <c r="AW569">
        <f t="shared" si="264"/>
        <v>42</v>
      </c>
      <c r="AX569">
        <f t="shared" si="265"/>
        <v>92</v>
      </c>
      <c r="AY569">
        <f t="shared" si="266"/>
        <v>84</v>
      </c>
      <c r="AZ569">
        <f t="shared" si="267"/>
        <v>52</v>
      </c>
      <c r="BA569">
        <f t="shared" si="268"/>
        <v>46</v>
      </c>
      <c r="BB569">
        <f t="shared" si="269"/>
        <v>33</v>
      </c>
    </row>
    <row r="570" spans="1:54" x14ac:dyDescent="0.15">
      <c r="A570">
        <v>373</v>
      </c>
      <c r="B570" t="s">
        <v>2057</v>
      </c>
      <c r="C570">
        <v>450</v>
      </c>
      <c r="D570">
        <v>0</v>
      </c>
      <c r="E570" t="s">
        <v>2058</v>
      </c>
      <c r="G570" t="s">
        <v>2058</v>
      </c>
      <c r="H570" t="s">
        <v>2059</v>
      </c>
      <c r="J570" t="s">
        <v>2060</v>
      </c>
      <c r="K570">
        <v>300</v>
      </c>
      <c r="L570">
        <v>2</v>
      </c>
      <c r="M570" t="s">
        <v>196</v>
      </c>
      <c r="O570" t="s">
        <v>1235</v>
      </c>
      <c r="P570" t="s">
        <v>306</v>
      </c>
      <c r="R570">
        <v>9</v>
      </c>
      <c r="S570">
        <v>108</v>
      </c>
      <c r="T570">
        <v>112</v>
      </c>
      <c r="U570">
        <v>118</v>
      </c>
      <c r="V570">
        <v>68</v>
      </c>
      <c r="W570">
        <v>72</v>
      </c>
      <c r="X570">
        <v>47</v>
      </c>
      <c r="Y570">
        <f t="shared" si="240"/>
        <v>215</v>
      </c>
      <c r="Z570">
        <f t="shared" si="241"/>
        <v>215</v>
      </c>
      <c r="AA570">
        <f t="shared" si="242"/>
        <v>183</v>
      </c>
      <c r="AB570">
        <f t="shared" si="243"/>
        <v>183</v>
      </c>
      <c r="AC570">
        <f t="shared" si="244"/>
        <v>168</v>
      </c>
      <c r="AD570">
        <f t="shared" si="245"/>
        <v>180</v>
      </c>
      <c r="AE570">
        <f t="shared" si="246"/>
        <v>164</v>
      </c>
      <c r="AF570">
        <f t="shared" si="247"/>
        <v>132</v>
      </c>
      <c r="AG570">
        <f t="shared" si="248"/>
        <v>118</v>
      </c>
      <c r="AH570">
        <f t="shared" si="249"/>
        <v>105</v>
      </c>
      <c r="AI570">
        <f t="shared" si="250"/>
        <v>187</v>
      </c>
      <c r="AJ570">
        <f t="shared" si="251"/>
        <v>170</v>
      </c>
      <c r="AK570">
        <f t="shared" si="252"/>
        <v>138</v>
      </c>
      <c r="AL570">
        <f t="shared" si="253"/>
        <v>124</v>
      </c>
      <c r="AM570">
        <f t="shared" si="254"/>
        <v>110</v>
      </c>
      <c r="AN570">
        <f t="shared" si="255"/>
        <v>132</v>
      </c>
      <c r="AO570">
        <f t="shared" si="256"/>
        <v>120</v>
      </c>
      <c r="AP570">
        <f t="shared" si="257"/>
        <v>88</v>
      </c>
      <c r="AQ570">
        <f t="shared" si="258"/>
        <v>79</v>
      </c>
      <c r="AR570">
        <f t="shared" si="259"/>
        <v>65</v>
      </c>
      <c r="AS570">
        <f t="shared" si="260"/>
        <v>136</v>
      </c>
      <c r="AT570">
        <f t="shared" si="261"/>
        <v>124</v>
      </c>
      <c r="AU570">
        <f t="shared" si="262"/>
        <v>92</v>
      </c>
      <c r="AV570">
        <f t="shared" si="263"/>
        <v>82</v>
      </c>
      <c r="AW570">
        <f t="shared" si="264"/>
        <v>69</v>
      </c>
      <c r="AX570">
        <f t="shared" si="265"/>
        <v>108</v>
      </c>
      <c r="AY570">
        <f t="shared" si="266"/>
        <v>99</v>
      </c>
      <c r="AZ570">
        <f t="shared" si="267"/>
        <v>67</v>
      </c>
      <c r="BA570">
        <f t="shared" si="268"/>
        <v>60</v>
      </c>
      <c r="BB570">
        <f t="shared" si="269"/>
        <v>46</v>
      </c>
    </row>
    <row r="571" spans="1:54" x14ac:dyDescent="0.15">
      <c r="B571" t="s">
        <v>2061</v>
      </c>
      <c r="C571">
        <v>451</v>
      </c>
      <c r="D571">
        <v>0</v>
      </c>
      <c r="E571" t="s">
        <v>2062</v>
      </c>
      <c r="G571" t="s">
        <v>2062</v>
      </c>
      <c r="J571" t="s">
        <v>2063</v>
      </c>
      <c r="K571">
        <v>12</v>
      </c>
      <c r="L571">
        <v>0.8</v>
      </c>
      <c r="M571" t="s">
        <v>27</v>
      </c>
      <c r="N571" t="s">
        <v>90</v>
      </c>
      <c r="O571" t="s">
        <v>613</v>
      </c>
      <c r="P571" t="s">
        <v>113</v>
      </c>
      <c r="Q571" t="s">
        <v>121</v>
      </c>
      <c r="R571">
        <v>8</v>
      </c>
      <c r="S571">
        <v>40</v>
      </c>
      <c r="T571">
        <v>50</v>
      </c>
      <c r="U571">
        <v>90</v>
      </c>
      <c r="V571">
        <v>30</v>
      </c>
      <c r="W571">
        <v>55</v>
      </c>
      <c r="X571">
        <v>65</v>
      </c>
      <c r="Y571">
        <f t="shared" si="240"/>
        <v>147</v>
      </c>
      <c r="Z571">
        <f t="shared" si="241"/>
        <v>147</v>
      </c>
      <c r="AA571">
        <f t="shared" si="242"/>
        <v>115</v>
      </c>
      <c r="AB571">
        <f t="shared" si="243"/>
        <v>115</v>
      </c>
      <c r="AC571">
        <f t="shared" si="244"/>
        <v>100</v>
      </c>
      <c r="AD571">
        <f t="shared" si="245"/>
        <v>112</v>
      </c>
      <c r="AE571">
        <f t="shared" si="246"/>
        <v>102</v>
      </c>
      <c r="AF571">
        <f t="shared" si="247"/>
        <v>70</v>
      </c>
      <c r="AG571">
        <f t="shared" si="248"/>
        <v>63</v>
      </c>
      <c r="AH571">
        <f t="shared" si="249"/>
        <v>49</v>
      </c>
      <c r="AI571">
        <f t="shared" si="250"/>
        <v>156</v>
      </c>
      <c r="AJ571">
        <f t="shared" si="251"/>
        <v>142</v>
      </c>
      <c r="AK571">
        <f t="shared" si="252"/>
        <v>110</v>
      </c>
      <c r="AL571">
        <f t="shared" si="253"/>
        <v>99</v>
      </c>
      <c r="AM571">
        <f t="shared" si="254"/>
        <v>85</v>
      </c>
      <c r="AN571">
        <f t="shared" si="255"/>
        <v>90</v>
      </c>
      <c r="AO571">
        <f t="shared" si="256"/>
        <v>82</v>
      </c>
      <c r="AP571">
        <f t="shared" si="257"/>
        <v>50</v>
      </c>
      <c r="AQ571">
        <f t="shared" si="258"/>
        <v>45</v>
      </c>
      <c r="AR571">
        <f t="shared" si="259"/>
        <v>31</v>
      </c>
      <c r="AS571">
        <f t="shared" si="260"/>
        <v>117</v>
      </c>
      <c r="AT571">
        <f t="shared" si="261"/>
        <v>107</v>
      </c>
      <c r="AU571">
        <f t="shared" si="262"/>
        <v>75</v>
      </c>
      <c r="AV571">
        <f t="shared" si="263"/>
        <v>67</v>
      </c>
      <c r="AW571">
        <f t="shared" si="264"/>
        <v>54</v>
      </c>
      <c r="AX571">
        <f t="shared" si="265"/>
        <v>128</v>
      </c>
      <c r="AY571">
        <f t="shared" si="266"/>
        <v>117</v>
      </c>
      <c r="AZ571">
        <f t="shared" si="267"/>
        <v>85</v>
      </c>
      <c r="BA571">
        <f t="shared" si="268"/>
        <v>76</v>
      </c>
      <c r="BB571">
        <f t="shared" si="269"/>
        <v>63</v>
      </c>
    </row>
    <row r="572" spans="1:54" x14ac:dyDescent="0.15">
      <c r="B572" t="s">
        <v>2064</v>
      </c>
      <c r="C572">
        <v>452</v>
      </c>
      <c r="D572">
        <v>0</v>
      </c>
      <c r="E572" t="s">
        <v>2065</v>
      </c>
      <c r="G572" t="s">
        <v>2065</v>
      </c>
      <c r="J572" t="s">
        <v>2066</v>
      </c>
      <c r="K572">
        <v>61.5</v>
      </c>
      <c r="L572">
        <v>1.3</v>
      </c>
      <c r="M572" t="s">
        <v>27</v>
      </c>
      <c r="N572" t="s">
        <v>140</v>
      </c>
      <c r="O572" t="s">
        <v>613</v>
      </c>
      <c r="P572" t="s">
        <v>113</v>
      </c>
      <c r="Q572" t="s">
        <v>121</v>
      </c>
      <c r="R572">
        <v>8</v>
      </c>
      <c r="S572">
        <v>70</v>
      </c>
      <c r="T572">
        <v>90</v>
      </c>
      <c r="U572">
        <v>110</v>
      </c>
      <c r="V572">
        <v>60</v>
      </c>
      <c r="W572">
        <v>75</v>
      </c>
      <c r="X572">
        <v>95</v>
      </c>
      <c r="Y572">
        <f t="shared" si="240"/>
        <v>177</v>
      </c>
      <c r="Z572">
        <f t="shared" si="241"/>
        <v>177</v>
      </c>
      <c r="AA572">
        <f t="shared" si="242"/>
        <v>145</v>
      </c>
      <c r="AB572">
        <f t="shared" si="243"/>
        <v>145</v>
      </c>
      <c r="AC572">
        <f t="shared" si="244"/>
        <v>130</v>
      </c>
      <c r="AD572">
        <f t="shared" si="245"/>
        <v>156</v>
      </c>
      <c r="AE572">
        <f t="shared" si="246"/>
        <v>142</v>
      </c>
      <c r="AF572">
        <f t="shared" si="247"/>
        <v>110</v>
      </c>
      <c r="AG572">
        <f t="shared" si="248"/>
        <v>99</v>
      </c>
      <c r="AH572">
        <f t="shared" si="249"/>
        <v>85</v>
      </c>
      <c r="AI572">
        <f t="shared" si="250"/>
        <v>178</v>
      </c>
      <c r="AJ572">
        <f t="shared" si="251"/>
        <v>162</v>
      </c>
      <c r="AK572">
        <f t="shared" si="252"/>
        <v>130</v>
      </c>
      <c r="AL572">
        <f t="shared" si="253"/>
        <v>117</v>
      </c>
      <c r="AM572">
        <f t="shared" si="254"/>
        <v>103</v>
      </c>
      <c r="AN572">
        <f t="shared" si="255"/>
        <v>123</v>
      </c>
      <c r="AO572">
        <f t="shared" si="256"/>
        <v>112</v>
      </c>
      <c r="AP572">
        <f t="shared" si="257"/>
        <v>80</v>
      </c>
      <c r="AQ572">
        <f t="shared" si="258"/>
        <v>72</v>
      </c>
      <c r="AR572">
        <f t="shared" si="259"/>
        <v>58</v>
      </c>
      <c r="AS572">
        <f t="shared" si="260"/>
        <v>139</v>
      </c>
      <c r="AT572">
        <f t="shared" si="261"/>
        <v>127</v>
      </c>
      <c r="AU572">
        <f t="shared" si="262"/>
        <v>95</v>
      </c>
      <c r="AV572">
        <f t="shared" si="263"/>
        <v>85</v>
      </c>
      <c r="AW572">
        <f t="shared" si="264"/>
        <v>72</v>
      </c>
      <c r="AX572">
        <f t="shared" si="265"/>
        <v>161</v>
      </c>
      <c r="AY572">
        <f t="shared" si="266"/>
        <v>147</v>
      </c>
      <c r="AZ572">
        <f t="shared" si="267"/>
        <v>115</v>
      </c>
      <c r="BA572">
        <f t="shared" si="268"/>
        <v>103</v>
      </c>
      <c r="BB572">
        <f t="shared" si="269"/>
        <v>90</v>
      </c>
    </row>
    <row r="573" spans="1:54" x14ac:dyDescent="0.15">
      <c r="A573">
        <v>374</v>
      </c>
      <c r="B573" t="s">
        <v>2067</v>
      </c>
      <c r="C573">
        <v>453</v>
      </c>
      <c r="D573">
        <v>0</v>
      </c>
      <c r="E573" t="s">
        <v>2068</v>
      </c>
      <c r="G573" t="s">
        <v>2068</v>
      </c>
      <c r="H573" t="s">
        <v>2069</v>
      </c>
      <c r="J573" t="s">
        <v>2070</v>
      </c>
      <c r="K573">
        <v>23</v>
      </c>
      <c r="L573">
        <v>0.7</v>
      </c>
      <c r="M573" t="s">
        <v>27</v>
      </c>
      <c r="N573" t="s">
        <v>354</v>
      </c>
      <c r="O573" t="s">
        <v>758</v>
      </c>
      <c r="P573" t="s">
        <v>288</v>
      </c>
      <c r="Q573" t="s">
        <v>523</v>
      </c>
      <c r="R573">
        <v>9</v>
      </c>
      <c r="S573">
        <v>48</v>
      </c>
      <c r="T573">
        <v>61</v>
      </c>
      <c r="U573">
        <v>40</v>
      </c>
      <c r="V573">
        <v>61</v>
      </c>
      <c r="W573">
        <v>40</v>
      </c>
      <c r="X573">
        <v>50</v>
      </c>
      <c r="Y573">
        <f t="shared" si="240"/>
        <v>155</v>
      </c>
      <c r="Z573">
        <f t="shared" si="241"/>
        <v>155</v>
      </c>
      <c r="AA573">
        <f t="shared" si="242"/>
        <v>123</v>
      </c>
      <c r="AB573">
        <f t="shared" si="243"/>
        <v>123</v>
      </c>
      <c r="AC573">
        <f t="shared" si="244"/>
        <v>108</v>
      </c>
      <c r="AD573">
        <f t="shared" si="245"/>
        <v>124</v>
      </c>
      <c r="AE573">
        <f t="shared" si="246"/>
        <v>113</v>
      </c>
      <c r="AF573">
        <f t="shared" si="247"/>
        <v>81</v>
      </c>
      <c r="AG573">
        <f t="shared" si="248"/>
        <v>72</v>
      </c>
      <c r="AH573">
        <f t="shared" si="249"/>
        <v>59</v>
      </c>
      <c r="AI573">
        <f t="shared" si="250"/>
        <v>101</v>
      </c>
      <c r="AJ573">
        <f t="shared" si="251"/>
        <v>92</v>
      </c>
      <c r="AK573">
        <f t="shared" si="252"/>
        <v>60</v>
      </c>
      <c r="AL573">
        <f t="shared" si="253"/>
        <v>54</v>
      </c>
      <c r="AM573">
        <f t="shared" si="254"/>
        <v>40</v>
      </c>
      <c r="AN573">
        <f t="shared" si="255"/>
        <v>124</v>
      </c>
      <c r="AO573">
        <f t="shared" si="256"/>
        <v>113</v>
      </c>
      <c r="AP573">
        <f t="shared" si="257"/>
        <v>81</v>
      </c>
      <c r="AQ573">
        <f t="shared" si="258"/>
        <v>72</v>
      </c>
      <c r="AR573">
        <f t="shared" si="259"/>
        <v>59</v>
      </c>
      <c r="AS573">
        <f t="shared" si="260"/>
        <v>101</v>
      </c>
      <c r="AT573">
        <f t="shared" si="261"/>
        <v>92</v>
      </c>
      <c r="AU573">
        <f t="shared" si="262"/>
        <v>60</v>
      </c>
      <c r="AV573">
        <f t="shared" si="263"/>
        <v>54</v>
      </c>
      <c r="AW573">
        <f t="shared" si="264"/>
        <v>40</v>
      </c>
      <c r="AX573">
        <f t="shared" si="265"/>
        <v>112</v>
      </c>
      <c r="AY573">
        <f t="shared" si="266"/>
        <v>102</v>
      </c>
      <c r="AZ573">
        <f t="shared" si="267"/>
        <v>70</v>
      </c>
      <c r="BA573">
        <f t="shared" si="268"/>
        <v>63</v>
      </c>
      <c r="BB573">
        <f t="shared" si="269"/>
        <v>49</v>
      </c>
    </row>
    <row r="574" spans="1:54" x14ac:dyDescent="0.15">
      <c r="A574">
        <v>375</v>
      </c>
      <c r="B574" t="s">
        <v>2071</v>
      </c>
      <c r="C574">
        <v>454</v>
      </c>
      <c r="D574">
        <v>0</v>
      </c>
      <c r="E574" t="s">
        <v>2072</v>
      </c>
      <c r="G574" t="s">
        <v>2072</v>
      </c>
      <c r="H574" t="s">
        <v>2073</v>
      </c>
      <c r="J574" t="s">
        <v>2070</v>
      </c>
      <c r="K574">
        <v>44.4</v>
      </c>
      <c r="L574">
        <v>1.3</v>
      </c>
      <c r="M574" t="s">
        <v>27</v>
      </c>
      <c r="N574" t="s">
        <v>354</v>
      </c>
      <c r="O574" t="s">
        <v>758</v>
      </c>
      <c r="P574" t="s">
        <v>288</v>
      </c>
      <c r="Q574" t="s">
        <v>523</v>
      </c>
      <c r="R574">
        <v>9</v>
      </c>
      <c r="S574">
        <v>83</v>
      </c>
      <c r="T574">
        <v>106</v>
      </c>
      <c r="U574">
        <v>65</v>
      </c>
      <c r="V574">
        <v>86</v>
      </c>
      <c r="W574">
        <v>65</v>
      </c>
      <c r="X574">
        <v>85</v>
      </c>
      <c r="Y574">
        <f t="shared" si="240"/>
        <v>190</v>
      </c>
      <c r="Z574">
        <f t="shared" si="241"/>
        <v>190</v>
      </c>
      <c r="AA574">
        <f t="shared" si="242"/>
        <v>158</v>
      </c>
      <c r="AB574">
        <f t="shared" si="243"/>
        <v>158</v>
      </c>
      <c r="AC574">
        <f t="shared" si="244"/>
        <v>143</v>
      </c>
      <c r="AD574">
        <f t="shared" si="245"/>
        <v>173</v>
      </c>
      <c r="AE574">
        <f t="shared" si="246"/>
        <v>158</v>
      </c>
      <c r="AF574">
        <f t="shared" si="247"/>
        <v>126</v>
      </c>
      <c r="AG574">
        <f t="shared" si="248"/>
        <v>113</v>
      </c>
      <c r="AH574">
        <f t="shared" si="249"/>
        <v>99</v>
      </c>
      <c r="AI574">
        <f t="shared" si="250"/>
        <v>128</v>
      </c>
      <c r="AJ574">
        <f t="shared" si="251"/>
        <v>117</v>
      </c>
      <c r="AK574">
        <f t="shared" si="252"/>
        <v>85</v>
      </c>
      <c r="AL574">
        <f t="shared" si="253"/>
        <v>76</v>
      </c>
      <c r="AM574">
        <f t="shared" si="254"/>
        <v>63</v>
      </c>
      <c r="AN574">
        <f t="shared" si="255"/>
        <v>151</v>
      </c>
      <c r="AO574">
        <f t="shared" si="256"/>
        <v>138</v>
      </c>
      <c r="AP574">
        <f t="shared" si="257"/>
        <v>106</v>
      </c>
      <c r="AQ574">
        <f t="shared" si="258"/>
        <v>95</v>
      </c>
      <c r="AR574">
        <f t="shared" si="259"/>
        <v>81</v>
      </c>
      <c r="AS574">
        <f t="shared" si="260"/>
        <v>128</v>
      </c>
      <c r="AT574">
        <f t="shared" si="261"/>
        <v>117</v>
      </c>
      <c r="AU574">
        <f t="shared" si="262"/>
        <v>85</v>
      </c>
      <c r="AV574">
        <f t="shared" si="263"/>
        <v>76</v>
      </c>
      <c r="AW574">
        <f t="shared" si="264"/>
        <v>63</v>
      </c>
      <c r="AX574">
        <f t="shared" si="265"/>
        <v>150</v>
      </c>
      <c r="AY574">
        <f t="shared" si="266"/>
        <v>137</v>
      </c>
      <c r="AZ574">
        <f t="shared" si="267"/>
        <v>105</v>
      </c>
      <c r="BA574">
        <f t="shared" si="268"/>
        <v>94</v>
      </c>
      <c r="BB574">
        <f t="shared" si="269"/>
        <v>81</v>
      </c>
    </row>
    <row r="575" spans="1:54" x14ac:dyDescent="0.15">
      <c r="B575" t="s">
        <v>2074</v>
      </c>
      <c r="C575">
        <v>455</v>
      </c>
      <c r="D575">
        <v>0</v>
      </c>
      <c r="E575" t="s">
        <v>2075</v>
      </c>
      <c r="G575" t="s">
        <v>2075</v>
      </c>
      <c r="J575" t="s">
        <v>2076</v>
      </c>
      <c r="K575">
        <v>27</v>
      </c>
      <c r="L575">
        <v>1.4</v>
      </c>
      <c r="M575" t="s">
        <v>26</v>
      </c>
      <c r="O575" t="s">
        <v>547</v>
      </c>
      <c r="R575">
        <v>8</v>
      </c>
      <c r="S575">
        <v>74</v>
      </c>
      <c r="T575">
        <v>100</v>
      </c>
      <c r="U575">
        <v>72</v>
      </c>
      <c r="V575">
        <v>90</v>
      </c>
      <c r="W575">
        <v>72</v>
      </c>
      <c r="X575">
        <v>46</v>
      </c>
      <c r="Y575">
        <f t="shared" si="240"/>
        <v>181</v>
      </c>
      <c r="Z575">
        <f t="shared" si="241"/>
        <v>181</v>
      </c>
      <c r="AA575">
        <f t="shared" si="242"/>
        <v>149</v>
      </c>
      <c r="AB575">
        <f t="shared" si="243"/>
        <v>149</v>
      </c>
      <c r="AC575">
        <f t="shared" si="244"/>
        <v>134</v>
      </c>
      <c r="AD575">
        <f t="shared" si="245"/>
        <v>167</v>
      </c>
      <c r="AE575">
        <f t="shared" si="246"/>
        <v>152</v>
      </c>
      <c r="AF575">
        <f t="shared" si="247"/>
        <v>120</v>
      </c>
      <c r="AG575">
        <f t="shared" si="248"/>
        <v>108</v>
      </c>
      <c r="AH575">
        <f t="shared" si="249"/>
        <v>94</v>
      </c>
      <c r="AI575">
        <f t="shared" si="250"/>
        <v>136</v>
      </c>
      <c r="AJ575">
        <f t="shared" si="251"/>
        <v>124</v>
      </c>
      <c r="AK575">
        <f t="shared" si="252"/>
        <v>92</v>
      </c>
      <c r="AL575">
        <f t="shared" si="253"/>
        <v>82</v>
      </c>
      <c r="AM575">
        <f t="shared" si="254"/>
        <v>69</v>
      </c>
      <c r="AN575">
        <f t="shared" si="255"/>
        <v>156</v>
      </c>
      <c r="AO575">
        <f t="shared" si="256"/>
        <v>142</v>
      </c>
      <c r="AP575">
        <f t="shared" si="257"/>
        <v>110</v>
      </c>
      <c r="AQ575">
        <f t="shared" si="258"/>
        <v>99</v>
      </c>
      <c r="AR575">
        <f t="shared" si="259"/>
        <v>85</v>
      </c>
      <c r="AS575">
        <f t="shared" si="260"/>
        <v>136</v>
      </c>
      <c r="AT575">
        <f t="shared" si="261"/>
        <v>124</v>
      </c>
      <c r="AU575">
        <f t="shared" si="262"/>
        <v>92</v>
      </c>
      <c r="AV575">
        <f t="shared" si="263"/>
        <v>82</v>
      </c>
      <c r="AW575">
        <f t="shared" si="264"/>
        <v>69</v>
      </c>
      <c r="AX575">
        <f t="shared" si="265"/>
        <v>107</v>
      </c>
      <c r="AY575">
        <f t="shared" si="266"/>
        <v>98</v>
      </c>
      <c r="AZ575">
        <f t="shared" si="267"/>
        <v>66</v>
      </c>
      <c r="BA575">
        <f t="shared" si="268"/>
        <v>59</v>
      </c>
      <c r="BB575">
        <f t="shared" si="269"/>
        <v>45</v>
      </c>
    </row>
    <row r="576" spans="1:54" x14ac:dyDescent="0.15">
      <c r="A576">
        <v>377</v>
      </c>
      <c r="B576" t="s">
        <v>2077</v>
      </c>
      <c r="C576">
        <v>456</v>
      </c>
      <c r="D576">
        <v>0</v>
      </c>
      <c r="E576" t="s">
        <v>2078</v>
      </c>
      <c r="G576" t="s">
        <v>2078</v>
      </c>
      <c r="H576" t="s">
        <v>2079</v>
      </c>
      <c r="J576" t="s">
        <v>2080</v>
      </c>
      <c r="K576">
        <v>7</v>
      </c>
      <c r="L576">
        <v>0.4</v>
      </c>
      <c r="M576" t="s">
        <v>71</v>
      </c>
      <c r="O576" t="s">
        <v>346</v>
      </c>
      <c r="P576" t="s">
        <v>1614</v>
      </c>
      <c r="Q576" t="s">
        <v>677</v>
      </c>
      <c r="R576">
        <v>9</v>
      </c>
      <c r="S576">
        <v>49</v>
      </c>
      <c r="T576">
        <v>49</v>
      </c>
      <c r="U576">
        <v>56</v>
      </c>
      <c r="V576">
        <v>49</v>
      </c>
      <c r="W576">
        <v>61</v>
      </c>
      <c r="X576">
        <v>66</v>
      </c>
      <c r="Y576">
        <f t="shared" si="240"/>
        <v>156</v>
      </c>
      <c r="Z576">
        <f t="shared" si="241"/>
        <v>156</v>
      </c>
      <c r="AA576">
        <f t="shared" si="242"/>
        <v>124</v>
      </c>
      <c r="AB576">
        <f t="shared" si="243"/>
        <v>124</v>
      </c>
      <c r="AC576">
        <f t="shared" si="244"/>
        <v>109</v>
      </c>
      <c r="AD576">
        <f t="shared" si="245"/>
        <v>111</v>
      </c>
      <c r="AE576">
        <f t="shared" si="246"/>
        <v>101</v>
      </c>
      <c r="AF576">
        <f t="shared" si="247"/>
        <v>69</v>
      </c>
      <c r="AG576">
        <f t="shared" si="248"/>
        <v>62</v>
      </c>
      <c r="AH576">
        <f t="shared" si="249"/>
        <v>48</v>
      </c>
      <c r="AI576">
        <f t="shared" si="250"/>
        <v>118</v>
      </c>
      <c r="AJ576">
        <f t="shared" si="251"/>
        <v>108</v>
      </c>
      <c r="AK576">
        <f t="shared" si="252"/>
        <v>76</v>
      </c>
      <c r="AL576">
        <f t="shared" si="253"/>
        <v>68</v>
      </c>
      <c r="AM576">
        <f t="shared" si="254"/>
        <v>54</v>
      </c>
      <c r="AN576">
        <f t="shared" si="255"/>
        <v>111</v>
      </c>
      <c r="AO576">
        <f t="shared" si="256"/>
        <v>101</v>
      </c>
      <c r="AP576">
        <f t="shared" si="257"/>
        <v>69</v>
      </c>
      <c r="AQ576">
        <f t="shared" si="258"/>
        <v>62</v>
      </c>
      <c r="AR576">
        <f t="shared" si="259"/>
        <v>48</v>
      </c>
      <c r="AS576">
        <f t="shared" si="260"/>
        <v>124</v>
      </c>
      <c r="AT576">
        <f t="shared" si="261"/>
        <v>113</v>
      </c>
      <c r="AU576">
        <f t="shared" si="262"/>
        <v>81</v>
      </c>
      <c r="AV576">
        <f t="shared" si="263"/>
        <v>72</v>
      </c>
      <c r="AW576">
        <f t="shared" si="264"/>
        <v>59</v>
      </c>
      <c r="AX576">
        <f t="shared" si="265"/>
        <v>129</v>
      </c>
      <c r="AY576">
        <f t="shared" si="266"/>
        <v>118</v>
      </c>
      <c r="AZ576">
        <f t="shared" si="267"/>
        <v>86</v>
      </c>
      <c r="BA576">
        <f t="shared" si="268"/>
        <v>77</v>
      </c>
      <c r="BB576">
        <f t="shared" si="269"/>
        <v>63</v>
      </c>
    </row>
    <row r="577" spans="1:54" x14ac:dyDescent="0.15">
      <c r="A577">
        <v>378</v>
      </c>
      <c r="B577" t="s">
        <v>2081</v>
      </c>
      <c r="C577">
        <v>457</v>
      </c>
      <c r="D577">
        <v>0</v>
      </c>
      <c r="E577" t="s">
        <v>2082</v>
      </c>
      <c r="G577" t="s">
        <v>2082</v>
      </c>
      <c r="H577" t="s">
        <v>2083</v>
      </c>
      <c r="J577" t="s">
        <v>2084</v>
      </c>
      <c r="K577">
        <v>24</v>
      </c>
      <c r="L577">
        <v>1.2</v>
      </c>
      <c r="M577" t="s">
        <v>71</v>
      </c>
      <c r="O577" t="s">
        <v>346</v>
      </c>
      <c r="P577" t="s">
        <v>1614</v>
      </c>
      <c r="Q577" t="s">
        <v>677</v>
      </c>
      <c r="R577">
        <v>9</v>
      </c>
      <c r="S577">
        <v>69</v>
      </c>
      <c r="T577">
        <v>69</v>
      </c>
      <c r="U577">
        <v>76</v>
      </c>
      <c r="V577">
        <v>69</v>
      </c>
      <c r="W577">
        <v>86</v>
      </c>
      <c r="X577">
        <v>91</v>
      </c>
      <c r="Y577">
        <f t="shared" si="240"/>
        <v>176</v>
      </c>
      <c r="Z577">
        <f t="shared" si="241"/>
        <v>176</v>
      </c>
      <c r="AA577">
        <f t="shared" si="242"/>
        <v>144</v>
      </c>
      <c r="AB577">
        <f t="shared" si="243"/>
        <v>144</v>
      </c>
      <c r="AC577">
        <f t="shared" si="244"/>
        <v>129</v>
      </c>
      <c r="AD577">
        <f t="shared" si="245"/>
        <v>133</v>
      </c>
      <c r="AE577">
        <f t="shared" si="246"/>
        <v>121</v>
      </c>
      <c r="AF577">
        <f t="shared" si="247"/>
        <v>89</v>
      </c>
      <c r="AG577">
        <f t="shared" si="248"/>
        <v>80</v>
      </c>
      <c r="AH577">
        <f t="shared" si="249"/>
        <v>66</v>
      </c>
      <c r="AI577">
        <f t="shared" si="250"/>
        <v>140</v>
      </c>
      <c r="AJ577">
        <f t="shared" si="251"/>
        <v>128</v>
      </c>
      <c r="AK577">
        <f t="shared" si="252"/>
        <v>96</v>
      </c>
      <c r="AL577">
        <f t="shared" si="253"/>
        <v>86</v>
      </c>
      <c r="AM577">
        <f t="shared" si="254"/>
        <v>72</v>
      </c>
      <c r="AN577">
        <f t="shared" si="255"/>
        <v>133</v>
      </c>
      <c r="AO577">
        <f t="shared" si="256"/>
        <v>121</v>
      </c>
      <c r="AP577">
        <f t="shared" si="257"/>
        <v>89</v>
      </c>
      <c r="AQ577">
        <f t="shared" si="258"/>
        <v>80</v>
      </c>
      <c r="AR577">
        <f t="shared" si="259"/>
        <v>66</v>
      </c>
      <c r="AS577">
        <f t="shared" si="260"/>
        <v>151</v>
      </c>
      <c r="AT577">
        <f t="shared" si="261"/>
        <v>138</v>
      </c>
      <c r="AU577">
        <f t="shared" si="262"/>
        <v>106</v>
      </c>
      <c r="AV577">
        <f t="shared" si="263"/>
        <v>95</v>
      </c>
      <c r="AW577">
        <f t="shared" si="264"/>
        <v>81</v>
      </c>
      <c r="AX577">
        <f t="shared" si="265"/>
        <v>157</v>
      </c>
      <c r="AY577">
        <f t="shared" si="266"/>
        <v>143</v>
      </c>
      <c r="AZ577">
        <f t="shared" si="267"/>
        <v>111</v>
      </c>
      <c r="BA577">
        <f t="shared" si="268"/>
        <v>99</v>
      </c>
      <c r="BB577">
        <f t="shared" si="269"/>
        <v>86</v>
      </c>
    </row>
    <row r="578" spans="1:54" x14ac:dyDescent="0.15">
      <c r="B578" t="s">
        <v>2085</v>
      </c>
      <c r="C578">
        <v>458</v>
      </c>
      <c r="D578">
        <v>0</v>
      </c>
      <c r="E578" t="s">
        <v>2086</v>
      </c>
      <c r="G578" t="s">
        <v>2086</v>
      </c>
      <c r="J578" t="s">
        <v>1152</v>
      </c>
      <c r="K578">
        <v>65</v>
      </c>
      <c r="L578">
        <v>1</v>
      </c>
      <c r="M578" t="s">
        <v>71</v>
      </c>
      <c r="N578" t="s">
        <v>57</v>
      </c>
      <c r="O578" t="s">
        <v>346</v>
      </c>
      <c r="P578" t="s">
        <v>383</v>
      </c>
      <c r="Q578" t="s">
        <v>677</v>
      </c>
      <c r="R578">
        <v>8</v>
      </c>
      <c r="S578">
        <v>45</v>
      </c>
      <c r="T578">
        <v>20</v>
      </c>
      <c r="U578">
        <v>50</v>
      </c>
      <c r="V578">
        <v>60</v>
      </c>
      <c r="W578">
        <v>120</v>
      </c>
      <c r="X578">
        <v>50</v>
      </c>
      <c r="Y578">
        <f t="shared" ref="Y578:Y641" si="270">IF(S578="", "", S578+107)</f>
        <v>152</v>
      </c>
      <c r="Z578">
        <f t="shared" ref="Z578:Z641" si="271">IF(S578="", "", S578+107)</f>
        <v>152</v>
      </c>
      <c r="AA578">
        <f t="shared" ref="AA578:AA641" si="272">IF(S578="", "", INT(INT(S578*2 + 31)/2) + 60)</f>
        <v>120</v>
      </c>
      <c r="AB578">
        <f t="shared" ref="AB578:AB641" si="273">IF(S578="", "", INT(INT(S578*2 + 31)/2) + 60)</f>
        <v>120</v>
      </c>
      <c r="AC578">
        <f t="shared" ref="AC578:AC641" si="274">IF(S578="", "", S578 + 60)</f>
        <v>105</v>
      </c>
      <c r="AD578">
        <f t="shared" ref="AD578:AD641" si="275">IF(T578="","",INT((T578+52)*1.1))</f>
        <v>79</v>
      </c>
      <c r="AE578">
        <f t="shared" ref="AE578:AE641" si="276">IF(T578="","",T578+52)</f>
        <v>72</v>
      </c>
      <c r="AF578">
        <f t="shared" ref="AF578:AF641" si="277">IF(T578="", "", INT((T578*2 + 31)/2) + 5)</f>
        <v>40</v>
      </c>
      <c r="AG578">
        <f t="shared" ref="AG578:AG641" si="278">IF(T578="", "", INT((INT((T578*2 + 31)/2) + 5)*0.9) )</f>
        <v>36</v>
      </c>
      <c r="AH578">
        <f t="shared" ref="AH578:AH641" si="279">IF(T578="", "", INT((T578 + 5) * 0.9))</f>
        <v>22</v>
      </c>
      <c r="AI578">
        <f t="shared" ref="AI578:AI641" si="280">IF(U578="","",INT((U578+52)*1.1))</f>
        <v>112</v>
      </c>
      <c r="AJ578">
        <f t="shared" ref="AJ578:AJ641" si="281">IF(U578="","",U578+52)</f>
        <v>102</v>
      </c>
      <c r="AK578">
        <f t="shared" ref="AK578:AK641" si="282">IF(U578="", "", INT((U578*2 + 31)/2) + 5)</f>
        <v>70</v>
      </c>
      <c r="AL578">
        <f t="shared" ref="AL578:AL641" si="283">IF(U578="", "", INT((INT((U578*2 + 31)/2) + 5)*0.9) )</f>
        <v>63</v>
      </c>
      <c r="AM578">
        <f t="shared" ref="AM578:AM641" si="284">IF(U578="", "", INT((U578 + 5) * 0.9))</f>
        <v>49</v>
      </c>
      <c r="AN578">
        <f t="shared" ref="AN578:AN641" si="285">IF(V578="","",INT((V578+52)*1.1))</f>
        <v>123</v>
      </c>
      <c r="AO578">
        <f t="shared" ref="AO578:AO641" si="286">IF(V578="","",V578+52)</f>
        <v>112</v>
      </c>
      <c r="AP578">
        <f t="shared" ref="AP578:AP641" si="287">IF(V578="", "", INT((V578*2 + 31)/2) + 5)</f>
        <v>80</v>
      </c>
      <c r="AQ578">
        <f t="shared" ref="AQ578:AQ641" si="288">IF(V578="", "", INT((INT((V578*2 + 31)/2) + 5)*0.9) )</f>
        <v>72</v>
      </c>
      <c r="AR578">
        <f t="shared" ref="AR578:AR641" si="289">IF(V578="", "", INT((V578 + 5) * 0.9))</f>
        <v>58</v>
      </c>
      <c r="AS578">
        <f t="shared" ref="AS578:AS641" si="290">IF(W578="","",INT((W578+52)*1.1))</f>
        <v>189</v>
      </c>
      <c r="AT578">
        <f t="shared" ref="AT578:AT641" si="291">IF(W578="","",W578+52)</f>
        <v>172</v>
      </c>
      <c r="AU578">
        <f t="shared" ref="AU578:AU641" si="292">IF(W578="", "", INT((W578*2 + 31)/2) + 5)</f>
        <v>140</v>
      </c>
      <c r="AV578">
        <f t="shared" ref="AV578:AV641" si="293">IF(W578="", "", INT((INT((W578*2 + 31)/2) + 5)*0.9) )</f>
        <v>126</v>
      </c>
      <c r="AW578">
        <f t="shared" ref="AW578:AW641" si="294">IF(W578="", "", INT((W578 + 5) * 0.9))</f>
        <v>112</v>
      </c>
      <c r="AX578">
        <f t="shared" ref="AX578:AX641" si="295">IF(X578="","",INT((X578+52)*1.1))</f>
        <v>112</v>
      </c>
      <c r="AY578">
        <f t="shared" ref="AY578:AY641" si="296">IF(X578="","",X578+52)</f>
        <v>102</v>
      </c>
      <c r="AZ578">
        <f t="shared" ref="AZ578:AZ641" si="297">IF(X578="", "", INT((X578*2 + 31)/2) + 5)</f>
        <v>70</v>
      </c>
      <c r="BA578">
        <f t="shared" ref="BA578:BA641" si="298">IF(X578="", "", INT((INT((X578*2 + 31)/2) + 5)*0.9) )</f>
        <v>63</v>
      </c>
      <c r="BB578">
        <f t="shared" ref="BB578:BB641" si="299">IF(X578="", "", INT((X578 + 5) * 0.9))</f>
        <v>49</v>
      </c>
    </row>
    <row r="579" spans="1:54" x14ac:dyDescent="0.15">
      <c r="A579">
        <v>380</v>
      </c>
      <c r="B579" t="s">
        <v>2087</v>
      </c>
      <c r="C579">
        <v>459</v>
      </c>
      <c r="D579">
        <v>0</v>
      </c>
      <c r="E579" t="s">
        <v>2088</v>
      </c>
      <c r="G579" t="s">
        <v>2088</v>
      </c>
      <c r="H579" t="s">
        <v>2089</v>
      </c>
      <c r="J579" t="s">
        <v>2090</v>
      </c>
      <c r="K579">
        <v>50.5</v>
      </c>
      <c r="L579">
        <v>1</v>
      </c>
      <c r="M579" t="s">
        <v>26</v>
      </c>
      <c r="N579" t="s">
        <v>202</v>
      </c>
      <c r="O579" t="s">
        <v>249</v>
      </c>
      <c r="P579" t="s">
        <v>586</v>
      </c>
      <c r="R579">
        <v>9</v>
      </c>
      <c r="S579">
        <v>60</v>
      </c>
      <c r="T579">
        <v>62</v>
      </c>
      <c r="U579">
        <v>50</v>
      </c>
      <c r="V579">
        <v>62</v>
      </c>
      <c r="W579">
        <v>60</v>
      </c>
      <c r="X579">
        <v>40</v>
      </c>
      <c r="Y579">
        <f t="shared" si="270"/>
        <v>167</v>
      </c>
      <c r="Z579">
        <f t="shared" si="271"/>
        <v>167</v>
      </c>
      <c r="AA579">
        <f t="shared" si="272"/>
        <v>135</v>
      </c>
      <c r="AB579">
        <f t="shared" si="273"/>
        <v>135</v>
      </c>
      <c r="AC579">
        <f t="shared" si="274"/>
        <v>120</v>
      </c>
      <c r="AD579">
        <f t="shared" si="275"/>
        <v>125</v>
      </c>
      <c r="AE579">
        <f t="shared" si="276"/>
        <v>114</v>
      </c>
      <c r="AF579">
        <f t="shared" si="277"/>
        <v>82</v>
      </c>
      <c r="AG579">
        <f t="shared" si="278"/>
        <v>73</v>
      </c>
      <c r="AH579">
        <f t="shared" si="279"/>
        <v>60</v>
      </c>
      <c r="AI579">
        <f t="shared" si="280"/>
        <v>112</v>
      </c>
      <c r="AJ579">
        <f t="shared" si="281"/>
        <v>102</v>
      </c>
      <c r="AK579">
        <f t="shared" si="282"/>
        <v>70</v>
      </c>
      <c r="AL579">
        <f t="shared" si="283"/>
        <v>63</v>
      </c>
      <c r="AM579">
        <f t="shared" si="284"/>
        <v>49</v>
      </c>
      <c r="AN579">
        <f t="shared" si="285"/>
        <v>125</v>
      </c>
      <c r="AO579">
        <f t="shared" si="286"/>
        <v>114</v>
      </c>
      <c r="AP579">
        <f t="shared" si="287"/>
        <v>82</v>
      </c>
      <c r="AQ579">
        <f t="shared" si="288"/>
        <v>73</v>
      </c>
      <c r="AR579">
        <f t="shared" si="289"/>
        <v>60</v>
      </c>
      <c r="AS579">
        <f t="shared" si="290"/>
        <v>123</v>
      </c>
      <c r="AT579">
        <f t="shared" si="291"/>
        <v>112</v>
      </c>
      <c r="AU579">
        <f t="shared" si="292"/>
        <v>80</v>
      </c>
      <c r="AV579">
        <f t="shared" si="293"/>
        <v>72</v>
      </c>
      <c r="AW579">
        <f t="shared" si="294"/>
        <v>58</v>
      </c>
      <c r="AX579">
        <f t="shared" si="295"/>
        <v>101</v>
      </c>
      <c r="AY579">
        <f t="shared" si="296"/>
        <v>92</v>
      </c>
      <c r="AZ579">
        <f t="shared" si="297"/>
        <v>60</v>
      </c>
      <c r="BA579">
        <f t="shared" si="298"/>
        <v>54</v>
      </c>
      <c r="BB579">
        <f t="shared" si="299"/>
        <v>40</v>
      </c>
    </row>
    <row r="580" spans="1:54" x14ac:dyDescent="0.15">
      <c r="A580">
        <v>381</v>
      </c>
      <c r="B580" t="s">
        <v>2091</v>
      </c>
      <c r="C580">
        <v>460</v>
      </c>
      <c r="D580">
        <v>0</v>
      </c>
      <c r="E580" t="s">
        <v>2092</v>
      </c>
      <c r="G580" t="s">
        <v>2092</v>
      </c>
      <c r="H580" t="s">
        <v>2093</v>
      </c>
      <c r="J580" t="s">
        <v>2090</v>
      </c>
      <c r="K580">
        <v>135.5</v>
      </c>
      <c r="L580">
        <v>2.2000000000000002</v>
      </c>
      <c r="M580" t="s">
        <v>26</v>
      </c>
      <c r="N580" t="s">
        <v>202</v>
      </c>
      <c r="O580" t="s">
        <v>249</v>
      </c>
      <c r="P580" t="s">
        <v>586</v>
      </c>
      <c r="R580">
        <v>9</v>
      </c>
      <c r="S580">
        <v>90</v>
      </c>
      <c r="T580">
        <v>92</v>
      </c>
      <c r="U580">
        <v>75</v>
      </c>
      <c r="V580">
        <v>92</v>
      </c>
      <c r="W580">
        <v>85</v>
      </c>
      <c r="X580">
        <v>60</v>
      </c>
      <c r="Y580">
        <f t="shared" si="270"/>
        <v>197</v>
      </c>
      <c r="Z580">
        <f t="shared" si="271"/>
        <v>197</v>
      </c>
      <c r="AA580">
        <f t="shared" si="272"/>
        <v>165</v>
      </c>
      <c r="AB580">
        <f t="shared" si="273"/>
        <v>165</v>
      </c>
      <c r="AC580">
        <f t="shared" si="274"/>
        <v>150</v>
      </c>
      <c r="AD580">
        <f t="shared" si="275"/>
        <v>158</v>
      </c>
      <c r="AE580">
        <f t="shared" si="276"/>
        <v>144</v>
      </c>
      <c r="AF580">
        <f t="shared" si="277"/>
        <v>112</v>
      </c>
      <c r="AG580">
        <f t="shared" si="278"/>
        <v>100</v>
      </c>
      <c r="AH580">
        <f t="shared" si="279"/>
        <v>87</v>
      </c>
      <c r="AI580">
        <f t="shared" si="280"/>
        <v>139</v>
      </c>
      <c r="AJ580">
        <f t="shared" si="281"/>
        <v>127</v>
      </c>
      <c r="AK580">
        <f t="shared" si="282"/>
        <v>95</v>
      </c>
      <c r="AL580">
        <f t="shared" si="283"/>
        <v>85</v>
      </c>
      <c r="AM580">
        <f t="shared" si="284"/>
        <v>72</v>
      </c>
      <c r="AN580">
        <f t="shared" si="285"/>
        <v>158</v>
      </c>
      <c r="AO580">
        <f t="shared" si="286"/>
        <v>144</v>
      </c>
      <c r="AP580">
        <f t="shared" si="287"/>
        <v>112</v>
      </c>
      <c r="AQ580">
        <f t="shared" si="288"/>
        <v>100</v>
      </c>
      <c r="AR580">
        <f t="shared" si="289"/>
        <v>87</v>
      </c>
      <c r="AS580">
        <f t="shared" si="290"/>
        <v>150</v>
      </c>
      <c r="AT580">
        <f t="shared" si="291"/>
        <v>137</v>
      </c>
      <c r="AU580">
        <f t="shared" si="292"/>
        <v>105</v>
      </c>
      <c r="AV580">
        <f t="shared" si="293"/>
        <v>94</v>
      </c>
      <c r="AW580">
        <f t="shared" si="294"/>
        <v>81</v>
      </c>
      <c r="AX580">
        <f t="shared" si="295"/>
        <v>123</v>
      </c>
      <c r="AY580">
        <f t="shared" si="296"/>
        <v>112</v>
      </c>
      <c r="AZ580">
        <f t="shared" si="297"/>
        <v>80</v>
      </c>
      <c r="BA580">
        <f t="shared" si="298"/>
        <v>72</v>
      </c>
      <c r="BB580">
        <f t="shared" si="299"/>
        <v>58</v>
      </c>
    </row>
    <row r="581" spans="1:54" x14ac:dyDescent="0.15">
      <c r="B581" t="s">
        <v>2094</v>
      </c>
      <c r="C581">
        <v>460</v>
      </c>
      <c r="D581">
        <v>1</v>
      </c>
      <c r="E581" t="s">
        <v>2092</v>
      </c>
      <c r="F581" t="s">
        <v>2095</v>
      </c>
      <c r="G581" t="s">
        <v>2095</v>
      </c>
      <c r="J581" t="s">
        <v>2090</v>
      </c>
      <c r="K581">
        <v>185</v>
      </c>
      <c r="L581">
        <v>2.7</v>
      </c>
      <c r="M581" t="s">
        <v>26</v>
      </c>
      <c r="N581" t="s">
        <v>202</v>
      </c>
      <c r="O581" t="s">
        <v>249</v>
      </c>
      <c r="P581" t="s">
        <v>586</v>
      </c>
      <c r="R581">
        <v>7</v>
      </c>
      <c r="S581">
        <v>90</v>
      </c>
      <c r="T581">
        <v>92</v>
      </c>
      <c r="U581">
        <v>75</v>
      </c>
      <c r="V581">
        <v>92</v>
      </c>
      <c r="W581">
        <v>85</v>
      </c>
      <c r="X581">
        <v>60</v>
      </c>
      <c r="Y581">
        <f t="shared" si="270"/>
        <v>197</v>
      </c>
      <c r="Z581">
        <f t="shared" si="271"/>
        <v>197</v>
      </c>
      <c r="AA581">
        <f t="shared" si="272"/>
        <v>165</v>
      </c>
      <c r="AB581">
        <f t="shared" si="273"/>
        <v>165</v>
      </c>
      <c r="AC581">
        <f t="shared" si="274"/>
        <v>150</v>
      </c>
      <c r="AD581">
        <f t="shared" si="275"/>
        <v>158</v>
      </c>
      <c r="AE581">
        <f t="shared" si="276"/>
        <v>144</v>
      </c>
      <c r="AF581">
        <f t="shared" si="277"/>
        <v>112</v>
      </c>
      <c r="AG581">
        <f t="shared" si="278"/>
        <v>100</v>
      </c>
      <c r="AH581">
        <f t="shared" si="279"/>
        <v>87</v>
      </c>
      <c r="AI581">
        <f t="shared" si="280"/>
        <v>139</v>
      </c>
      <c r="AJ581">
        <f t="shared" si="281"/>
        <v>127</v>
      </c>
      <c r="AK581">
        <f t="shared" si="282"/>
        <v>95</v>
      </c>
      <c r="AL581">
        <f t="shared" si="283"/>
        <v>85</v>
      </c>
      <c r="AM581">
        <f t="shared" si="284"/>
        <v>72</v>
      </c>
      <c r="AN581">
        <f t="shared" si="285"/>
        <v>158</v>
      </c>
      <c r="AO581">
        <f t="shared" si="286"/>
        <v>144</v>
      </c>
      <c r="AP581">
        <f t="shared" si="287"/>
        <v>112</v>
      </c>
      <c r="AQ581">
        <f t="shared" si="288"/>
        <v>100</v>
      </c>
      <c r="AR581">
        <f t="shared" si="289"/>
        <v>87</v>
      </c>
      <c r="AS581">
        <f t="shared" si="290"/>
        <v>150</v>
      </c>
      <c r="AT581">
        <f t="shared" si="291"/>
        <v>137</v>
      </c>
      <c r="AU581">
        <f t="shared" si="292"/>
        <v>105</v>
      </c>
      <c r="AV581">
        <f t="shared" si="293"/>
        <v>94</v>
      </c>
      <c r="AW581">
        <f t="shared" si="294"/>
        <v>81</v>
      </c>
      <c r="AX581">
        <f t="shared" si="295"/>
        <v>123</v>
      </c>
      <c r="AY581">
        <f t="shared" si="296"/>
        <v>112</v>
      </c>
      <c r="AZ581">
        <f t="shared" si="297"/>
        <v>80</v>
      </c>
      <c r="BA581">
        <f t="shared" si="298"/>
        <v>72</v>
      </c>
      <c r="BB581">
        <f t="shared" si="299"/>
        <v>58</v>
      </c>
    </row>
    <row r="582" spans="1:54" x14ac:dyDescent="0.15">
      <c r="A582">
        <v>382</v>
      </c>
      <c r="B582" t="s">
        <v>2096</v>
      </c>
      <c r="C582">
        <v>461</v>
      </c>
      <c r="D582">
        <v>0</v>
      </c>
      <c r="E582" t="s">
        <v>2097</v>
      </c>
      <c r="G582" t="s">
        <v>2097</v>
      </c>
      <c r="H582" t="s">
        <v>2098</v>
      </c>
      <c r="J582" t="s">
        <v>1104</v>
      </c>
      <c r="K582">
        <v>34</v>
      </c>
      <c r="L582">
        <v>1.1000000000000001</v>
      </c>
      <c r="M582" t="s">
        <v>140</v>
      </c>
      <c r="N582" t="s">
        <v>202</v>
      </c>
      <c r="O582" t="s">
        <v>792</v>
      </c>
      <c r="P582" t="s">
        <v>1105</v>
      </c>
      <c r="R582">
        <v>9</v>
      </c>
      <c r="S582">
        <v>70</v>
      </c>
      <c r="T582">
        <v>120</v>
      </c>
      <c r="U582">
        <v>65</v>
      </c>
      <c r="V582">
        <v>45</v>
      </c>
      <c r="W582">
        <v>85</v>
      </c>
      <c r="X582">
        <v>125</v>
      </c>
      <c r="Y582">
        <f t="shared" si="270"/>
        <v>177</v>
      </c>
      <c r="Z582">
        <f t="shared" si="271"/>
        <v>177</v>
      </c>
      <c r="AA582">
        <f t="shared" si="272"/>
        <v>145</v>
      </c>
      <c r="AB582">
        <f t="shared" si="273"/>
        <v>145</v>
      </c>
      <c r="AC582">
        <f t="shared" si="274"/>
        <v>130</v>
      </c>
      <c r="AD582">
        <f t="shared" si="275"/>
        <v>189</v>
      </c>
      <c r="AE582">
        <f t="shared" si="276"/>
        <v>172</v>
      </c>
      <c r="AF582">
        <f t="shared" si="277"/>
        <v>140</v>
      </c>
      <c r="AG582">
        <f t="shared" si="278"/>
        <v>126</v>
      </c>
      <c r="AH582">
        <f t="shared" si="279"/>
        <v>112</v>
      </c>
      <c r="AI582">
        <f t="shared" si="280"/>
        <v>128</v>
      </c>
      <c r="AJ582">
        <f t="shared" si="281"/>
        <v>117</v>
      </c>
      <c r="AK582">
        <f t="shared" si="282"/>
        <v>85</v>
      </c>
      <c r="AL582">
        <f t="shared" si="283"/>
        <v>76</v>
      </c>
      <c r="AM582">
        <f t="shared" si="284"/>
        <v>63</v>
      </c>
      <c r="AN582">
        <f t="shared" si="285"/>
        <v>106</v>
      </c>
      <c r="AO582">
        <f t="shared" si="286"/>
        <v>97</v>
      </c>
      <c r="AP582">
        <f t="shared" si="287"/>
        <v>65</v>
      </c>
      <c r="AQ582">
        <f t="shared" si="288"/>
        <v>58</v>
      </c>
      <c r="AR582">
        <f t="shared" si="289"/>
        <v>45</v>
      </c>
      <c r="AS582">
        <f t="shared" si="290"/>
        <v>150</v>
      </c>
      <c r="AT582">
        <f t="shared" si="291"/>
        <v>137</v>
      </c>
      <c r="AU582">
        <f t="shared" si="292"/>
        <v>105</v>
      </c>
      <c r="AV582">
        <f t="shared" si="293"/>
        <v>94</v>
      </c>
      <c r="AW582">
        <f t="shared" si="294"/>
        <v>81</v>
      </c>
      <c r="AX582">
        <f t="shared" si="295"/>
        <v>194</v>
      </c>
      <c r="AY582">
        <f t="shared" si="296"/>
        <v>177</v>
      </c>
      <c r="AZ582">
        <f t="shared" si="297"/>
        <v>145</v>
      </c>
      <c r="BA582">
        <f t="shared" si="298"/>
        <v>130</v>
      </c>
      <c r="BB582">
        <f t="shared" si="299"/>
        <v>117</v>
      </c>
    </row>
    <row r="583" spans="1:54" x14ac:dyDescent="0.15">
      <c r="A583">
        <v>383</v>
      </c>
      <c r="B583" t="s">
        <v>2099</v>
      </c>
      <c r="C583">
        <v>462</v>
      </c>
      <c r="D583">
        <v>0</v>
      </c>
      <c r="E583" t="s">
        <v>2100</v>
      </c>
      <c r="G583" t="s">
        <v>2100</v>
      </c>
      <c r="H583" t="s">
        <v>2101</v>
      </c>
      <c r="J583" t="s">
        <v>2102</v>
      </c>
      <c r="K583">
        <v>180</v>
      </c>
      <c r="L583">
        <v>1.2</v>
      </c>
      <c r="M583" t="s">
        <v>164</v>
      </c>
      <c r="N583" t="s">
        <v>203</v>
      </c>
      <c r="O583" t="s">
        <v>439</v>
      </c>
      <c r="P583" t="s">
        <v>435</v>
      </c>
      <c r="Q583" t="s">
        <v>490</v>
      </c>
      <c r="R583">
        <v>9</v>
      </c>
      <c r="S583">
        <v>70</v>
      </c>
      <c r="T583">
        <v>70</v>
      </c>
      <c r="U583">
        <v>115</v>
      </c>
      <c r="V583">
        <v>130</v>
      </c>
      <c r="W583">
        <v>90</v>
      </c>
      <c r="X583">
        <v>60</v>
      </c>
      <c r="Y583">
        <f t="shared" si="270"/>
        <v>177</v>
      </c>
      <c r="Z583">
        <f t="shared" si="271"/>
        <v>177</v>
      </c>
      <c r="AA583">
        <f t="shared" si="272"/>
        <v>145</v>
      </c>
      <c r="AB583">
        <f t="shared" si="273"/>
        <v>145</v>
      </c>
      <c r="AC583">
        <f t="shared" si="274"/>
        <v>130</v>
      </c>
      <c r="AD583">
        <f t="shared" si="275"/>
        <v>134</v>
      </c>
      <c r="AE583">
        <f t="shared" si="276"/>
        <v>122</v>
      </c>
      <c r="AF583">
        <f t="shared" si="277"/>
        <v>90</v>
      </c>
      <c r="AG583">
        <f t="shared" si="278"/>
        <v>81</v>
      </c>
      <c r="AH583">
        <f t="shared" si="279"/>
        <v>67</v>
      </c>
      <c r="AI583">
        <f t="shared" si="280"/>
        <v>183</v>
      </c>
      <c r="AJ583">
        <f t="shared" si="281"/>
        <v>167</v>
      </c>
      <c r="AK583">
        <f t="shared" si="282"/>
        <v>135</v>
      </c>
      <c r="AL583">
        <f t="shared" si="283"/>
        <v>121</v>
      </c>
      <c r="AM583">
        <f t="shared" si="284"/>
        <v>108</v>
      </c>
      <c r="AN583">
        <f t="shared" si="285"/>
        <v>200</v>
      </c>
      <c r="AO583">
        <f t="shared" si="286"/>
        <v>182</v>
      </c>
      <c r="AP583">
        <f t="shared" si="287"/>
        <v>150</v>
      </c>
      <c r="AQ583">
        <f t="shared" si="288"/>
        <v>135</v>
      </c>
      <c r="AR583">
        <f t="shared" si="289"/>
        <v>121</v>
      </c>
      <c r="AS583">
        <f t="shared" si="290"/>
        <v>156</v>
      </c>
      <c r="AT583">
        <f t="shared" si="291"/>
        <v>142</v>
      </c>
      <c r="AU583">
        <f t="shared" si="292"/>
        <v>110</v>
      </c>
      <c r="AV583">
        <f t="shared" si="293"/>
        <v>99</v>
      </c>
      <c r="AW583">
        <f t="shared" si="294"/>
        <v>85</v>
      </c>
      <c r="AX583">
        <f t="shared" si="295"/>
        <v>123</v>
      </c>
      <c r="AY583">
        <f t="shared" si="296"/>
        <v>112</v>
      </c>
      <c r="AZ583">
        <f t="shared" si="297"/>
        <v>80</v>
      </c>
      <c r="BA583">
        <f t="shared" si="298"/>
        <v>72</v>
      </c>
      <c r="BB583">
        <f t="shared" si="299"/>
        <v>58</v>
      </c>
    </row>
    <row r="584" spans="1:54" x14ac:dyDescent="0.15">
      <c r="B584" t="s">
        <v>2103</v>
      </c>
      <c r="C584">
        <v>463</v>
      </c>
      <c r="D584">
        <v>0</v>
      </c>
      <c r="E584" t="s">
        <v>2104</v>
      </c>
      <c r="G584" t="s">
        <v>2104</v>
      </c>
      <c r="J584" t="s">
        <v>632</v>
      </c>
      <c r="K584">
        <v>140</v>
      </c>
      <c r="L584">
        <v>1.7</v>
      </c>
      <c r="M584" t="s">
        <v>120</v>
      </c>
      <c r="O584" t="s">
        <v>470</v>
      </c>
      <c r="P584" t="s">
        <v>469</v>
      </c>
      <c r="Q584" t="s">
        <v>345</v>
      </c>
      <c r="R584">
        <v>8</v>
      </c>
      <c r="S584">
        <v>110</v>
      </c>
      <c r="T584">
        <v>85</v>
      </c>
      <c r="U584">
        <v>95</v>
      </c>
      <c r="V584">
        <v>80</v>
      </c>
      <c r="W584">
        <v>95</v>
      </c>
      <c r="X584">
        <v>50</v>
      </c>
      <c r="Y584">
        <f t="shared" si="270"/>
        <v>217</v>
      </c>
      <c r="Z584">
        <f t="shared" si="271"/>
        <v>217</v>
      </c>
      <c r="AA584">
        <f t="shared" si="272"/>
        <v>185</v>
      </c>
      <c r="AB584">
        <f t="shared" si="273"/>
        <v>185</v>
      </c>
      <c r="AC584">
        <f t="shared" si="274"/>
        <v>170</v>
      </c>
      <c r="AD584">
        <f t="shared" si="275"/>
        <v>150</v>
      </c>
      <c r="AE584">
        <f t="shared" si="276"/>
        <v>137</v>
      </c>
      <c r="AF584">
        <f t="shared" si="277"/>
        <v>105</v>
      </c>
      <c r="AG584">
        <f t="shared" si="278"/>
        <v>94</v>
      </c>
      <c r="AH584">
        <f t="shared" si="279"/>
        <v>81</v>
      </c>
      <c r="AI584">
        <f t="shared" si="280"/>
        <v>161</v>
      </c>
      <c r="AJ584">
        <f t="shared" si="281"/>
        <v>147</v>
      </c>
      <c r="AK584">
        <f t="shared" si="282"/>
        <v>115</v>
      </c>
      <c r="AL584">
        <f t="shared" si="283"/>
        <v>103</v>
      </c>
      <c r="AM584">
        <f t="shared" si="284"/>
        <v>90</v>
      </c>
      <c r="AN584">
        <f t="shared" si="285"/>
        <v>145</v>
      </c>
      <c r="AO584">
        <f t="shared" si="286"/>
        <v>132</v>
      </c>
      <c r="AP584">
        <f t="shared" si="287"/>
        <v>100</v>
      </c>
      <c r="AQ584">
        <f t="shared" si="288"/>
        <v>90</v>
      </c>
      <c r="AR584">
        <f t="shared" si="289"/>
        <v>76</v>
      </c>
      <c r="AS584">
        <f t="shared" si="290"/>
        <v>161</v>
      </c>
      <c r="AT584">
        <f t="shared" si="291"/>
        <v>147</v>
      </c>
      <c r="AU584">
        <f t="shared" si="292"/>
        <v>115</v>
      </c>
      <c r="AV584">
        <f t="shared" si="293"/>
        <v>103</v>
      </c>
      <c r="AW584">
        <f t="shared" si="294"/>
        <v>90</v>
      </c>
      <c r="AX584">
        <f t="shared" si="295"/>
        <v>112</v>
      </c>
      <c r="AY584">
        <f t="shared" si="296"/>
        <v>102</v>
      </c>
      <c r="AZ584">
        <f t="shared" si="297"/>
        <v>70</v>
      </c>
      <c r="BA584">
        <f t="shared" si="298"/>
        <v>63</v>
      </c>
      <c r="BB584">
        <f t="shared" si="299"/>
        <v>49</v>
      </c>
    </row>
    <row r="585" spans="1:54" x14ac:dyDescent="0.15">
      <c r="A585">
        <v>384</v>
      </c>
      <c r="B585" t="s">
        <v>2105</v>
      </c>
      <c r="C585">
        <v>464</v>
      </c>
      <c r="D585">
        <v>0</v>
      </c>
      <c r="E585" t="s">
        <v>2106</v>
      </c>
      <c r="G585" t="s">
        <v>2106</v>
      </c>
      <c r="H585" t="s">
        <v>2107</v>
      </c>
      <c r="J585" t="s">
        <v>221</v>
      </c>
      <c r="K585">
        <v>282.8</v>
      </c>
      <c r="L585">
        <v>2.4</v>
      </c>
      <c r="M585" t="s">
        <v>196</v>
      </c>
      <c r="N585" t="s">
        <v>371</v>
      </c>
      <c r="O585" t="s">
        <v>166</v>
      </c>
      <c r="P585" t="s">
        <v>1529</v>
      </c>
      <c r="Q585" t="s">
        <v>623</v>
      </c>
      <c r="R585">
        <v>9</v>
      </c>
      <c r="S585">
        <v>115</v>
      </c>
      <c r="T585">
        <v>140</v>
      </c>
      <c r="U585">
        <v>130</v>
      </c>
      <c r="V585">
        <v>55</v>
      </c>
      <c r="W585">
        <v>55</v>
      </c>
      <c r="X585">
        <v>40</v>
      </c>
      <c r="Y585">
        <f t="shared" si="270"/>
        <v>222</v>
      </c>
      <c r="Z585">
        <f t="shared" si="271"/>
        <v>222</v>
      </c>
      <c r="AA585">
        <f t="shared" si="272"/>
        <v>190</v>
      </c>
      <c r="AB585">
        <f t="shared" si="273"/>
        <v>190</v>
      </c>
      <c r="AC585">
        <f t="shared" si="274"/>
        <v>175</v>
      </c>
      <c r="AD585">
        <f t="shared" si="275"/>
        <v>211</v>
      </c>
      <c r="AE585">
        <f t="shared" si="276"/>
        <v>192</v>
      </c>
      <c r="AF585">
        <f t="shared" si="277"/>
        <v>160</v>
      </c>
      <c r="AG585">
        <f t="shared" si="278"/>
        <v>144</v>
      </c>
      <c r="AH585">
        <f t="shared" si="279"/>
        <v>130</v>
      </c>
      <c r="AI585">
        <f t="shared" si="280"/>
        <v>200</v>
      </c>
      <c r="AJ585">
        <f t="shared" si="281"/>
        <v>182</v>
      </c>
      <c r="AK585">
        <f t="shared" si="282"/>
        <v>150</v>
      </c>
      <c r="AL585">
        <f t="shared" si="283"/>
        <v>135</v>
      </c>
      <c r="AM585">
        <f t="shared" si="284"/>
        <v>121</v>
      </c>
      <c r="AN585">
        <f t="shared" si="285"/>
        <v>117</v>
      </c>
      <c r="AO585">
        <f t="shared" si="286"/>
        <v>107</v>
      </c>
      <c r="AP585">
        <f t="shared" si="287"/>
        <v>75</v>
      </c>
      <c r="AQ585">
        <f t="shared" si="288"/>
        <v>67</v>
      </c>
      <c r="AR585">
        <f t="shared" si="289"/>
        <v>54</v>
      </c>
      <c r="AS585">
        <f t="shared" si="290"/>
        <v>117</v>
      </c>
      <c r="AT585">
        <f t="shared" si="291"/>
        <v>107</v>
      </c>
      <c r="AU585">
        <f t="shared" si="292"/>
        <v>75</v>
      </c>
      <c r="AV585">
        <f t="shared" si="293"/>
        <v>67</v>
      </c>
      <c r="AW585">
        <f t="shared" si="294"/>
        <v>54</v>
      </c>
      <c r="AX585">
        <f t="shared" si="295"/>
        <v>101</v>
      </c>
      <c r="AY585">
        <f t="shared" si="296"/>
        <v>92</v>
      </c>
      <c r="AZ585">
        <f t="shared" si="297"/>
        <v>60</v>
      </c>
      <c r="BA585">
        <f t="shared" si="298"/>
        <v>54</v>
      </c>
      <c r="BB585">
        <f t="shared" si="299"/>
        <v>40</v>
      </c>
    </row>
    <row r="586" spans="1:54" x14ac:dyDescent="0.15">
      <c r="B586" t="s">
        <v>2108</v>
      </c>
      <c r="C586">
        <v>465</v>
      </c>
      <c r="D586">
        <v>0</v>
      </c>
      <c r="E586" t="s">
        <v>2109</v>
      </c>
      <c r="G586" t="s">
        <v>2109</v>
      </c>
      <c r="J586" t="s">
        <v>659</v>
      </c>
      <c r="K586">
        <v>128.6</v>
      </c>
      <c r="L586">
        <v>2</v>
      </c>
      <c r="M586" t="s">
        <v>26</v>
      </c>
      <c r="O586" t="s">
        <v>29</v>
      </c>
      <c r="P586" t="s">
        <v>660</v>
      </c>
      <c r="Q586" t="s">
        <v>471</v>
      </c>
      <c r="R586">
        <v>8</v>
      </c>
      <c r="S586">
        <v>100</v>
      </c>
      <c r="T586">
        <v>100</v>
      </c>
      <c r="U586">
        <v>125</v>
      </c>
      <c r="V586">
        <v>110</v>
      </c>
      <c r="W586">
        <v>50</v>
      </c>
      <c r="X586">
        <v>50</v>
      </c>
      <c r="Y586">
        <f t="shared" si="270"/>
        <v>207</v>
      </c>
      <c r="Z586">
        <f t="shared" si="271"/>
        <v>207</v>
      </c>
      <c r="AA586">
        <f t="shared" si="272"/>
        <v>175</v>
      </c>
      <c r="AB586">
        <f t="shared" si="273"/>
        <v>175</v>
      </c>
      <c r="AC586">
        <f t="shared" si="274"/>
        <v>160</v>
      </c>
      <c r="AD586">
        <f t="shared" si="275"/>
        <v>167</v>
      </c>
      <c r="AE586">
        <f t="shared" si="276"/>
        <v>152</v>
      </c>
      <c r="AF586">
        <f t="shared" si="277"/>
        <v>120</v>
      </c>
      <c r="AG586">
        <f t="shared" si="278"/>
        <v>108</v>
      </c>
      <c r="AH586">
        <f t="shared" si="279"/>
        <v>94</v>
      </c>
      <c r="AI586">
        <f t="shared" si="280"/>
        <v>194</v>
      </c>
      <c r="AJ586">
        <f t="shared" si="281"/>
        <v>177</v>
      </c>
      <c r="AK586">
        <f t="shared" si="282"/>
        <v>145</v>
      </c>
      <c r="AL586">
        <f t="shared" si="283"/>
        <v>130</v>
      </c>
      <c r="AM586">
        <f t="shared" si="284"/>
        <v>117</v>
      </c>
      <c r="AN586">
        <f t="shared" si="285"/>
        <v>178</v>
      </c>
      <c r="AO586">
        <f t="shared" si="286"/>
        <v>162</v>
      </c>
      <c r="AP586">
        <f t="shared" si="287"/>
        <v>130</v>
      </c>
      <c r="AQ586">
        <f t="shared" si="288"/>
        <v>117</v>
      </c>
      <c r="AR586">
        <f t="shared" si="289"/>
        <v>103</v>
      </c>
      <c r="AS586">
        <f t="shared" si="290"/>
        <v>112</v>
      </c>
      <c r="AT586">
        <f t="shared" si="291"/>
        <v>102</v>
      </c>
      <c r="AU586">
        <f t="shared" si="292"/>
        <v>70</v>
      </c>
      <c r="AV586">
        <f t="shared" si="293"/>
        <v>63</v>
      </c>
      <c r="AW586">
        <f t="shared" si="294"/>
        <v>49</v>
      </c>
      <c r="AX586">
        <f t="shared" si="295"/>
        <v>112</v>
      </c>
      <c r="AY586">
        <f t="shared" si="296"/>
        <v>102</v>
      </c>
      <c r="AZ586">
        <f t="shared" si="297"/>
        <v>70</v>
      </c>
      <c r="BA586">
        <f t="shared" si="298"/>
        <v>63</v>
      </c>
      <c r="BB586">
        <f t="shared" si="299"/>
        <v>49</v>
      </c>
    </row>
    <row r="587" spans="1:54" x14ac:dyDescent="0.15">
      <c r="A587">
        <v>385</v>
      </c>
      <c r="B587" t="s">
        <v>2110</v>
      </c>
      <c r="C587">
        <v>466</v>
      </c>
      <c r="D587">
        <v>0</v>
      </c>
      <c r="E587" t="s">
        <v>2111</v>
      </c>
      <c r="G587" t="s">
        <v>2111</v>
      </c>
      <c r="H587" t="s">
        <v>2112</v>
      </c>
      <c r="J587" t="s">
        <v>2113</v>
      </c>
      <c r="K587">
        <v>138.6</v>
      </c>
      <c r="L587">
        <v>1.8</v>
      </c>
      <c r="M587" t="s">
        <v>164</v>
      </c>
      <c r="O587" t="s">
        <v>2114</v>
      </c>
      <c r="P587" t="s">
        <v>355</v>
      </c>
      <c r="R587">
        <v>9</v>
      </c>
      <c r="S587">
        <v>75</v>
      </c>
      <c r="T587">
        <v>123</v>
      </c>
      <c r="U587">
        <v>67</v>
      </c>
      <c r="V587">
        <v>95</v>
      </c>
      <c r="W587">
        <v>85</v>
      </c>
      <c r="X587">
        <v>95</v>
      </c>
      <c r="Y587">
        <f t="shared" si="270"/>
        <v>182</v>
      </c>
      <c r="Z587">
        <f t="shared" si="271"/>
        <v>182</v>
      </c>
      <c r="AA587">
        <f t="shared" si="272"/>
        <v>150</v>
      </c>
      <c r="AB587">
        <f t="shared" si="273"/>
        <v>150</v>
      </c>
      <c r="AC587">
        <f t="shared" si="274"/>
        <v>135</v>
      </c>
      <c r="AD587">
        <f t="shared" si="275"/>
        <v>192</v>
      </c>
      <c r="AE587">
        <f t="shared" si="276"/>
        <v>175</v>
      </c>
      <c r="AF587">
        <f t="shared" si="277"/>
        <v>143</v>
      </c>
      <c r="AG587">
        <f t="shared" si="278"/>
        <v>128</v>
      </c>
      <c r="AH587">
        <f t="shared" si="279"/>
        <v>115</v>
      </c>
      <c r="AI587">
        <f t="shared" si="280"/>
        <v>130</v>
      </c>
      <c r="AJ587">
        <f t="shared" si="281"/>
        <v>119</v>
      </c>
      <c r="AK587">
        <f t="shared" si="282"/>
        <v>87</v>
      </c>
      <c r="AL587">
        <f t="shared" si="283"/>
        <v>78</v>
      </c>
      <c r="AM587">
        <f t="shared" si="284"/>
        <v>64</v>
      </c>
      <c r="AN587">
        <f t="shared" si="285"/>
        <v>161</v>
      </c>
      <c r="AO587">
        <f t="shared" si="286"/>
        <v>147</v>
      </c>
      <c r="AP587">
        <f t="shared" si="287"/>
        <v>115</v>
      </c>
      <c r="AQ587">
        <f t="shared" si="288"/>
        <v>103</v>
      </c>
      <c r="AR587">
        <f t="shared" si="289"/>
        <v>90</v>
      </c>
      <c r="AS587">
        <f t="shared" si="290"/>
        <v>150</v>
      </c>
      <c r="AT587">
        <f t="shared" si="291"/>
        <v>137</v>
      </c>
      <c r="AU587">
        <f t="shared" si="292"/>
        <v>105</v>
      </c>
      <c r="AV587">
        <f t="shared" si="293"/>
        <v>94</v>
      </c>
      <c r="AW587">
        <f t="shared" si="294"/>
        <v>81</v>
      </c>
      <c r="AX587">
        <f t="shared" si="295"/>
        <v>161</v>
      </c>
      <c r="AY587">
        <f t="shared" si="296"/>
        <v>147</v>
      </c>
      <c r="AZ587">
        <f t="shared" si="297"/>
        <v>115</v>
      </c>
      <c r="BA587">
        <f t="shared" si="298"/>
        <v>103</v>
      </c>
      <c r="BB587">
        <f t="shared" si="299"/>
        <v>90</v>
      </c>
    </row>
    <row r="588" spans="1:54" x14ac:dyDescent="0.15">
      <c r="A588">
        <v>386</v>
      </c>
      <c r="B588" t="s">
        <v>2115</v>
      </c>
      <c r="C588">
        <v>467</v>
      </c>
      <c r="D588">
        <v>0</v>
      </c>
      <c r="E588" t="s">
        <v>2116</v>
      </c>
      <c r="G588" t="s">
        <v>2116</v>
      </c>
      <c r="H588" t="s">
        <v>2117</v>
      </c>
      <c r="J588" t="s">
        <v>2118</v>
      </c>
      <c r="K588">
        <v>68</v>
      </c>
      <c r="L588">
        <v>1.6</v>
      </c>
      <c r="M588" t="s">
        <v>47</v>
      </c>
      <c r="O588" t="s">
        <v>456</v>
      </c>
      <c r="P588" t="s">
        <v>355</v>
      </c>
      <c r="R588">
        <v>9</v>
      </c>
      <c r="S588">
        <v>75</v>
      </c>
      <c r="T588">
        <v>95</v>
      </c>
      <c r="U588">
        <v>67</v>
      </c>
      <c r="V588">
        <v>125</v>
      </c>
      <c r="W588">
        <v>95</v>
      </c>
      <c r="X588">
        <v>83</v>
      </c>
      <c r="Y588">
        <f t="shared" si="270"/>
        <v>182</v>
      </c>
      <c r="Z588">
        <f t="shared" si="271"/>
        <v>182</v>
      </c>
      <c r="AA588">
        <f t="shared" si="272"/>
        <v>150</v>
      </c>
      <c r="AB588">
        <f t="shared" si="273"/>
        <v>150</v>
      </c>
      <c r="AC588">
        <f t="shared" si="274"/>
        <v>135</v>
      </c>
      <c r="AD588">
        <f t="shared" si="275"/>
        <v>161</v>
      </c>
      <c r="AE588">
        <f t="shared" si="276"/>
        <v>147</v>
      </c>
      <c r="AF588">
        <f t="shared" si="277"/>
        <v>115</v>
      </c>
      <c r="AG588">
        <f t="shared" si="278"/>
        <v>103</v>
      </c>
      <c r="AH588">
        <f t="shared" si="279"/>
        <v>90</v>
      </c>
      <c r="AI588">
        <f t="shared" si="280"/>
        <v>130</v>
      </c>
      <c r="AJ588">
        <f t="shared" si="281"/>
        <v>119</v>
      </c>
      <c r="AK588">
        <f t="shared" si="282"/>
        <v>87</v>
      </c>
      <c r="AL588">
        <f t="shared" si="283"/>
        <v>78</v>
      </c>
      <c r="AM588">
        <f t="shared" si="284"/>
        <v>64</v>
      </c>
      <c r="AN588">
        <f t="shared" si="285"/>
        <v>194</v>
      </c>
      <c r="AO588">
        <f t="shared" si="286"/>
        <v>177</v>
      </c>
      <c r="AP588">
        <f t="shared" si="287"/>
        <v>145</v>
      </c>
      <c r="AQ588">
        <f t="shared" si="288"/>
        <v>130</v>
      </c>
      <c r="AR588">
        <f t="shared" si="289"/>
        <v>117</v>
      </c>
      <c r="AS588">
        <f t="shared" si="290"/>
        <v>161</v>
      </c>
      <c r="AT588">
        <f t="shared" si="291"/>
        <v>147</v>
      </c>
      <c r="AU588">
        <f t="shared" si="292"/>
        <v>115</v>
      </c>
      <c r="AV588">
        <f t="shared" si="293"/>
        <v>103</v>
      </c>
      <c r="AW588">
        <f t="shared" si="294"/>
        <v>90</v>
      </c>
      <c r="AX588">
        <f t="shared" si="295"/>
        <v>148</v>
      </c>
      <c r="AY588">
        <f t="shared" si="296"/>
        <v>135</v>
      </c>
      <c r="AZ588">
        <f t="shared" si="297"/>
        <v>103</v>
      </c>
      <c r="BA588">
        <f t="shared" si="298"/>
        <v>92</v>
      </c>
      <c r="BB588">
        <f t="shared" si="299"/>
        <v>79</v>
      </c>
    </row>
    <row r="589" spans="1:54" x14ac:dyDescent="0.15">
      <c r="B589" t="s">
        <v>2119</v>
      </c>
      <c r="C589">
        <v>468</v>
      </c>
      <c r="D589">
        <v>0</v>
      </c>
      <c r="E589" t="s">
        <v>2120</v>
      </c>
      <c r="G589" t="s">
        <v>2120</v>
      </c>
      <c r="J589" t="s">
        <v>2121</v>
      </c>
      <c r="K589">
        <v>38</v>
      </c>
      <c r="L589">
        <v>1.5</v>
      </c>
      <c r="M589" t="s">
        <v>233</v>
      </c>
      <c r="N589" t="s">
        <v>57</v>
      </c>
      <c r="O589" t="s">
        <v>136</v>
      </c>
      <c r="P589" t="s">
        <v>655</v>
      </c>
      <c r="Q589" t="s">
        <v>934</v>
      </c>
      <c r="R589">
        <v>8</v>
      </c>
      <c r="S589">
        <v>85</v>
      </c>
      <c r="T589">
        <v>50</v>
      </c>
      <c r="U589">
        <v>95</v>
      </c>
      <c r="V589">
        <v>120</v>
      </c>
      <c r="W589">
        <v>115</v>
      </c>
      <c r="X589">
        <v>80</v>
      </c>
      <c r="Y589">
        <f t="shared" si="270"/>
        <v>192</v>
      </c>
      <c r="Z589">
        <f t="shared" si="271"/>
        <v>192</v>
      </c>
      <c r="AA589">
        <f t="shared" si="272"/>
        <v>160</v>
      </c>
      <c r="AB589">
        <f t="shared" si="273"/>
        <v>160</v>
      </c>
      <c r="AC589">
        <f t="shared" si="274"/>
        <v>145</v>
      </c>
      <c r="AD589">
        <f t="shared" si="275"/>
        <v>112</v>
      </c>
      <c r="AE589">
        <f t="shared" si="276"/>
        <v>102</v>
      </c>
      <c r="AF589">
        <f t="shared" si="277"/>
        <v>70</v>
      </c>
      <c r="AG589">
        <f t="shared" si="278"/>
        <v>63</v>
      </c>
      <c r="AH589">
        <f t="shared" si="279"/>
        <v>49</v>
      </c>
      <c r="AI589">
        <f t="shared" si="280"/>
        <v>161</v>
      </c>
      <c r="AJ589">
        <f t="shared" si="281"/>
        <v>147</v>
      </c>
      <c r="AK589">
        <f t="shared" si="282"/>
        <v>115</v>
      </c>
      <c r="AL589">
        <f t="shared" si="283"/>
        <v>103</v>
      </c>
      <c r="AM589">
        <f t="shared" si="284"/>
        <v>90</v>
      </c>
      <c r="AN589">
        <f t="shared" si="285"/>
        <v>189</v>
      </c>
      <c r="AO589">
        <f t="shared" si="286"/>
        <v>172</v>
      </c>
      <c r="AP589">
        <f t="shared" si="287"/>
        <v>140</v>
      </c>
      <c r="AQ589">
        <f t="shared" si="288"/>
        <v>126</v>
      </c>
      <c r="AR589">
        <f t="shared" si="289"/>
        <v>112</v>
      </c>
      <c r="AS589">
        <f t="shared" si="290"/>
        <v>183</v>
      </c>
      <c r="AT589">
        <f t="shared" si="291"/>
        <v>167</v>
      </c>
      <c r="AU589">
        <f t="shared" si="292"/>
        <v>135</v>
      </c>
      <c r="AV589">
        <f t="shared" si="293"/>
        <v>121</v>
      </c>
      <c r="AW589">
        <f t="shared" si="294"/>
        <v>108</v>
      </c>
      <c r="AX589">
        <f t="shared" si="295"/>
        <v>145</v>
      </c>
      <c r="AY589">
        <f t="shared" si="296"/>
        <v>132</v>
      </c>
      <c r="AZ589">
        <f t="shared" si="297"/>
        <v>100</v>
      </c>
      <c r="BA589">
        <f t="shared" si="298"/>
        <v>90</v>
      </c>
      <c r="BB589">
        <f t="shared" si="299"/>
        <v>76</v>
      </c>
    </row>
    <row r="590" spans="1:54" x14ac:dyDescent="0.15">
      <c r="A590">
        <v>387</v>
      </c>
      <c r="B590" t="s">
        <v>2122</v>
      </c>
      <c r="C590">
        <v>469</v>
      </c>
      <c r="D590">
        <v>0</v>
      </c>
      <c r="E590" t="s">
        <v>2123</v>
      </c>
      <c r="G590" t="s">
        <v>2123</v>
      </c>
      <c r="H590" t="s">
        <v>2124</v>
      </c>
      <c r="J590" t="s">
        <v>2125</v>
      </c>
      <c r="K590">
        <v>51.5</v>
      </c>
      <c r="L590">
        <v>1.9</v>
      </c>
      <c r="M590" t="s">
        <v>90</v>
      </c>
      <c r="N590" t="s">
        <v>57</v>
      </c>
      <c r="O590" t="s">
        <v>1004</v>
      </c>
      <c r="P590" t="s">
        <v>101</v>
      </c>
      <c r="Q590" t="s">
        <v>264</v>
      </c>
      <c r="R590">
        <v>9</v>
      </c>
      <c r="S590">
        <v>86</v>
      </c>
      <c r="T590">
        <v>76</v>
      </c>
      <c r="U590">
        <v>86</v>
      </c>
      <c r="V590">
        <v>116</v>
      </c>
      <c r="W590">
        <v>56</v>
      </c>
      <c r="X590">
        <v>95</v>
      </c>
      <c r="Y590">
        <f t="shared" si="270"/>
        <v>193</v>
      </c>
      <c r="Z590">
        <f t="shared" si="271"/>
        <v>193</v>
      </c>
      <c r="AA590">
        <f t="shared" si="272"/>
        <v>161</v>
      </c>
      <c r="AB590">
        <f t="shared" si="273"/>
        <v>161</v>
      </c>
      <c r="AC590">
        <f t="shared" si="274"/>
        <v>146</v>
      </c>
      <c r="AD590">
        <f t="shared" si="275"/>
        <v>140</v>
      </c>
      <c r="AE590">
        <f t="shared" si="276"/>
        <v>128</v>
      </c>
      <c r="AF590">
        <f t="shared" si="277"/>
        <v>96</v>
      </c>
      <c r="AG590">
        <f t="shared" si="278"/>
        <v>86</v>
      </c>
      <c r="AH590">
        <f t="shared" si="279"/>
        <v>72</v>
      </c>
      <c r="AI590">
        <f t="shared" si="280"/>
        <v>151</v>
      </c>
      <c r="AJ590">
        <f t="shared" si="281"/>
        <v>138</v>
      </c>
      <c r="AK590">
        <f t="shared" si="282"/>
        <v>106</v>
      </c>
      <c r="AL590">
        <f t="shared" si="283"/>
        <v>95</v>
      </c>
      <c r="AM590">
        <f t="shared" si="284"/>
        <v>81</v>
      </c>
      <c r="AN590">
        <f t="shared" si="285"/>
        <v>184</v>
      </c>
      <c r="AO590">
        <f t="shared" si="286"/>
        <v>168</v>
      </c>
      <c r="AP590">
        <f t="shared" si="287"/>
        <v>136</v>
      </c>
      <c r="AQ590">
        <f t="shared" si="288"/>
        <v>122</v>
      </c>
      <c r="AR590">
        <f t="shared" si="289"/>
        <v>108</v>
      </c>
      <c r="AS590">
        <f t="shared" si="290"/>
        <v>118</v>
      </c>
      <c r="AT590">
        <f t="shared" si="291"/>
        <v>108</v>
      </c>
      <c r="AU590">
        <f t="shared" si="292"/>
        <v>76</v>
      </c>
      <c r="AV590">
        <f t="shared" si="293"/>
        <v>68</v>
      </c>
      <c r="AW590">
        <f t="shared" si="294"/>
        <v>54</v>
      </c>
      <c r="AX590">
        <f t="shared" si="295"/>
        <v>161</v>
      </c>
      <c r="AY590">
        <f t="shared" si="296"/>
        <v>147</v>
      </c>
      <c r="AZ590">
        <f t="shared" si="297"/>
        <v>115</v>
      </c>
      <c r="BA590">
        <f t="shared" si="298"/>
        <v>103</v>
      </c>
      <c r="BB590">
        <f t="shared" si="299"/>
        <v>90</v>
      </c>
    </row>
    <row r="591" spans="1:54" x14ac:dyDescent="0.15">
      <c r="A591">
        <v>388</v>
      </c>
      <c r="B591" t="s">
        <v>2126</v>
      </c>
      <c r="C591">
        <v>470</v>
      </c>
      <c r="D591">
        <v>0</v>
      </c>
      <c r="E591" t="s">
        <v>2127</v>
      </c>
      <c r="G591" t="s">
        <v>2127</v>
      </c>
      <c r="H591" t="s">
        <v>2128</v>
      </c>
      <c r="J591" t="s">
        <v>2129</v>
      </c>
      <c r="K591">
        <v>25.5</v>
      </c>
      <c r="L591">
        <v>1</v>
      </c>
      <c r="M591" t="s">
        <v>26</v>
      </c>
      <c r="O591" t="s">
        <v>660</v>
      </c>
      <c r="P591" t="s">
        <v>29</v>
      </c>
      <c r="R591">
        <v>9</v>
      </c>
      <c r="S591">
        <v>65</v>
      </c>
      <c r="T591">
        <v>110</v>
      </c>
      <c r="U591">
        <v>130</v>
      </c>
      <c r="V591">
        <v>60</v>
      </c>
      <c r="W591">
        <v>65</v>
      </c>
      <c r="X591">
        <v>95</v>
      </c>
      <c r="Y591">
        <f t="shared" si="270"/>
        <v>172</v>
      </c>
      <c r="Z591">
        <f t="shared" si="271"/>
        <v>172</v>
      </c>
      <c r="AA591">
        <f t="shared" si="272"/>
        <v>140</v>
      </c>
      <c r="AB591">
        <f t="shared" si="273"/>
        <v>140</v>
      </c>
      <c r="AC591">
        <f t="shared" si="274"/>
        <v>125</v>
      </c>
      <c r="AD591">
        <f t="shared" si="275"/>
        <v>178</v>
      </c>
      <c r="AE591">
        <f t="shared" si="276"/>
        <v>162</v>
      </c>
      <c r="AF591">
        <f t="shared" si="277"/>
        <v>130</v>
      </c>
      <c r="AG591">
        <f t="shared" si="278"/>
        <v>117</v>
      </c>
      <c r="AH591">
        <f t="shared" si="279"/>
        <v>103</v>
      </c>
      <c r="AI591">
        <f t="shared" si="280"/>
        <v>200</v>
      </c>
      <c r="AJ591">
        <f t="shared" si="281"/>
        <v>182</v>
      </c>
      <c r="AK591">
        <f t="shared" si="282"/>
        <v>150</v>
      </c>
      <c r="AL591">
        <f t="shared" si="283"/>
        <v>135</v>
      </c>
      <c r="AM591">
        <f t="shared" si="284"/>
        <v>121</v>
      </c>
      <c r="AN591">
        <f t="shared" si="285"/>
        <v>123</v>
      </c>
      <c r="AO591">
        <f t="shared" si="286"/>
        <v>112</v>
      </c>
      <c r="AP591">
        <f t="shared" si="287"/>
        <v>80</v>
      </c>
      <c r="AQ591">
        <f t="shared" si="288"/>
        <v>72</v>
      </c>
      <c r="AR591">
        <f t="shared" si="289"/>
        <v>58</v>
      </c>
      <c r="AS591">
        <f t="shared" si="290"/>
        <v>128</v>
      </c>
      <c r="AT591">
        <f t="shared" si="291"/>
        <v>117</v>
      </c>
      <c r="AU591">
        <f t="shared" si="292"/>
        <v>85</v>
      </c>
      <c r="AV591">
        <f t="shared" si="293"/>
        <v>76</v>
      </c>
      <c r="AW591">
        <f t="shared" si="294"/>
        <v>63</v>
      </c>
      <c r="AX591">
        <f t="shared" si="295"/>
        <v>161</v>
      </c>
      <c r="AY591">
        <f t="shared" si="296"/>
        <v>147</v>
      </c>
      <c r="AZ591">
        <f t="shared" si="297"/>
        <v>115</v>
      </c>
      <c r="BA591">
        <f t="shared" si="298"/>
        <v>103</v>
      </c>
      <c r="BB591">
        <f t="shared" si="299"/>
        <v>90</v>
      </c>
    </row>
    <row r="592" spans="1:54" x14ac:dyDescent="0.15">
      <c r="A592">
        <v>389</v>
      </c>
      <c r="B592" t="s">
        <v>2130</v>
      </c>
      <c r="C592">
        <v>471</v>
      </c>
      <c r="D592">
        <v>0</v>
      </c>
      <c r="E592" t="s">
        <v>2131</v>
      </c>
      <c r="G592" t="s">
        <v>2131</v>
      </c>
      <c r="H592" t="s">
        <v>2132</v>
      </c>
      <c r="J592" t="s">
        <v>2133</v>
      </c>
      <c r="K592">
        <v>25.9</v>
      </c>
      <c r="L592">
        <v>0.8</v>
      </c>
      <c r="M592" t="s">
        <v>202</v>
      </c>
      <c r="O592" t="s">
        <v>204</v>
      </c>
      <c r="P592" t="s">
        <v>514</v>
      </c>
      <c r="R592">
        <v>9</v>
      </c>
      <c r="S592">
        <v>65</v>
      </c>
      <c r="T592">
        <v>60</v>
      </c>
      <c r="U592">
        <v>110</v>
      </c>
      <c r="V592">
        <v>130</v>
      </c>
      <c r="W592">
        <v>95</v>
      </c>
      <c r="X592">
        <v>65</v>
      </c>
      <c r="Y592">
        <f t="shared" si="270"/>
        <v>172</v>
      </c>
      <c r="Z592">
        <f t="shared" si="271"/>
        <v>172</v>
      </c>
      <c r="AA592">
        <f t="shared" si="272"/>
        <v>140</v>
      </c>
      <c r="AB592">
        <f t="shared" si="273"/>
        <v>140</v>
      </c>
      <c r="AC592">
        <f t="shared" si="274"/>
        <v>125</v>
      </c>
      <c r="AD592">
        <f t="shared" si="275"/>
        <v>123</v>
      </c>
      <c r="AE592">
        <f t="shared" si="276"/>
        <v>112</v>
      </c>
      <c r="AF592">
        <f t="shared" si="277"/>
        <v>80</v>
      </c>
      <c r="AG592">
        <f t="shared" si="278"/>
        <v>72</v>
      </c>
      <c r="AH592">
        <f t="shared" si="279"/>
        <v>58</v>
      </c>
      <c r="AI592">
        <f t="shared" si="280"/>
        <v>178</v>
      </c>
      <c r="AJ592">
        <f t="shared" si="281"/>
        <v>162</v>
      </c>
      <c r="AK592">
        <f t="shared" si="282"/>
        <v>130</v>
      </c>
      <c r="AL592">
        <f t="shared" si="283"/>
        <v>117</v>
      </c>
      <c r="AM592">
        <f t="shared" si="284"/>
        <v>103</v>
      </c>
      <c r="AN592">
        <f t="shared" si="285"/>
        <v>200</v>
      </c>
      <c r="AO592">
        <f t="shared" si="286"/>
        <v>182</v>
      </c>
      <c r="AP592">
        <f t="shared" si="287"/>
        <v>150</v>
      </c>
      <c r="AQ592">
        <f t="shared" si="288"/>
        <v>135</v>
      </c>
      <c r="AR592">
        <f t="shared" si="289"/>
        <v>121</v>
      </c>
      <c r="AS592">
        <f t="shared" si="290"/>
        <v>161</v>
      </c>
      <c r="AT592">
        <f t="shared" si="291"/>
        <v>147</v>
      </c>
      <c r="AU592">
        <f t="shared" si="292"/>
        <v>115</v>
      </c>
      <c r="AV592">
        <f t="shared" si="293"/>
        <v>103</v>
      </c>
      <c r="AW592">
        <f t="shared" si="294"/>
        <v>90</v>
      </c>
      <c r="AX592">
        <f t="shared" si="295"/>
        <v>128</v>
      </c>
      <c r="AY592">
        <f t="shared" si="296"/>
        <v>117</v>
      </c>
      <c r="AZ592">
        <f t="shared" si="297"/>
        <v>85</v>
      </c>
      <c r="BA592">
        <f t="shared" si="298"/>
        <v>76</v>
      </c>
      <c r="BB592">
        <f t="shared" si="299"/>
        <v>63</v>
      </c>
    </row>
    <row r="593" spans="1:54" x14ac:dyDescent="0.15">
      <c r="A593">
        <v>390</v>
      </c>
      <c r="B593" t="s">
        <v>2134</v>
      </c>
      <c r="C593">
        <v>472</v>
      </c>
      <c r="D593">
        <v>0</v>
      </c>
      <c r="E593" t="s">
        <v>2135</v>
      </c>
      <c r="G593" t="s">
        <v>2135</v>
      </c>
      <c r="H593" t="s">
        <v>2136</v>
      </c>
      <c r="J593" t="s">
        <v>2137</v>
      </c>
      <c r="K593">
        <v>42.5</v>
      </c>
      <c r="L593">
        <v>2</v>
      </c>
      <c r="M593" t="s">
        <v>196</v>
      </c>
      <c r="N593" t="s">
        <v>57</v>
      </c>
      <c r="O593" t="s">
        <v>576</v>
      </c>
      <c r="P593" t="s">
        <v>197</v>
      </c>
      <c r="Q593" t="s">
        <v>1380</v>
      </c>
      <c r="R593">
        <v>9</v>
      </c>
      <c r="S593">
        <v>75</v>
      </c>
      <c r="T593">
        <v>95</v>
      </c>
      <c r="U593">
        <v>125</v>
      </c>
      <c r="V593">
        <v>45</v>
      </c>
      <c r="W593">
        <v>75</v>
      </c>
      <c r="X593">
        <v>95</v>
      </c>
      <c r="Y593">
        <f t="shared" si="270"/>
        <v>182</v>
      </c>
      <c r="Z593">
        <f t="shared" si="271"/>
        <v>182</v>
      </c>
      <c r="AA593">
        <f t="shared" si="272"/>
        <v>150</v>
      </c>
      <c r="AB593">
        <f t="shared" si="273"/>
        <v>150</v>
      </c>
      <c r="AC593">
        <f t="shared" si="274"/>
        <v>135</v>
      </c>
      <c r="AD593">
        <f t="shared" si="275"/>
        <v>161</v>
      </c>
      <c r="AE593">
        <f t="shared" si="276"/>
        <v>147</v>
      </c>
      <c r="AF593">
        <f t="shared" si="277"/>
        <v>115</v>
      </c>
      <c r="AG593">
        <f t="shared" si="278"/>
        <v>103</v>
      </c>
      <c r="AH593">
        <f t="shared" si="279"/>
        <v>90</v>
      </c>
      <c r="AI593">
        <f t="shared" si="280"/>
        <v>194</v>
      </c>
      <c r="AJ593">
        <f t="shared" si="281"/>
        <v>177</v>
      </c>
      <c r="AK593">
        <f t="shared" si="282"/>
        <v>145</v>
      </c>
      <c r="AL593">
        <f t="shared" si="283"/>
        <v>130</v>
      </c>
      <c r="AM593">
        <f t="shared" si="284"/>
        <v>117</v>
      </c>
      <c r="AN593">
        <f t="shared" si="285"/>
        <v>106</v>
      </c>
      <c r="AO593">
        <f t="shared" si="286"/>
        <v>97</v>
      </c>
      <c r="AP593">
        <f t="shared" si="287"/>
        <v>65</v>
      </c>
      <c r="AQ593">
        <f t="shared" si="288"/>
        <v>58</v>
      </c>
      <c r="AR593">
        <f t="shared" si="289"/>
        <v>45</v>
      </c>
      <c r="AS593">
        <f t="shared" si="290"/>
        <v>139</v>
      </c>
      <c r="AT593">
        <f t="shared" si="291"/>
        <v>127</v>
      </c>
      <c r="AU593">
        <f t="shared" si="292"/>
        <v>95</v>
      </c>
      <c r="AV593">
        <f t="shared" si="293"/>
        <v>85</v>
      </c>
      <c r="AW593">
        <f t="shared" si="294"/>
        <v>72</v>
      </c>
      <c r="AX593">
        <f t="shared" si="295"/>
        <v>161</v>
      </c>
      <c r="AY593">
        <f t="shared" si="296"/>
        <v>147</v>
      </c>
      <c r="AZ593">
        <f t="shared" si="297"/>
        <v>115</v>
      </c>
      <c r="BA593">
        <f t="shared" si="298"/>
        <v>103</v>
      </c>
      <c r="BB593">
        <f t="shared" si="299"/>
        <v>90</v>
      </c>
    </row>
    <row r="594" spans="1:54" x14ac:dyDescent="0.15">
      <c r="A594">
        <v>391</v>
      </c>
      <c r="B594" t="s">
        <v>2138</v>
      </c>
      <c r="C594">
        <v>473</v>
      </c>
      <c r="D594">
        <v>0</v>
      </c>
      <c r="E594" t="s">
        <v>2139</v>
      </c>
      <c r="G594" t="s">
        <v>2139</v>
      </c>
      <c r="H594" t="s">
        <v>2140</v>
      </c>
      <c r="J594" t="s">
        <v>2141</v>
      </c>
      <c r="K594">
        <v>291</v>
      </c>
      <c r="L594">
        <v>2.5</v>
      </c>
      <c r="M594" t="s">
        <v>202</v>
      </c>
      <c r="N594" t="s">
        <v>196</v>
      </c>
      <c r="O594" t="s">
        <v>469</v>
      </c>
      <c r="P594" t="s">
        <v>204</v>
      </c>
      <c r="Q594" t="s">
        <v>38</v>
      </c>
      <c r="R594">
        <v>9</v>
      </c>
      <c r="S594">
        <v>110</v>
      </c>
      <c r="T594">
        <v>130</v>
      </c>
      <c r="U594">
        <v>80</v>
      </c>
      <c r="V594">
        <v>70</v>
      </c>
      <c r="W594">
        <v>60</v>
      </c>
      <c r="X594">
        <v>80</v>
      </c>
      <c r="Y594">
        <f t="shared" si="270"/>
        <v>217</v>
      </c>
      <c r="Z594">
        <f t="shared" si="271"/>
        <v>217</v>
      </c>
      <c r="AA594">
        <f t="shared" si="272"/>
        <v>185</v>
      </c>
      <c r="AB594">
        <f t="shared" si="273"/>
        <v>185</v>
      </c>
      <c r="AC594">
        <f t="shared" si="274"/>
        <v>170</v>
      </c>
      <c r="AD594">
        <f t="shared" si="275"/>
        <v>200</v>
      </c>
      <c r="AE594">
        <f t="shared" si="276"/>
        <v>182</v>
      </c>
      <c r="AF594">
        <f t="shared" si="277"/>
        <v>150</v>
      </c>
      <c r="AG594">
        <f t="shared" si="278"/>
        <v>135</v>
      </c>
      <c r="AH594">
        <f t="shared" si="279"/>
        <v>121</v>
      </c>
      <c r="AI594">
        <f t="shared" si="280"/>
        <v>145</v>
      </c>
      <c r="AJ594">
        <f t="shared" si="281"/>
        <v>132</v>
      </c>
      <c r="AK594">
        <f t="shared" si="282"/>
        <v>100</v>
      </c>
      <c r="AL594">
        <f t="shared" si="283"/>
        <v>90</v>
      </c>
      <c r="AM594">
        <f t="shared" si="284"/>
        <v>76</v>
      </c>
      <c r="AN594">
        <f t="shared" si="285"/>
        <v>134</v>
      </c>
      <c r="AO594">
        <f t="shared" si="286"/>
        <v>122</v>
      </c>
      <c r="AP594">
        <f t="shared" si="287"/>
        <v>90</v>
      </c>
      <c r="AQ594">
        <f t="shared" si="288"/>
        <v>81</v>
      </c>
      <c r="AR594">
        <f t="shared" si="289"/>
        <v>67</v>
      </c>
      <c r="AS594">
        <f t="shared" si="290"/>
        <v>123</v>
      </c>
      <c r="AT594">
        <f t="shared" si="291"/>
        <v>112</v>
      </c>
      <c r="AU594">
        <f t="shared" si="292"/>
        <v>80</v>
      </c>
      <c r="AV594">
        <f t="shared" si="293"/>
        <v>72</v>
      </c>
      <c r="AW594">
        <f t="shared" si="294"/>
        <v>58</v>
      </c>
      <c r="AX594">
        <f t="shared" si="295"/>
        <v>145</v>
      </c>
      <c r="AY594">
        <f t="shared" si="296"/>
        <v>132</v>
      </c>
      <c r="AZ594">
        <f t="shared" si="297"/>
        <v>100</v>
      </c>
      <c r="BA594">
        <f t="shared" si="298"/>
        <v>90</v>
      </c>
      <c r="BB594">
        <f t="shared" si="299"/>
        <v>76</v>
      </c>
    </row>
    <row r="595" spans="1:54" x14ac:dyDescent="0.15">
      <c r="A595">
        <v>392</v>
      </c>
      <c r="B595" t="s">
        <v>2142</v>
      </c>
      <c r="C595">
        <v>474</v>
      </c>
      <c r="D595">
        <v>0</v>
      </c>
      <c r="E595" t="s">
        <v>2143</v>
      </c>
      <c r="G595" t="s">
        <v>2143</v>
      </c>
      <c r="H595" t="s">
        <v>2144</v>
      </c>
      <c r="J595" t="s">
        <v>778</v>
      </c>
      <c r="K595">
        <v>34</v>
      </c>
      <c r="L595">
        <v>0.9</v>
      </c>
      <c r="M595" t="s">
        <v>120</v>
      </c>
      <c r="O595" t="s">
        <v>116</v>
      </c>
      <c r="P595" t="s">
        <v>779</v>
      </c>
      <c r="Q595" t="s">
        <v>490</v>
      </c>
      <c r="R595">
        <v>9</v>
      </c>
      <c r="S595">
        <v>85</v>
      </c>
      <c r="T595">
        <v>80</v>
      </c>
      <c r="U595">
        <v>70</v>
      </c>
      <c r="V595">
        <v>135</v>
      </c>
      <c r="W595">
        <v>75</v>
      </c>
      <c r="X595">
        <v>90</v>
      </c>
      <c r="Y595">
        <f t="shared" si="270"/>
        <v>192</v>
      </c>
      <c r="Z595">
        <f t="shared" si="271"/>
        <v>192</v>
      </c>
      <c r="AA595">
        <f t="shared" si="272"/>
        <v>160</v>
      </c>
      <c r="AB595">
        <f t="shared" si="273"/>
        <v>160</v>
      </c>
      <c r="AC595">
        <f t="shared" si="274"/>
        <v>145</v>
      </c>
      <c r="AD595">
        <f t="shared" si="275"/>
        <v>145</v>
      </c>
      <c r="AE595">
        <f t="shared" si="276"/>
        <v>132</v>
      </c>
      <c r="AF595">
        <f t="shared" si="277"/>
        <v>100</v>
      </c>
      <c r="AG595">
        <f t="shared" si="278"/>
        <v>90</v>
      </c>
      <c r="AH595">
        <f t="shared" si="279"/>
        <v>76</v>
      </c>
      <c r="AI595">
        <f t="shared" si="280"/>
        <v>134</v>
      </c>
      <c r="AJ595">
        <f t="shared" si="281"/>
        <v>122</v>
      </c>
      <c r="AK595">
        <f t="shared" si="282"/>
        <v>90</v>
      </c>
      <c r="AL595">
        <f t="shared" si="283"/>
        <v>81</v>
      </c>
      <c r="AM595">
        <f t="shared" si="284"/>
        <v>67</v>
      </c>
      <c r="AN595">
        <f t="shared" si="285"/>
        <v>205</v>
      </c>
      <c r="AO595">
        <f t="shared" si="286"/>
        <v>187</v>
      </c>
      <c r="AP595">
        <f t="shared" si="287"/>
        <v>155</v>
      </c>
      <c r="AQ595">
        <f t="shared" si="288"/>
        <v>139</v>
      </c>
      <c r="AR595">
        <f t="shared" si="289"/>
        <v>126</v>
      </c>
      <c r="AS595">
        <f t="shared" si="290"/>
        <v>139</v>
      </c>
      <c r="AT595">
        <f t="shared" si="291"/>
        <v>127</v>
      </c>
      <c r="AU595">
        <f t="shared" si="292"/>
        <v>95</v>
      </c>
      <c r="AV595">
        <f t="shared" si="293"/>
        <v>85</v>
      </c>
      <c r="AW595">
        <f t="shared" si="294"/>
        <v>72</v>
      </c>
      <c r="AX595">
        <f t="shared" si="295"/>
        <v>156</v>
      </c>
      <c r="AY595">
        <f t="shared" si="296"/>
        <v>142</v>
      </c>
      <c r="AZ595">
        <f t="shared" si="297"/>
        <v>110</v>
      </c>
      <c r="BA595">
        <f t="shared" si="298"/>
        <v>99</v>
      </c>
      <c r="BB595">
        <f t="shared" si="299"/>
        <v>85</v>
      </c>
    </row>
    <row r="596" spans="1:54" x14ac:dyDescent="0.15">
      <c r="A596">
        <v>393</v>
      </c>
      <c r="B596" t="s">
        <v>2145</v>
      </c>
      <c r="C596">
        <v>475</v>
      </c>
      <c r="D596">
        <v>0</v>
      </c>
      <c r="E596" t="s">
        <v>2146</v>
      </c>
      <c r="G596" t="s">
        <v>2146</v>
      </c>
      <c r="H596" t="s">
        <v>2147</v>
      </c>
      <c r="J596" t="s">
        <v>2148</v>
      </c>
      <c r="K596">
        <v>52</v>
      </c>
      <c r="L596">
        <v>1.6</v>
      </c>
      <c r="M596" t="s">
        <v>191</v>
      </c>
      <c r="N596" t="s">
        <v>354</v>
      </c>
      <c r="O596" t="s">
        <v>404</v>
      </c>
      <c r="P596" t="s">
        <v>2149</v>
      </c>
      <c r="Q596" t="s">
        <v>365</v>
      </c>
      <c r="R596">
        <v>9</v>
      </c>
      <c r="S596">
        <v>68</v>
      </c>
      <c r="T596">
        <v>125</v>
      </c>
      <c r="U596">
        <v>65</v>
      </c>
      <c r="V596">
        <v>65</v>
      </c>
      <c r="W596">
        <v>115</v>
      </c>
      <c r="X596">
        <v>80</v>
      </c>
      <c r="Y596">
        <f t="shared" si="270"/>
        <v>175</v>
      </c>
      <c r="Z596">
        <f t="shared" si="271"/>
        <v>175</v>
      </c>
      <c r="AA596">
        <f t="shared" si="272"/>
        <v>143</v>
      </c>
      <c r="AB596">
        <f t="shared" si="273"/>
        <v>143</v>
      </c>
      <c r="AC596">
        <f t="shared" si="274"/>
        <v>128</v>
      </c>
      <c r="AD596">
        <f t="shared" si="275"/>
        <v>194</v>
      </c>
      <c r="AE596">
        <f t="shared" si="276"/>
        <v>177</v>
      </c>
      <c r="AF596">
        <f t="shared" si="277"/>
        <v>145</v>
      </c>
      <c r="AG596">
        <f t="shared" si="278"/>
        <v>130</v>
      </c>
      <c r="AH596">
        <f t="shared" si="279"/>
        <v>117</v>
      </c>
      <c r="AI596">
        <f t="shared" si="280"/>
        <v>128</v>
      </c>
      <c r="AJ596">
        <f t="shared" si="281"/>
        <v>117</v>
      </c>
      <c r="AK596">
        <f t="shared" si="282"/>
        <v>85</v>
      </c>
      <c r="AL596">
        <f t="shared" si="283"/>
        <v>76</v>
      </c>
      <c r="AM596">
        <f t="shared" si="284"/>
        <v>63</v>
      </c>
      <c r="AN596">
        <f t="shared" si="285"/>
        <v>128</v>
      </c>
      <c r="AO596">
        <f t="shared" si="286"/>
        <v>117</v>
      </c>
      <c r="AP596">
        <f t="shared" si="287"/>
        <v>85</v>
      </c>
      <c r="AQ596">
        <f t="shared" si="288"/>
        <v>76</v>
      </c>
      <c r="AR596">
        <f t="shared" si="289"/>
        <v>63</v>
      </c>
      <c r="AS596">
        <f t="shared" si="290"/>
        <v>183</v>
      </c>
      <c r="AT596">
        <f t="shared" si="291"/>
        <v>167</v>
      </c>
      <c r="AU596">
        <f t="shared" si="292"/>
        <v>135</v>
      </c>
      <c r="AV596">
        <f t="shared" si="293"/>
        <v>121</v>
      </c>
      <c r="AW596">
        <f t="shared" si="294"/>
        <v>108</v>
      </c>
      <c r="AX596">
        <f t="shared" si="295"/>
        <v>145</v>
      </c>
      <c r="AY596">
        <f t="shared" si="296"/>
        <v>132</v>
      </c>
      <c r="AZ596">
        <f t="shared" si="297"/>
        <v>100</v>
      </c>
      <c r="BA596">
        <f t="shared" si="298"/>
        <v>90</v>
      </c>
      <c r="BB596">
        <f t="shared" si="299"/>
        <v>76</v>
      </c>
    </row>
    <row r="597" spans="1:54" x14ac:dyDescent="0.15">
      <c r="B597" t="s">
        <v>2150</v>
      </c>
      <c r="C597">
        <v>475</v>
      </c>
      <c r="D597">
        <v>1</v>
      </c>
      <c r="E597" t="s">
        <v>2146</v>
      </c>
      <c r="F597" t="s">
        <v>2151</v>
      </c>
      <c r="G597" t="s">
        <v>2151</v>
      </c>
      <c r="J597" t="s">
        <v>2148</v>
      </c>
      <c r="K597">
        <v>56.4</v>
      </c>
      <c r="L597">
        <v>1.6</v>
      </c>
      <c r="M597" t="s">
        <v>191</v>
      </c>
      <c r="N597" t="s">
        <v>354</v>
      </c>
      <c r="O597" t="s">
        <v>268</v>
      </c>
      <c r="P597" t="s">
        <v>365</v>
      </c>
      <c r="R597">
        <v>7</v>
      </c>
      <c r="S597">
        <v>68</v>
      </c>
      <c r="T597">
        <v>125</v>
      </c>
      <c r="U597">
        <v>65</v>
      </c>
      <c r="V597">
        <v>65</v>
      </c>
      <c r="W597">
        <v>115</v>
      </c>
      <c r="X597">
        <v>80</v>
      </c>
      <c r="Y597">
        <f t="shared" si="270"/>
        <v>175</v>
      </c>
      <c r="Z597">
        <f t="shared" si="271"/>
        <v>175</v>
      </c>
      <c r="AA597">
        <f t="shared" si="272"/>
        <v>143</v>
      </c>
      <c r="AB597">
        <f t="shared" si="273"/>
        <v>143</v>
      </c>
      <c r="AC597">
        <f t="shared" si="274"/>
        <v>128</v>
      </c>
      <c r="AD597">
        <f t="shared" si="275"/>
        <v>194</v>
      </c>
      <c r="AE597">
        <f t="shared" si="276"/>
        <v>177</v>
      </c>
      <c r="AF597">
        <f t="shared" si="277"/>
        <v>145</v>
      </c>
      <c r="AG597">
        <f t="shared" si="278"/>
        <v>130</v>
      </c>
      <c r="AH597">
        <f t="shared" si="279"/>
        <v>117</v>
      </c>
      <c r="AI597">
        <f t="shared" si="280"/>
        <v>128</v>
      </c>
      <c r="AJ597">
        <f t="shared" si="281"/>
        <v>117</v>
      </c>
      <c r="AK597">
        <f t="shared" si="282"/>
        <v>85</v>
      </c>
      <c r="AL597">
        <f t="shared" si="283"/>
        <v>76</v>
      </c>
      <c r="AM597">
        <f t="shared" si="284"/>
        <v>63</v>
      </c>
      <c r="AN597">
        <f t="shared" si="285"/>
        <v>128</v>
      </c>
      <c r="AO597">
        <f t="shared" si="286"/>
        <v>117</v>
      </c>
      <c r="AP597">
        <f t="shared" si="287"/>
        <v>85</v>
      </c>
      <c r="AQ597">
        <f t="shared" si="288"/>
        <v>76</v>
      </c>
      <c r="AR597">
        <f t="shared" si="289"/>
        <v>63</v>
      </c>
      <c r="AS597">
        <f t="shared" si="290"/>
        <v>183</v>
      </c>
      <c r="AT597">
        <f t="shared" si="291"/>
        <v>167</v>
      </c>
      <c r="AU597">
        <f t="shared" si="292"/>
        <v>135</v>
      </c>
      <c r="AV597">
        <f t="shared" si="293"/>
        <v>121</v>
      </c>
      <c r="AW597">
        <f t="shared" si="294"/>
        <v>108</v>
      </c>
      <c r="AX597">
        <f t="shared" si="295"/>
        <v>145</v>
      </c>
      <c r="AY597">
        <f t="shared" si="296"/>
        <v>132</v>
      </c>
      <c r="AZ597">
        <f t="shared" si="297"/>
        <v>100</v>
      </c>
      <c r="BA597">
        <f t="shared" si="298"/>
        <v>90</v>
      </c>
      <c r="BB597">
        <f t="shared" si="299"/>
        <v>76</v>
      </c>
    </row>
    <row r="598" spans="1:54" x14ac:dyDescent="0.15">
      <c r="A598">
        <v>394</v>
      </c>
      <c r="B598" t="s">
        <v>2152</v>
      </c>
      <c r="C598">
        <v>476</v>
      </c>
      <c r="D598">
        <v>0</v>
      </c>
      <c r="E598" t="s">
        <v>2153</v>
      </c>
      <c r="G598" t="s">
        <v>2153</v>
      </c>
      <c r="H598" t="s">
        <v>2154</v>
      </c>
      <c r="J598" t="s">
        <v>1431</v>
      </c>
      <c r="K598">
        <v>340</v>
      </c>
      <c r="L598">
        <v>1.4</v>
      </c>
      <c r="M598" t="s">
        <v>371</v>
      </c>
      <c r="N598" t="s">
        <v>203</v>
      </c>
      <c r="O598" t="s">
        <v>435</v>
      </c>
      <c r="P598" t="s">
        <v>439</v>
      </c>
      <c r="Q598" t="s">
        <v>306</v>
      </c>
      <c r="R598">
        <v>9</v>
      </c>
      <c r="S598">
        <v>60</v>
      </c>
      <c r="T598">
        <v>55</v>
      </c>
      <c r="U598">
        <v>145</v>
      </c>
      <c r="V598">
        <v>75</v>
      </c>
      <c r="W598">
        <v>150</v>
      </c>
      <c r="X598">
        <v>40</v>
      </c>
      <c r="Y598">
        <f t="shared" si="270"/>
        <v>167</v>
      </c>
      <c r="Z598">
        <f t="shared" si="271"/>
        <v>167</v>
      </c>
      <c r="AA598">
        <f t="shared" si="272"/>
        <v>135</v>
      </c>
      <c r="AB598">
        <f t="shared" si="273"/>
        <v>135</v>
      </c>
      <c r="AC598">
        <f t="shared" si="274"/>
        <v>120</v>
      </c>
      <c r="AD598">
        <f t="shared" si="275"/>
        <v>117</v>
      </c>
      <c r="AE598">
        <f t="shared" si="276"/>
        <v>107</v>
      </c>
      <c r="AF598">
        <f t="shared" si="277"/>
        <v>75</v>
      </c>
      <c r="AG598">
        <f t="shared" si="278"/>
        <v>67</v>
      </c>
      <c r="AH598">
        <f t="shared" si="279"/>
        <v>54</v>
      </c>
      <c r="AI598">
        <f t="shared" si="280"/>
        <v>216</v>
      </c>
      <c r="AJ598">
        <f t="shared" si="281"/>
        <v>197</v>
      </c>
      <c r="AK598">
        <f t="shared" si="282"/>
        <v>165</v>
      </c>
      <c r="AL598">
        <f t="shared" si="283"/>
        <v>148</v>
      </c>
      <c r="AM598">
        <f t="shared" si="284"/>
        <v>135</v>
      </c>
      <c r="AN598">
        <f t="shared" si="285"/>
        <v>139</v>
      </c>
      <c r="AO598">
        <f t="shared" si="286"/>
        <v>127</v>
      </c>
      <c r="AP598">
        <f t="shared" si="287"/>
        <v>95</v>
      </c>
      <c r="AQ598">
        <f t="shared" si="288"/>
        <v>85</v>
      </c>
      <c r="AR598">
        <f t="shared" si="289"/>
        <v>72</v>
      </c>
      <c r="AS598">
        <f t="shared" si="290"/>
        <v>222</v>
      </c>
      <c r="AT598">
        <f t="shared" si="291"/>
        <v>202</v>
      </c>
      <c r="AU598">
        <f t="shared" si="292"/>
        <v>170</v>
      </c>
      <c r="AV598">
        <f t="shared" si="293"/>
        <v>153</v>
      </c>
      <c r="AW598">
        <f t="shared" si="294"/>
        <v>139</v>
      </c>
      <c r="AX598">
        <f t="shared" si="295"/>
        <v>101</v>
      </c>
      <c r="AY598">
        <f t="shared" si="296"/>
        <v>92</v>
      </c>
      <c r="AZ598">
        <f t="shared" si="297"/>
        <v>60</v>
      </c>
      <c r="BA598">
        <f t="shared" si="298"/>
        <v>54</v>
      </c>
      <c r="BB598">
        <f t="shared" si="299"/>
        <v>40</v>
      </c>
    </row>
    <row r="599" spans="1:54" x14ac:dyDescent="0.15">
      <c r="A599">
        <v>395</v>
      </c>
      <c r="B599" t="s">
        <v>2155</v>
      </c>
      <c r="C599">
        <v>477</v>
      </c>
      <c r="D599">
        <v>0</v>
      </c>
      <c r="E599" t="s">
        <v>2156</v>
      </c>
      <c r="G599" t="s">
        <v>2156</v>
      </c>
      <c r="H599" t="s">
        <v>2157</v>
      </c>
      <c r="J599" t="s">
        <v>2158</v>
      </c>
      <c r="K599">
        <v>106.6</v>
      </c>
      <c r="L599">
        <v>2.2000000000000002</v>
      </c>
      <c r="M599" t="s">
        <v>546</v>
      </c>
      <c r="O599" t="s">
        <v>792</v>
      </c>
      <c r="P599" t="s">
        <v>264</v>
      </c>
      <c r="R599">
        <v>9</v>
      </c>
      <c r="S599">
        <v>45</v>
      </c>
      <c r="T599">
        <v>100</v>
      </c>
      <c r="U599">
        <v>135</v>
      </c>
      <c r="V599">
        <v>65</v>
      </c>
      <c r="W599">
        <v>135</v>
      </c>
      <c r="X599">
        <v>45</v>
      </c>
      <c r="Y599">
        <f t="shared" si="270"/>
        <v>152</v>
      </c>
      <c r="Z599">
        <f t="shared" si="271"/>
        <v>152</v>
      </c>
      <c r="AA599">
        <f t="shared" si="272"/>
        <v>120</v>
      </c>
      <c r="AB599">
        <f t="shared" si="273"/>
        <v>120</v>
      </c>
      <c r="AC599">
        <f t="shared" si="274"/>
        <v>105</v>
      </c>
      <c r="AD599">
        <f t="shared" si="275"/>
        <v>167</v>
      </c>
      <c r="AE599">
        <f t="shared" si="276"/>
        <v>152</v>
      </c>
      <c r="AF599">
        <f t="shared" si="277"/>
        <v>120</v>
      </c>
      <c r="AG599">
        <f t="shared" si="278"/>
        <v>108</v>
      </c>
      <c r="AH599">
        <f t="shared" si="279"/>
        <v>94</v>
      </c>
      <c r="AI599">
        <f t="shared" si="280"/>
        <v>205</v>
      </c>
      <c r="AJ599">
        <f t="shared" si="281"/>
        <v>187</v>
      </c>
      <c r="AK599">
        <f t="shared" si="282"/>
        <v>155</v>
      </c>
      <c r="AL599">
        <f t="shared" si="283"/>
        <v>139</v>
      </c>
      <c r="AM599">
        <f t="shared" si="284"/>
        <v>126</v>
      </c>
      <c r="AN599">
        <f t="shared" si="285"/>
        <v>128</v>
      </c>
      <c r="AO599">
        <f t="shared" si="286"/>
        <v>117</v>
      </c>
      <c r="AP599">
        <f t="shared" si="287"/>
        <v>85</v>
      </c>
      <c r="AQ599">
        <f t="shared" si="288"/>
        <v>76</v>
      </c>
      <c r="AR599">
        <f t="shared" si="289"/>
        <v>63</v>
      </c>
      <c r="AS599">
        <f t="shared" si="290"/>
        <v>205</v>
      </c>
      <c r="AT599">
        <f t="shared" si="291"/>
        <v>187</v>
      </c>
      <c r="AU599">
        <f t="shared" si="292"/>
        <v>155</v>
      </c>
      <c r="AV599">
        <f t="shared" si="293"/>
        <v>139</v>
      </c>
      <c r="AW599">
        <f t="shared" si="294"/>
        <v>126</v>
      </c>
      <c r="AX599">
        <f t="shared" si="295"/>
        <v>106</v>
      </c>
      <c r="AY599">
        <f t="shared" si="296"/>
        <v>97</v>
      </c>
      <c r="AZ599">
        <f t="shared" si="297"/>
        <v>65</v>
      </c>
      <c r="BA599">
        <f t="shared" si="298"/>
        <v>58</v>
      </c>
      <c r="BB599">
        <f t="shared" si="299"/>
        <v>45</v>
      </c>
    </row>
    <row r="600" spans="1:54" x14ac:dyDescent="0.15">
      <c r="A600">
        <v>396</v>
      </c>
      <c r="B600" t="s">
        <v>2159</v>
      </c>
      <c r="C600">
        <v>478</v>
      </c>
      <c r="D600">
        <v>0</v>
      </c>
      <c r="E600" t="s">
        <v>2160</v>
      </c>
      <c r="G600" t="s">
        <v>2160</v>
      </c>
      <c r="H600" t="s">
        <v>2161</v>
      </c>
      <c r="J600" t="s">
        <v>2162</v>
      </c>
      <c r="K600">
        <v>26.6</v>
      </c>
      <c r="L600">
        <v>1.3</v>
      </c>
      <c r="M600" t="s">
        <v>202</v>
      </c>
      <c r="N600" t="s">
        <v>546</v>
      </c>
      <c r="O600" t="s">
        <v>204</v>
      </c>
      <c r="P600" t="s">
        <v>554</v>
      </c>
      <c r="R600">
        <v>9</v>
      </c>
      <c r="S600">
        <v>70</v>
      </c>
      <c r="T600">
        <v>80</v>
      </c>
      <c r="U600">
        <v>70</v>
      </c>
      <c r="V600">
        <v>80</v>
      </c>
      <c r="W600">
        <v>70</v>
      </c>
      <c r="X600">
        <v>110</v>
      </c>
      <c r="Y600">
        <f t="shared" si="270"/>
        <v>177</v>
      </c>
      <c r="Z600">
        <f t="shared" si="271"/>
        <v>177</v>
      </c>
      <c r="AA600">
        <f t="shared" si="272"/>
        <v>145</v>
      </c>
      <c r="AB600">
        <f t="shared" si="273"/>
        <v>145</v>
      </c>
      <c r="AC600">
        <f t="shared" si="274"/>
        <v>130</v>
      </c>
      <c r="AD600">
        <f t="shared" si="275"/>
        <v>145</v>
      </c>
      <c r="AE600">
        <f t="shared" si="276"/>
        <v>132</v>
      </c>
      <c r="AF600">
        <f t="shared" si="277"/>
        <v>100</v>
      </c>
      <c r="AG600">
        <f t="shared" si="278"/>
        <v>90</v>
      </c>
      <c r="AH600">
        <f t="shared" si="279"/>
        <v>76</v>
      </c>
      <c r="AI600">
        <f t="shared" si="280"/>
        <v>134</v>
      </c>
      <c r="AJ600">
        <f t="shared" si="281"/>
        <v>122</v>
      </c>
      <c r="AK600">
        <f t="shared" si="282"/>
        <v>90</v>
      </c>
      <c r="AL600">
        <f t="shared" si="283"/>
        <v>81</v>
      </c>
      <c r="AM600">
        <f t="shared" si="284"/>
        <v>67</v>
      </c>
      <c r="AN600">
        <f t="shared" si="285"/>
        <v>145</v>
      </c>
      <c r="AO600">
        <f t="shared" si="286"/>
        <v>132</v>
      </c>
      <c r="AP600">
        <f t="shared" si="287"/>
        <v>100</v>
      </c>
      <c r="AQ600">
        <f t="shared" si="288"/>
        <v>90</v>
      </c>
      <c r="AR600">
        <f t="shared" si="289"/>
        <v>76</v>
      </c>
      <c r="AS600">
        <f t="shared" si="290"/>
        <v>134</v>
      </c>
      <c r="AT600">
        <f t="shared" si="291"/>
        <v>122</v>
      </c>
      <c r="AU600">
        <f t="shared" si="292"/>
        <v>90</v>
      </c>
      <c r="AV600">
        <f t="shared" si="293"/>
        <v>81</v>
      </c>
      <c r="AW600">
        <f t="shared" si="294"/>
        <v>67</v>
      </c>
      <c r="AX600">
        <f t="shared" si="295"/>
        <v>178</v>
      </c>
      <c r="AY600">
        <f t="shared" si="296"/>
        <v>162</v>
      </c>
      <c r="AZ600">
        <f t="shared" si="297"/>
        <v>130</v>
      </c>
      <c r="BA600">
        <f t="shared" si="298"/>
        <v>117</v>
      </c>
      <c r="BB600">
        <f t="shared" si="299"/>
        <v>103</v>
      </c>
    </row>
    <row r="601" spans="1:54" x14ac:dyDescent="0.15">
      <c r="A601">
        <v>397</v>
      </c>
      <c r="B601" t="s">
        <v>2163</v>
      </c>
      <c r="C601">
        <v>479</v>
      </c>
      <c r="D601">
        <v>0</v>
      </c>
      <c r="E601" t="s">
        <v>2164</v>
      </c>
      <c r="F601" t="s">
        <v>2165</v>
      </c>
      <c r="G601" t="s">
        <v>2164</v>
      </c>
      <c r="H601" t="s">
        <v>2166</v>
      </c>
      <c r="J601" t="s">
        <v>2167</v>
      </c>
      <c r="K601">
        <v>0.3</v>
      </c>
      <c r="L601">
        <v>0.3</v>
      </c>
      <c r="M601" t="s">
        <v>164</v>
      </c>
      <c r="N601" t="s">
        <v>546</v>
      </c>
      <c r="O601" t="s">
        <v>547</v>
      </c>
      <c r="R601">
        <v>9</v>
      </c>
      <c r="S601">
        <v>50</v>
      </c>
      <c r="T601">
        <v>50</v>
      </c>
      <c r="U601">
        <v>77</v>
      </c>
      <c r="V601">
        <v>95</v>
      </c>
      <c r="W601">
        <v>77</v>
      </c>
      <c r="X601">
        <v>91</v>
      </c>
      <c r="Y601">
        <f t="shared" si="270"/>
        <v>157</v>
      </c>
      <c r="Z601">
        <f t="shared" si="271"/>
        <v>157</v>
      </c>
      <c r="AA601">
        <f t="shared" si="272"/>
        <v>125</v>
      </c>
      <c r="AB601">
        <f t="shared" si="273"/>
        <v>125</v>
      </c>
      <c r="AC601">
        <f t="shared" si="274"/>
        <v>110</v>
      </c>
      <c r="AD601">
        <f t="shared" si="275"/>
        <v>112</v>
      </c>
      <c r="AE601">
        <f t="shared" si="276"/>
        <v>102</v>
      </c>
      <c r="AF601">
        <f t="shared" si="277"/>
        <v>70</v>
      </c>
      <c r="AG601">
        <f t="shared" si="278"/>
        <v>63</v>
      </c>
      <c r="AH601">
        <f t="shared" si="279"/>
        <v>49</v>
      </c>
      <c r="AI601">
        <f t="shared" si="280"/>
        <v>141</v>
      </c>
      <c r="AJ601">
        <f t="shared" si="281"/>
        <v>129</v>
      </c>
      <c r="AK601">
        <f t="shared" si="282"/>
        <v>97</v>
      </c>
      <c r="AL601">
        <f t="shared" si="283"/>
        <v>87</v>
      </c>
      <c r="AM601">
        <f t="shared" si="284"/>
        <v>73</v>
      </c>
      <c r="AN601">
        <f t="shared" si="285"/>
        <v>161</v>
      </c>
      <c r="AO601">
        <f t="shared" si="286"/>
        <v>147</v>
      </c>
      <c r="AP601">
        <f t="shared" si="287"/>
        <v>115</v>
      </c>
      <c r="AQ601">
        <f t="shared" si="288"/>
        <v>103</v>
      </c>
      <c r="AR601">
        <f t="shared" si="289"/>
        <v>90</v>
      </c>
      <c r="AS601">
        <f t="shared" si="290"/>
        <v>141</v>
      </c>
      <c r="AT601">
        <f t="shared" si="291"/>
        <v>129</v>
      </c>
      <c r="AU601">
        <f t="shared" si="292"/>
        <v>97</v>
      </c>
      <c r="AV601">
        <f t="shared" si="293"/>
        <v>87</v>
      </c>
      <c r="AW601">
        <f t="shared" si="294"/>
        <v>73</v>
      </c>
      <c r="AX601">
        <f t="shared" si="295"/>
        <v>157</v>
      </c>
      <c r="AY601">
        <f t="shared" si="296"/>
        <v>143</v>
      </c>
      <c r="AZ601">
        <f t="shared" si="297"/>
        <v>111</v>
      </c>
      <c r="BA601">
        <f t="shared" si="298"/>
        <v>99</v>
      </c>
      <c r="BB601">
        <f t="shared" si="299"/>
        <v>86</v>
      </c>
    </row>
    <row r="602" spans="1:54" x14ac:dyDescent="0.15">
      <c r="A602">
        <v>398</v>
      </c>
      <c r="B602" t="s">
        <v>2168</v>
      </c>
      <c r="C602">
        <v>479</v>
      </c>
      <c r="D602">
        <v>1</v>
      </c>
      <c r="E602" t="s">
        <v>2164</v>
      </c>
      <c r="F602" t="s">
        <v>2169</v>
      </c>
      <c r="G602" t="s">
        <v>2169</v>
      </c>
      <c r="H602" t="s">
        <v>2170</v>
      </c>
      <c r="J602" t="s">
        <v>2167</v>
      </c>
      <c r="K602">
        <v>0.3</v>
      </c>
      <c r="L602">
        <v>0.3</v>
      </c>
      <c r="M602" t="s">
        <v>164</v>
      </c>
      <c r="N602" t="s">
        <v>47</v>
      </c>
      <c r="O602" t="s">
        <v>547</v>
      </c>
      <c r="R602">
        <v>9</v>
      </c>
      <c r="S602">
        <v>50</v>
      </c>
      <c r="T602">
        <v>65</v>
      </c>
      <c r="U602">
        <v>107</v>
      </c>
      <c r="V602">
        <v>105</v>
      </c>
      <c r="W602">
        <v>107</v>
      </c>
      <c r="X602">
        <v>86</v>
      </c>
      <c r="Y602">
        <f t="shared" si="270"/>
        <v>157</v>
      </c>
      <c r="Z602">
        <f t="shared" si="271"/>
        <v>157</v>
      </c>
      <c r="AA602">
        <f t="shared" si="272"/>
        <v>125</v>
      </c>
      <c r="AB602">
        <f t="shared" si="273"/>
        <v>125</v>
      </c>
      <c r="AC602">
        <f t="shared" si="274"/>
        <v>110</v>
      </c>
      <c r="AD602">
        <f t="shared" si="275"/>
        <v>128</v>
      </c>
      <c r="AE602">
        <f t="shared" si="276"/>
        <v>117</v>
      </c>
      <c r="AF602">
        <f t="shared" si="277"/>
        <v>85</v>
      </c>
      <c r="AG602">
        <f t="shared" si="278"/>
        <v>76</v>
      </c>
      <c r="AH602">
        <f t="shared" si="279"/>
        <v>63</v>
      </c>
      <c r="AI602">
        <f t="shared" si="280"/>
        <v>174</v>
      </c>
      <c r="AJ602">
        <f t="shared" si="281"/>
        <v>159</v>
      </c>
      <c r="AK602">
        <f t="shared" si="282"/>
        <v>127</v>
      </c>
      <c r="AL602">
        <f t="shared" si="283"/>
        <v>114</v>
      </c>
      <c r="AM602">
        <f t="shared" si="284"/>
        <v>100</v>
      </c>
      <c r="AN602">
        <f t="shared" si="285"/>
        <v>172</v>
      </c>
      <c r="AO602">
        <f t="shared" si="286"/>
        <v>157</v>
      </c>
      <c r="AP602">
        <f t="shared" si="287"/>
        <v>125</v>
      </c>
      <c r="AQ602">
        <f t="shared" si="288"/>
        <v>112</v>
      </c>
      <c r="AR602">
        <f t="shared" si="289"/>
        <v>99</v>
      </c>
      <c r="AS602">
        <f t="shared" si="290"/>
        <v>174</v>
      </c>
      <c r="AT602">
        <f t="shared" si="291"/>
        <v>159</v>
      </c>
      <c r="AU602">
        <f t="shared" si="292"/>
        <v>127</v>
      </c>
      <c r="AV602">
        <f t="shared" si="293"/>
        <v>114</v>
      </c>
      <c r="AW602">
        <f t="shared" si="294"/>
        <v>100</v>
      </c>
      <c r="AX602">
        <f t="shared" si="295"/>
        <v>151</v>
      </c>
      <c r="AY602">
        <f t="shared" si="296"/>
        <v>138</v>
      </c>
      <c r="AZ602">
        <f t="shared" si="297"/>
        <v>106</v>
      </c>
      <c r="BA602">
        <f t="shared" si="298"/>
        <v>95</v>
      </c>
      <c r="BB602">
        <f t="shared" si="299"/>
        <v>81</v>
      </c>
    </row>
    <row r="603" spans="1:54" x14ac:dyDescent="0.15">
      <c r="A603">
        <v>399</v>
      </c>
      <c r="B603" t="s">
        <v>2171</v>
      </c>
      <c r="C603">
        <v>479</v>
      </c>
      <c r="D603">
        <v>2</v>
      </c>
      <c r="E603" t="s">
        <v>2164</v>
      </c>
      <c r="F603" t="s">
        <v>2172</v>
      </c>
      <c r="G603" t="s">
        <v>2172</v>
      </c>
      <c r="H603" t="s">
        <v>2173</v>
      </c>
      <c r="J603" t="s">
        <v>2167</v>
      </c>
      <c r="K603">
        <v>0.3</v>
      </c>
      <c r="L603">
        <v>0.3</v>
      </c>
      <c r="M603" t="s">
        <v>164</v>
      </c>
      <c r="N603" t="s">
        <v>71</v>
      </c>
      <c r="O603" t="s">
        <v>547</v>
      </c>
      <c r="R603">
        <v>9</v>
      </c>
      <c r="S603">
        <v>50</v>
      </c>
      <c r="T603">
        <v>65</v>
      </c>
      <c r="U603">
        <v>107</v>
      </c>
      <c r="V603">
        <v>105</v>
      </c>
      <c r="W603">
        <v>107</v>
      </c>
      <c r="X603">
        <v>86</v>
      </c>
      <c r="Y603">
        <f t="shared" si="270"/>
        <v>157</v>
      </c>
      <c r="Z603">
        <f t="shared" si="271"/>
        <v>157</v>
      </c>
      <c r="AA603">
        <f t="shared" si="272"/>
        <v>125</v>
      </c>
      <c r="AB603">
        <f t="shared" si="273"/>
        <v>125</v>
      </c>
      <c r="AC603">
        <f t="shared" si="274"/>
        <v>110</v>
      </c>
      <c r="AD603">
        <f t="shared" si="275"/>
        <v>128</v>
      </c>
      <c r="AE603">
        <f t="shared" si="276"/>
        <v>117</v>
      </c>
      <c r="AF603">
        <f t="shared" si="277"/>
        <v>85</v>
      </c>
      <c r="AG603">
        <f t="shared" si="278"/>
        <v>76</v>
      </c>
      <c r="AH603">
        <f t="shared" si="279"/>
        <v>63</v>
      </c>
      <c r="AI603">
        <f t="shared" si="280"/>
        <v>174</v>
      </c>
      <c r="AJ603">
        <f t="shared" si="281"/>
        <v>159</v>
      </c>
      <c r="AK603">
        <f t="shared" si="282"/>
        <v>127</v>
      </c>
      <c r="AL603">
        <f t="shared" si="283"/>
        <v>114</v>
      </c>
      <c r="AM603">
        <f t="shared" si="284"/>
        <v>100</v>
      </c>
      <c r="AN603">
        <f t="shared" si="285"/>
        <v>172</v>
      </c>
      <c r="AO603">
        <f t="shared" si="286"/>
        <v>157</v>
      </c>
      <c r="AP603">
        <f t="shared" si="287"/>
        <v>125</v>
      </c>
      <c r="AQ603">
        <f t="shared" si="288"/>
        <v>112</v>
      </c>
      <c r="AR603">
        <f t="shared" si="289"/>
        <v>99</v>
      </c>
      <c r="AS603">
        <f t="shared" si="290"/>
        <v>174</v>
      </c>
      <c r="AT603">
        <f t="shared" si="291"/>
        <v>159</v>
      </c>
      <c r="AU603">
        <f t="shared" si="292"/>
        <v>127</v>
      </c>
      <c r="AV603">
        <f t="shared" si="293"/>
        <v>114</v>
      </c>
      <c r="AW603">
        <f t="shared" si="294"/>
        <v>100</v>
      </c>
      <c r="AX603">
        <f t="shared" si="295"/>
        <v>151</v>
      </c>
      <c r="AY603">
        <f t="shared" si="296"/>
        <v>138</v>
      </c>
      <c r="AZ603">
        <f t="shared" si="297"/>
        <v>106</v>
      </c>
      <c r="BA603">
        <f t="shared" si="298"/>
        <v>95</v>
      </c>
      <c r="BB603">
        <f t="shared" si="299"/>
        <v>81</v>
      </c>
    </row>
    <row r="604" spans="1:54" x14ac:dyDescent="0.15">
      <c r="A604">
        <v>400</v>
      </c>
      <c r="B604" t="s">
        <v>2174</v>
      </c>
      <c r="C604">
        <v>479</v>
      </c>
      <c r="D604">
        <v>3</v>
      </c>
      <c r="E604" t="s">
        <v>2164</v>
      </c>
      <c r="F604" t="s">
        <v>2175</v>
      </c>
      <c r="G604" t="s">
        <v>2175</v>
      </c>
      <c r="H604" t="s">
        <v>2176</v>
      </c>
      <c r="J604" t="s">
        <v>2167</v>
      </c>
      <c r="K604">
        <v>0.3</v>
      </c>
      <c r="L604">
        <v>0.3</v>
      </c>
      <c r="M604" t="s">
        <v>164</v>
      </c>
      <c r="N604" t="s">
        <v>202</v>
      </c>
      <c r="O604" t="s">
        <v>547</v>
      </c>
      <c r="R604">
        <v>9</v>
      </c>
      <c r="S604">
        <v>50</v>
      </c>
      <c r="T604">
        <v>65</v>
      </c>
      <c r="U604">
        <v>107</v>
      </c>
      <c r="V604">
        <v>105</v>
      </c>
      <c r="W604">
        <v>107</v>
      </c>
      <c r="X604">
        <v>86</v>
      </c>
      <c r="Y604">
        <f t="shared" si="270"/>
        <v>157</v>
      </c>
      <c r="Z604">
        <f t="shared" si="271"/>
        <v>157</v>
      </c>
      <c r="AA604">
        <f t="shared" si="272"/>
        <v>125</v>
      </c>
      <c r="AB604">
        <f t="shared" si="273"/>
        <v>125</v>
      </c>
      <c r="AC604">
        <f t="shared" si="274"/>
        <v>110</v>
      </c>
      <c r="AD604">
        <f t="shared" si="275"/>
        <v>128</v>
      </c>
      <c r="AE604">
        <f t="shared" si="276"/>
        <v>117</v>
      </c>
      <c r="AF604">
        <f t="shared" si="277"/>
        <v>85</v>
      </c>
      <c r="AG604">
        <f t="shared" si="278"/>
        <v>76</v>
      </c>
      <c r="AH604">
        <f t="shared" si="279"/>
        <v>63</v>
      </c>
      <c r="AI604">
        <f t="shared" si="280"/>
        <v>174</v>
      </c>
      <c r="AJ604">
        <f t="shared" si="281"/>
        <v>159</v>
      </c>
      <c r="AK604">
        <f t="shared" si="282"/>
        <v>127</v>
      </c>
      <c r="AL604">
        <f t="shared" si="283"/>
        <v>114</v>
      </c>
      <c r="AM604">
        <f t="shared" si="284"/>
        <v>100</v>
      </c>
      <c r="AN604">
        <f t="shared" si="285"/>
        <v>172</v>
      </c>
      <c r="AO604">
        <f t="shared" si="286"/>
        <v>157</v>
      </c>
      <c r="AP604">
        <f t="shared" si="287"/>
        <v>125</v>
      </c>
      <c r="AQ604">
        <f t="shared" si="288"/>
        <v>112</v>
      </c>
      <c r="AR604">
        <f t="shared" si="289"/>
        <v>99</v>
      </c>
      <c r="AS604">
        <f t="shared" si="290"/>
        <v>174</v>
      </c>
      <c r="AT604">
        <f t="shared" si="291"/>
        <v>159</v>
      </c>
      <c r="AU604">
        <f t="shared" si="292"/>
        <v>127</v>
      </c>
      <c r="AV604">
        <f t="shared" si="293"/>
        <v>114</v>
      </c>
      <c r="AW604">
        <f t="shared" si="294"/>
        <v>100</v>
      </c>
      <c r="AX604">
        <f t="shared" si="295"/>
        <v>151</v>
      </c>
      <c r="AY604">
        <f t="shared" si="296"/>
        <v>138</v>
      </c>
      <c r="AZ604">
        <f t="shared" si="297"/>
        <v>106</v>
      </c>
      <c r="BA604">
        <f t="shared" si="298"/>
        <v>95</v>
      </c>
      <c r="BB604">
        <f t="shared" si="299"/>
        <v>81</v>
      </c>
    </row>
    <row r="605" spans="1:54" x14ac:dyDescent="0.15">
      <c r="A605">
        <v>401</v>
      </c>
      <c r="B605" t="s">
        <v>2177</v>
      </c>
      <c r="C605">
        <v>479</v>
      </c>
      <c r="D605">
        <v>4</v>
      </c>
      <c r="E605" t="s">
        <v>2164</v>
      </c>
      <c r="F605" t="s">
        <v>2178</v>
      </c>
      <c r="G605" t="s">
        <v>2178</v>
      </c>
      <c r="H605" t="s">
        <v>2179</v>
      </c>
      <c r="J605" t="s">
        <v>2167</v>
      </c>
      <c r="K605">
        <v>0.3</v>
      </c>
      <c r="L605">
        <v>0.3</v>
      </c>
      <c r="M605" t="s">
        <v>164</v>
      </c>
      <c r="N605" t="s">
        <v>57</v>
      </c>
      <c r="O605" t="s">
        <v>547</v>
      </c>
      <c r="R605">
        <v>9</v>
      </c>
      <c r="S605">
        <v>50</v>
      </c>
      <c r="T605">
        <v>65</v>
      </c>
      <c r="U605">
        <v>107</v>
      </c>
      <c r="V605">
        <v>105</v>
      </c>
      <c r="W605">
        <v>107</v>
      </c>
      <c r="X605">
        <v>86</v>
      </c>
      <c r="Y605">
        <f t="shared" si="270"/>
        <v>157</v>
      </c>
      <c r="Z605">
        <f t="shared" si="271"/>
        <v>157</v>
      </c>
      <c r="AA605">
        <f t="shared" si="272"/>
        <v>125</v>
      </c>
      <c r="AB605">
        <f t="shared" si="273"/>
        <v>125</v>
      </c>
      <c r="AC605">
        <f t="shared" si="274"/>
        <v>110</v>
      </c>
      <c r="AD605">
        <f t="shared" si="275"/>
        <v>128</v>
      </c>
      <c r="AE605">
        <f t="shared" si="276"/>
        <v>117</v>
      </c>
      <c r="AF605">
        <f t="shared" si="277"/>
        <v>85</v>
      </c>
      <c r="AG605">
        <f t="shared" si="278"/>
        <v>76</v>
      </c>
      <c r="AH605">
        <f t="shared" si="279"/>
        <v>63</v>
      </c>
      <c r="AI605">
        <f t="shared" si="280"/>
        <v>174</v>
      </c>
      <c r="AJ605">
        <f t="shared" si="281"/>
        <v>159</v>
      </c>
      <c r="AK605">
        <f t="shared" si="282"/>
        <v>127</v>
      </c>
      <c r="AL605">
        <f t="shared" si="283"/>
        <v>114</v>
      </c>
      <c r="AM605">
        <f t="shared" si="284"/>
        <v>100</v>
      </c>
      <c r="AN605">
        <f t="shared" si="285"/>
        <v>172</v>
      </c>
      <c r="AO605">
        <f t="shared" si="286"/>
        <v>157</v>
      </c>
      <c r="AP605">
        <f t="shared" si="287"/>
        <v>125</v>
      </c>
      <c r="AQ605">
        <f t="shared" si="288"/>
        <v>112</v>
      </c>
      <c r="AR605">
        <f t="shared" si="289"/>
        <v>99</v>
      </c>
      <c r="AS605">
        <f t="shared" si="290"/>
        <v>174</v>
      </c>
      <c r="AT605">
        <f t="shared" si="291"/>
        <v>159</v>
      </c>
      <c r="AU605">
        <f t="shared" si="292"/>
        <v>127</v>
      </c>
      <c r="AV605">
        <f t="shared" si="293"/>
        <v>114</v>
      </c>
      <c r="AW605">
        <f t="shared" si="294"/>
        <v>100</v>
      </c>
      <c r="AX605">
        <f t="shared" si="295"/>
        <v>151</v>
      </c>
      <c r="AY605">
        <f t="shared" si="296"/>
        <v>138</v>
      </c>
      <c r="AZ605">
        <f t="shared" si="297"/>
        <v>106</v>
      </c>
      <c r="BA605">
        <f t="shared" si="298"/>
        <v>95</v>
      </c>
      <c r="BB605">
        <f t="shared" si="299"/>
        <v>81</v>
      </c>
    </row>
    <row r="606" spans="1:54" x14ac:dyDescent="0.15">
      <c r="A606">
        <v>402</v>
      </c>
      <c r="B606" t="s">
        <v>2180</v>
      </c>
      <c r="C606">
        <v>479</v>
      </c>
      <c r="D606">
        <v>5</v>
      </c>
      <c r="E606" t="s">
        <v>2164</v>
      </c>
      <c r="F606" t="s">
        <v>2181</v>
      </c>
      <c r="G606" t="s">
        <v>2181</v>
      </c>
      <c r="H606" t="s">
        <v>2182</v>
      </c>
      <c r="J606" t="s">
        <v>2167</v>
      </c>
      <c r="K606">
        <v>0.3</v>
      </c>
      <c r="L606">
        <v>0.3</v>
      </c>
      <c r="M606" t="s">
        <v>164</v>
      </c>
      <c r="N606" t="s">
        <v>26</v>
      </c>
      <c r="O606" t="s">
        <v>547</v>
      </c>
      <c r="R606">
        <v>9</v>
      </c>
      <c r="S606">
        <v>50</v>
      </c>
      <c r="T606">
        <v>65</v>
      </c>
      <c r="U606">
        <v>107</v>
      </c>
      <c r="V606">
        <v>105</v>
      </c>
      <c r="W606">
        <v>107</v>
      </c>
      <c r="X606">
        <v>86</v>
      </c>
      <c r="Y606">
        <f t="shared" si="270"/>
        <v>157</v>
      </c>
      <c r="Z606">
        <f t="shared" si="271"/>
        <v>157</v>
      </c>
      <c r="AA606">
        <f t="shared" si="272"/>
        <v>125</v>
      </c>
      <c r="AB606">
        <f t="shared" si="273"/>
        <v>125</v>
      </c>
      <c r="AC606">
        <f t="shared" si="274"/>
        <v>110</v>
      </c>
      <c r="AD606">
        <f t="shared" si="275"/>
        <v>128</v>
      </c>
      <c r="AE606">
        <f t="shared" si="276"/>
        <v>117</v>
      </c>
      <c r="AF606">
        <f t="shared" si="277"/>
        <v>85</v>
      </c>
      <c r="AG606">
        <f t="shared" si="278"/>
        <v>76</v>
      </c>
      <c r="AH606">
        <f t="shared" si="279"/>
        <v>63</v>
      </c>
      <c r="AI606">
        <f t="shared" si="280"/>
        <v>174</v>
      </c>
      <c r="AJ606">
        <f t="shared" si="281"/>
        <v>159</v>
      </c>
      <c r="AK606">
        <f t="shared" si="282"/>
        <v>127</v>
      </c>
      <c r="AL606">
        <f t="shared" si="283"/>
        <v>114</v>
      </c>
      <c r="AM606">
        <f t="shared" si="284"/>
        <v>100</v>
      </c>
      <c r="AN606">
        <f t="shared" si="285"/>
        <v>172</v>
      </c>
      <c r="AO606">
        <f t="shared" si="286"/>
        <v>157</v>
      </c>
      <c r="AP606">
        <f t="shared" si="287"/>
        <v>125</v>
      </c>
      <c r="AQ606">
        <f t="shared" si="288"/>
        <v>112</v>
      </c>
      <c r="AR606">
        <f t="shared" si="289"/>
        <v>99</v>
      </c>
      <c r="AS606">
        <f t="shared" si="290"/>
        <v>174</v>
      </c>
      <c r="AT606">
        <f t="shared" si="291"/>
        <v>159</v>
      </c>
      <c r="AU606">
        <f t="shared" si="292"/>
        <v>127</v>
      </c>
      <c r="AV606">
        <f t="shared" si="293"/>
        <v>114</v>
      </c>
      <c r="AW606">
        <f t="shared" si="294"/>
        <v>100</v>
      </c>
      <c r="AX606">
        <f t="shared" si="295"/>
        <v>151</v>
      </c>
      <c r="AY606">
        <f t="shared" si="296"/>
        <v>138</v>
      </c>
      <c r="AZ606">
        <f t="shared" si="297"/>
        <v>106</v>
      </c>
      <c r="BA606">
        <f t="shared" si="298"/>
        <v>95</v>
      </c>
      <c r="BB606">
        <f t="shared" si="299"/>
        <v>81</v>
      </c>
    </row>
    <row r="607" spans="1:54" x14ac:dyDescent="0.15">
      <c r="A607">
        <v>403</v>
      </c>
      <c r="B607" t="s">
        <v>2183</v>
      </c>
      <c r="C607">
        <v>480</v>
      </c>
      <c r="D607">
        <v>0</v>
      </c>
      <c r="E607" t="s">
        <v>2184</v>
      </c>
      <c r="G607" t="s">
        <v>2184</v>
      </c>
      <c r="H607" t="s">
        <v>2185</v>
      </c>
      <c r="J607" t="s">
        <v>2186</v>
      </c>
      <c r="K607">
        <v>0.3</v>
      </c>
      <c r="L607">
        <v>0.3</v>
      </c>
      <c r="M607" t="s">
        <v>191</v>
      </c>
      <c r="O607" t="s">
        <v>547</v>
      </c>
      <c r="R607">
        <v>9</v>
      </c>
      <c r="S607">
        <v>75</v>
      </c>
      <c r="T607">
        <v>75</v>
      </c>
      <c r="U607">
        <v>130</v>
      </c>
      <c r="V607">
        <v>75</v>
      </c>
      <c r="W607">
        <v>130</v>
      </c>
      <c r="X607">
        <v>95</v>
      </c>
      <c r="Y607">
        <f t="shared" si="270"/>
        <v>182</v>
      </c>
      <c r="Z607">
        <f t="shared" si="271"/>
        <v>182</v>
      </c>
      <c r="AA607">
        <f t="shared" si="272"/>
        <v>150</v>
      </c>
      <c r="AB607">
        <f t="shared" si="273"/>
        <v>150</v>
      </c>
      <c r="AC607">
        <f t="shared" si="274"/>
        <v>135</v>
      </c>
      <c r="AD607">
        <f t="shared" si="275"/>
        <v>139</v>
      </c>
      <c r="AE607">
        <f t="shared" si="276"/>
        <v>127</v>
      </c>
      <c r="AF607">
        <f t="shared" si="277"/>
        <v>95</v>
      </c>
      <c r="AG607">
        <f t="shared" si="278"/>
        <v>85</v>
      </c>
      <c r="AH607">
        <f t="shared" si="279"/>
        <v>72</v>
      </c>
      <c r="AI607">
        <f t="shared" si="280"/>
        <v>200</v>
      </c>
      <c r="AJ607">
        <f t="shared" si="281"/>
        <v>182</v>
      </c>
      <c r="AK607">
        <f t="shared" si="282"/>
        <v>150</v>
      </c>
      <c r="AL607">
        <f t="shared" si="283"/>
        <v>135</v>
      </c>
      <c r="AM607">
        <f t="shared" si="284"/>
        <v>121</v>
      </c>
      <c r="AN607">
        <f t="shared" si="285"/>
        <v>139</v>
      </c>
      <c r="AO607">
        <f t="shared" si="286"/>
        <v>127</v>
      </c>
      <c r="AP607">
        <f t="shared" si="287"/>
        <v>95</v>
      </c>
      <c r="AQ607">
        <f t="shared" si="288"/>
        <v>85</v>
      </c>
      <c r="AR607">
        <f t="shared" si="289"/>
        <v>72</v>
      </c>
      <c r="AS607">
        <f t="shared" si="290"/>
        <v>200</v>
      </c>
      <c r="AT607">
        <f t="shared" si="291"/>
        <v>182</v>
      </c>
      <c r="AU607">
        <f t="shared" si="292"/>
        <v>150</v>
      </c>
      <c r="AV607">
        <f t="shared" si="293"/>
        <v>135</v>
      </c>
      <c r="AW607">
        <f t="shared" si="294"/>
        <v>121</v>
      </c>
      <c r="AX607">
        <f t="shared" si="295"/>
        <v>161</v>
      </c>
      <c r="AY607">
        <f t="shared" si="296"/>
        <v>147</v>
      </c>
      <c r="AZ607">
        <f t="shared" si="297"/>
        <v>115</v>
      </c>
      <c r="BA607">
        <f t="shared" si="298"/>
        <v>103</v>
      </c>
      <c r="BB607">
        <f t="shared" si="299"/>
        <v>90</v>
      </c>
    </row>
    <row r="608" spans="1:54" x14ac:dyDescent="0.15">
      <c r="A608">
        <v>404</v>
      </c>
      <c r="B608" t="s">
        <v>2187</v>
      </c>
      <c r="C608">
        <v>481</v>
      </c>
      <c r="D608">
        <v>0</v>
      </c>
      <c r="E608" t="s">
        <v>2188</v>
      </c>
      <c r="G608" t="s">
        <v>2188</v>
      </c>
      <c r="H608" t="s">
        <v>2189</v>
      </c>
      <c r="J608" t="s">
        <v>1361</v>
      </c>
      <c r="K608">
        <v>0.3</v>
      </c>
      <c r="L608">
        <v>0.3</v>
      </c>
      <c r="M608" t="s">
        <v>191</v>
      </c>
      <c r="O608" t="s">
        <v>547</v>
      </c>
      <c r="R608">
        <v>9</v>
      </c>
      <c r="S608">
        <v>80</v>
      </c>
      <c r="T608">
        <v>105</v>
      </c>
      <c r="U608">
        <v>105</v>
      </c>
      <c r="V608">
        <v>105</v>
      </c>
      <c r="W608">
        <v>105</v>
      </c>
      <c r="X608">
        <v>80</v>
      </c>
      <c r="Y608">
        <f t="shared" si="270"/>
        <v>187</v>
      </c>
      <c r="Z608">
        <f t="shared" si="271"/>
        <v>187</v>
      </c>
      <c r="AA608">
        <f t="shared" si="272"/>
        <v>155</v>
      </c>
      <c r="AB608">
        <f t="shared" si="273"/>
        <v>155</v>
      </c>
      <c r="AC608">
        <f t="shared" si="274"/>
        <v>140</v>
      </c>
      <c r="AD608">
        <f t="shared" si="275"/>
        <v>172</v>
      </c>
      <c r="AE608">
        <f t="shared" si="276"/>
        <v>157</v>
      </c>
      <c r="AF608">
        <f t="shared" si="277"/>
        <v>125</v>
      </c>
      <c r="AG608">
        <f t="shared" si="278"/>
        <v>112</v>
      </c>
      <c r="AH608">
        <f t="shared" si="279"/>
        <v>99</v>
      </c>
      <c r="AI608">
        <f t="shared" si="280"/>
        <v>172</v>
      </c>
      <c r="AJ608">
        <f t="shared" si="281"/>
        <v>157</v>
      </c>
      <c r="AK608">
        <f t="shared" si="282"/>
        <v>125</v>
      </c>
      <c r="AL608">
        <f t="shared" si="283"/>
        <v>112</v>
      </c>
      <c r="AM608">
        <f t="shared" si="284"/>
        <v>99</v>
      </c>
      <c r="AN608">
        <f t="shared" si="285"/>
        <v>172</v>
      </c>
      <c r="AO608">
        <f t="shared" si="286"/>
        <v>157</v>
      </c>
      <c r="AP608">
        <f t="shared" si="287"/>
        <v>125</v>
      </c>
      <c r="AQ608">
        <f t="shared" si="288"/>
        <v>112</v>
      </c>
      <c r="AR608">
        <f t="shared" si="289"/>
        <v>99</v>
      </c>
      <c r="AS608">
        <f t="shared" si="290"/>
        <v>172</v>
      </c>
      <c r="AT608">
        <f t="shared" si="291"/>
        <v>157</v>
      </c>
      <c r="AU608">
        <f t="shared" si="292"/>
        <v>125</v>
      </c>
      <c r="AV608">
        <f t="shared" si="293"/>
        <v>112</v>
      </c>
      <c r="AW608">
        <f t="shared" si="294"/>
        <v>99</v>
      </c>
      <c r="AX608">
        <f t="shared" si="295"/>
        <v>145</v>
      </c>
      <c r="AY608">
        <f t="shared" si="296"/>
        <v>132</v>
      </c>
      <c r="AZ608">
        <f t="shared" si="297"/>
        <v>100</v>
      </c>
      <c r="BA608">
        <f t="shared" si="298"/>
        <v>90</v>
      </c>
      <c r="BB608">
        <f t="shared" si="299"/>
        <v>76</v>
      </c>
    </row>
    <row r="609" spans="1:54" x14ac:dyDescent="0.15">
      <c r="A609">
        <v>405</v>
      </c>
      <c r="B609" t="s">
        <v>2190</v>
      </c>
      <c r="C609">
        <v>482</v>
      </c>
      <c r="D609">
        <v>0</v>
      </c>
      <c r="E609" t="s">
        <v>2191</v>
      </c>
      <c r="G609" t="s">
        <v>2191</v>
      </c>
      <c r="H609" t="s">
        <v>2192</v>
      </c>
      <c r="J609" t="s">
        <v>2193</v>
      </c>
      <c r="K609">
        <v>0.3</v>
      </c>
      <c r="L609">
        <v>0.3</v>
      </c>
      <c r="M609" t="s">
        <v>191</v>
      </c>
      <c r="O609" t="s">
        <v>547</v>
      </c>
      <c r="R609">
        <v>9</v>
      </c>
      <c r="S609">
        <v>75</v>
      </c>
      <c r="T609">
        <v>125</v>
      </c>
      <c r="U609">
        <v>70</v>
      </c>
      <c r="V609">
        <v>125</v>
      </c>
      <c r="W609">
        <v>70</v>
      </c>
      <c r="X609">
        <v>115</v>
      </c>
      <c r="Y609">
        <f t="shared" si="270"/>
        <v>182</v>
      </c>
      <c r="Z609">
        <f t="shared" si="271"/>
        <v>182</v>
      </c>
      <c r="AA609">
        <f t="shared" si="272"/>
        <v>150</v>
      </c>
      <c r="AB609">
        <f t="shared" si="273"/>
        <v>150</v>
      </c>
      <c r="AC609">
        <f t="shared" si="274"/>
        <v>135</v>
      </c>
      <c r="AD609">
        <f t="shared" si="275"/>
        <v>194</v>
      </c>
      <c r="AE609">
        <f t="shared" si="276"/>
        <v>177</v>
      </c>
      <c r="AF609">
        <f t="shared" si="277"/>
        <v>145</v>
      </c>
      <c r="AG609">
        <f t="shared" si="278"/>
        <v>130</v>
      </c>
      <c r="AH609">
        <f t="shared" si="279"/>
        <v>117</v>
      </c>
      <c r="AI609">
        <f t="shared" si="280"/>
        <v>134</v>
      </c>
      <c r="AJ609">
        <f t="shared" si="281"/>
        <v>122</v>
      </c>
      <c r="AK609">
        <f t="shared" si="282"/>
        <v>90</v>
      </c>
      <c r="AL609">
        <f t="shared" si="283"/>
        <v>81</v>
      </c>
      <c r="AM609">
        <f t="shared" si="284"/>
        <v>67</v>
      </c>
      <c r="AN609">
        <f t="shared" si="285"/>
        <v>194</v>
      </c>
      <c r="AO609">
        <f t="shared" si="286"/>
        <v>177</v>
      </c>
      <c r="AP609">
        <f t="shared" si="287"/>
        <v>145</v>
      </c>
      <c r="AQ609">
        <f t="shared" si="288"/>
        <v>130</v>
      </c>
      <c r="AR609">
        <f t="shared" si="289"/>
        <v>117</v>
      </c>
      <c r="AS609">
        <f t="shared" si="290"/>
        <v>134</v>
      </c>
      <c r="AT609">
        <f t="shared" si="291"/>
        <v>122</v>
      </c>
      <c r="AU609">
        <f t="shared" si="292"/>
        <v>90</v>
      </c>
      <c r="AV609">
        <f t="shared" si="293"/>
        <v>81</v>
      </c>
      <c r="AW609">
        <f t="shared" si="294"/>
        <v>67</v>
      </c>
      <c r="AX609">
        <f t="shared" si="295"/>
        <v>183</v>
      </c>
      <c r="AY609">
        <f t="shared" si="296"/>
        <v>167</v>
      </c>
      <c r="AZ609">
        <f t="shared" si="297"/>
        <v>135</v>
      </c>
      <c r="BA609">
        <f t="shared" si="298"/>
        <v>121</v>
      </c>
      <c r="BB609">
        <f t="shared" si="299"/>
        <v>108</v>
      </c>
    </row>
    <row r="610" spans="1:54" x14ac:dyDescent="0.15">
      <c r="A610">
        <v>406</v>
      </c>
      <c r="B610" t="s">
        <v>2194</v>
      </c>
      <c r="C610">
        <v>483</v>
      </c>
      <c r="D610">
        <v>0</v>
      </c>
      <c r="E610" t="s">
        <v>2195</v>
      </c>
      <c r="G610" t="s">
        <v>2195</v>
      </c>
      <c r="H610" t="s">
        <v>2196</v>
      </c>
      <c r="J610" t="s">
        <v>2197</v>
      </c>
      <c r="K610">
        <v>683</v>
      </c>
      <c r="L610">
        <v>5.4</v>
      </c>
      <c r="M610" t="s">
        <v>203</v>
      </c>
      <c r="N610" t="s">
        <v>60</v>
      </c>
      <c r="O610" t="s">
        <v>792</v>
      </c>
      <c r="P610" t="s">
        <v>1048</v>
      </c>
      <c r="R610">
        <v>9</v>
      </c>
      <c r="S610">
        <v>100</v>
      </c>
      <c r="T610">
        <v>120</v>
      </c>
      <c r="U610">
        <v>120</v>
      </c>
      <c r="V610">
        <v>150</v>
      </c>
      <c r="W610">
        <v>100</v>
      </c>
      <c r="X610">
        <v>90</v>
      </c>
      <c r="Y610">
        <f t="shared" si="270"/>
        <v>207</v>
      </c>
      <c r="Z610">
        <f t="shared" si="271"/>
        <v>207</v>
      </c>
      <c r="AA610">
        <f t="shared" si="272"/>
        <v>175</v>
      </c>
      <c r="AB610">
        <f t="shared" si="273"/>
        <v>175</v>
      </c>
      <c r="AC610">
        <f t="shared" si="274"/>
        <v>160</v>
      </c>
      <c r="AD610">
        <f t="shared" si="275"/>
        <v>189</v>
      </c>
      <c r="AE610">
        <f t="shared" si="276"/>
        <v>172</v>
      </c>
      <c r="AF610">
        <f t="shared" si="277"/>
        <v>140</v>
      </c>
      <c r="AG610">
        <f t="shared" si="278"/>
        <v>126</v>
      </c>
      <c r="AH610">
        <f t="shared" si="279"/>
        <v>112</v>
      </c>
      <c r="AI610">
        <f t="shared" si="280"/>
        <v>189</v>
      </c>
      <c r="AJ610">
        <f t="shared" si="281"/>
        <v>172</v>
      </c>
      <c r="AK610">
        <f t="shared" si="282"/>
        <v>140</v>
      </c>
      <c r="AL610">
        <f t="shared" si="283"/>
        <v>126</v>
      </c>
      <c r="AM610">
        <f t="shared" si="284"/>
        <v>112</v>
      </c>
      <c r="AN610">
        <f t="shared" si="285"/>
        <v>222</v>
      </c>
      <c r="AO610">
        <f t="shared" si="286"/>
        <v>202</v>
      </c>
      <c r="AP610">
        <f t="shared" si="287"/>
        <v>170</v>
      </c>
      <c r="AQ610">
        <f t="shared" si="288"/>
        <v>153</v>
      </c>
      <c r="AR610">
        <f t="shared" si="289"/>
        <v>139</v>
      </c>
      <c r="AS610">
        <f t="shared" si="290"/>
        <v>167</v>
      </c>
      <c r="AT610">
        <f t="shared" si="291"/>
        <v>152</v>
      </c>
      <c r="AU610">
        <f t="shared" si="292"/>
        <v>120</v>
      </c>
      <c r="AV610">
        <f t="shared" si="293"/>
        <v>108</v>
      </c>
      <c r="AW610">
        <f t="shared" si="294"/>
        <v>94</v>
      </c>
      <c r="AX610">
        <f t="shared" si="295"/>
        <v>156</v>
      </c>
      <c r="AY610">
        <f t="shared" si="296"/>
        <v>142</v>
      </c>
      <c r="AZ610">
        <f t="shared" si="297"/>
        <v>110</v>
      </c>
      <c r="BA610">
        <f t="shared" si="298"/>
        <v>99</v>
      </c>
      <c r="BB610">
        <f t="shared" si="299"/>
        <v>85</v>
      </c>
    </row>
    <row r="611" spans="1:54" x14ac:dyDescent="0.15">
      <c r="A611">
        <v>407</v>
      </c>
      <c r="B611" t="s">
        <v>2198</v>
      </c>
      <c r="C611">
        <v>483</v>
      </c>
      <c r="D611">
        <v>1</v>
      </c>
      <c r="E611" t="s">
        <v>2195</v>
      </c>
      <c r="F611" t="s">
        <v>2199</v>
      </c>
      <c r="G611" t="s">
        <v>2200</v>
      </c>
      <c r="H611" t="s">
        <v>2201</v>
      </c>
      <c r="J611" t="s">
        <v>2197</v>
      </c>
      <c r="K611">
        <v>850</v>
      </c>
      <c r="L611">
        <v>7</v>
      </c>
      <c r="M611" t="s">
        <v>203</v>
      </c>
      <c r="N611" t="s">
        <v>60</v>
      </c>
      <c r="O611" t="s">
        <v>792</v>
      </c>
      <c r="P611" t="s">
        <v>1048</v>
      </c>
      <c r="R611">
        <v>9</v>
      </c>
      <c r="S611">
        <v>100</v>
      </c>
      <c r="T611">
        <v>100</v>
      </c>
      <c r="U611">
        <v>120</v>
      </c>
      <c r="V611">
        <v>150</v>
      </c>
      <c r="W611">
        <v>120</v>
      </c>
      <c r="X611">
        <v>90</v>
      </c>
      <c r="Y611">
        <f t="shared" si="270"/>
        <v>207</v>
      </c>
      <c r="Z611">
        <f t="shared" si="271"/>
        <v>207</v>
      </c>
      <c r="AA611">
        <f t="shared" si="272"/>
        <v>175</v>
      </c>
      <c r="AB611">
        <f t="shared" si="273"/>
        <v>175</v>
      </c>
      <c r="AC611">
        <f t="shared" si="274"/>
        <v>160</v>
      </c>
      <c r="AD611">
        <f t="shared" si="275"/>
        <v>167</v>
      </c>
      <c r="AE611">
        <f t="shared" si="276"/>
        <v>152</v>
      </c>
      <c r="AF611">
        <f t="shared" si="277"/>
        <v>120</v>
      </c>
      <c r="AG611">
        <f t="shared" si="278"/>
        <v>108</v>
      </c>
      <c r="AH611">
        <f t="shared" si="279"/>
        <v>94</v>
      </c>
      <c r="AI611">
        <f t="shared" si="280"/>
        <v>189</v>
      </c>
      <c r="AJ611">
        <f t="shared" si="281"/>
        <v>172</v>
      </c>
      <c r="AK611">
        <f t="shared" si="282"/>
        <v>140</v>
      </c>
      <c r="AL611">
        <f t="shared" si="283"/>
        <v>126</v>
      </c>
      <c r="AM611">
        <f t="shared" si="284"/>
        <v>112</v>
      </c>
      <c r="AN611">
        <f t="shared" si="285"/>
        <v>222</v>
      </c>
      <c r="AO611">
        <f t="shared" si="286"/>
        <v>202</v>
      </c>
      <c r="AP611">
        <f t="shared" si="287"/>
        <v>170</v>
      </c>
      <c r="AQ611">
        <f t="shared" si="288"/>
        <v>153</v>
      </c>
      <c r="AR611">
        <f t="shared" si="289"/>
        <v>139</v>
      </c>
      <c r="AS611">
        <f t="shared" si="290"/>
        <v>189</v>
      </c>
      <c r="AT611">
        <f t="shared" si="291"/>
        <v>172</v>
      </c>
      <c r="AU611">
        <f t="shared" si="292"/>
        <v>140</v>
      </c>
      <c r="AV611">
        <f t="shared" si="293"/>
        <v>126</v>
      </c>
      <c r="AW611">
        <f t="shared" si="294"/>
        <v>112</v>
      </c>
      <c r="AX611">
        <f t="shared" si="295"/>
        <v>156</v>
      </c>
      <c r="AY611">
        <f t="shared" si="296"/>
        <v>142</v>
      </c>
      <c r="AZ611">
        <f t="shared" si="297"/>
        <v>110</v>
      </c>
      <c r="BA611">
        <f t="shared" si="298"/>
        <v>99</v>
      </c>
      <c r="BB611">
        <f t="shared" si="299"/>
        <v>85</v>
      </c>
    </row>
    <row r="612" spans="1:54" x14ac:dyDescent="0.15">
      <c r="A612">
        <v>408</v>
      </c>
      <c r="B612" t="s">
        <v>2202</v>
      </c>
      <c r="C612">
        <v>484</v>
      </c>
      <c r="D612">
        <v>0</v>
      </c>
      <c r="E612" t="s">
        <v>2203</v>
      </c>
      <c r="G612" t="s">
        <v>2203</v>
      </c>
      <c r="H612" t="s">
        <v>2204</v>
      </c>
      <c r="J612" t="s">
        <v>2205</v>
      </c>
      <c r="K612">
        <v>336</v>
      </c>
      <c r="L612">
        <v>4.2</v>
      </c>
      <c r="M612" t="s">
        <v>71</v>
      </c>
      <c r="N612" t="s">
        <v>60</v>
      </c>
      <c r="O612" t="s">
        <v>792</v>
      </c>
      <c r="P612" t="s">
        <v>1048</v>
      </c>
      <c r="R612">
        <v>9</v>
      </c>
      <c r="S612">
        <v>90</v>
      </c>
      <c r="T612">
        <v>120</v>
      </c>
      <c r="U612">
        <v>100</v>
      </c>
      <c r="V612">
        <v>150</v>
      </c>
      <c r="W612">
        <v>120</v>
      </c>
      <c r="X612">
        <v>100</v>
      </c>
      <c r="Y612">
        <f t="shared" si="270"/>
        <v>197</v>
      </c>
      <c r="Z612">
        <f t="shared" si="271"/>
        <v>197</v>
      </c>
      <c r="AA612">
        <f t="shared" si="272"/>
        <v>165</v>
      </c>
      <c r="AB612">
        <f t="shared" si="273"/>
        <v>165</v>
      </c>
      <c r="AC612">
        <f t="shared" si="274"/>
        <v>150</v>
      </c>
      <c r="AD612">
        <f t="shared" si="275"/>
        <v>189</v>
      </c>
      <c r="AE612">
        <f t="shared" si="276"/>
        <v>172</v>
      </c>
      <c r="AF612">
        <f t="shared" si="277"/>
        <v>140</v>
      </c>
      <c r="AG612">
        <f t="shared" si="278"/>
        <v>126</v>
      </c>
      <c r="AH612">
        <f t="shared" si="279"/>
        <v>112</v>
      </c>
      <c r="AI612">
        <f t="shared" si="280"/>
        <v>167</v>
      </c>
      <c r="AJ612">
        <f t="shared" si="281"/>
        <v>152</v>
      </c>
      <c r="AK612">
        <f t="shared" si="282"/>
        <v>120</v>
      </c>
      <c r="AL612">
        <f t="shared" si="283"/>
        <v>108</v>
      </c>
      <c r="AM612">
        <f t="shared" si="284"/>
        <v>94</v>
      </c>
      <c r="AN612">
        <f t="shared" si="285"/>
        <v>222</v>
      </c>
      <c r="AO612">
        <f t="shared" si="286"/>
        <v>202</v>
      </c>
      <c r="AP612">
        <f t="shared" si="287"/>
        <v>170</v>
      </c>
      <c r="AQ612">
        <f t="shared" si="288"/>
        <v>153</v>
      </c>
      <c r="AR612">
        <f t="shared" si="289"/>
        <v>139</v>
      </c>
      <c r="AS612">
        <f t="shared" si="290"/>
        <v>189</v>
      </c>
      <c r="AT612">
        <f t="shared" si="291"/>
        <v>172</v>
      </c>
      <c r="AU612">
        <f t="shared" si="292"/>
        <v>140</v>
      </c>
      <c r="AV612">
        <f t="shared" si="293"/>
        <v>126</v>
      </c>
      <c r="AW612">
        <f t="shared" si="294"/>
        <v>112</v>
      </c>
      <c r="AX612">
        <f t="shared" si="295"/>
        <v>167</v>
      </c>
      <c r="AY612">
        <f t="shared" si="296"/>
        <v>152</v>
      </c>
      <c r="AZ612">
        <f t="shared" si="297"/>
        <v>120</v>
      </c>
      <c r="BA612">
        <f t="shared" si="298"/>
        <v>108</v>
      </c>
      <c r="BB612">
        <f t="shared" si="299"/>
        <v>94</v>
      </c>
    </row>
    <row r="613" spans="1:54" x14ac:dyDescent="0.15">
      <c r="A613">
        <v>409</v>
      </c>
      <c r="B613" t="s">
        <v>2206</v>
      </c>
      <c r="C613">
        <v>484</v>
      </c>
      <c r="D613">
        <v>1</v>
      </c>
      <c r="E613" t="s">
        <v>2203</v>
      </c>
      <c r="F613" t="s">
        <v>2199</v>
      </c>
      <c r="G613" t="s">
        <v>2207</v>
      </c>
      <c r="H613" t="s">
        <v>2208</v>
      </c>
      <c r="J613" t="s">
        <v>2205</v>
      </c>
      <c r="K613">
        <v>660</v>
      </c>
      <c r="L613">
        <v>6.3</v>
      </c>
      <c r="M613" t="s">
        <v>71</v>
      </c>
      <c r="N613" t="s">
        <v>60</v>
      </c>
      <c r="O613" t="s">
        <v>792</v>
      </c>
      <c r="P613" t="s">
        <v>1048</v>
      </c>
      <c r="R613">
        <v>9</v>
      </c>
      <c r="S613">
        <v>90</v>
      </c>
      <c r="T613">
        <v>100</v>
      </c>
      <c r="U613">
        <v>100</v>
      </c>
      <c r="V613">
        <v>150</v>
      </c>
      <c r="W613">
        <v>120</v>
      </c>
      <c r="X613">
        <v>120</v>
      </c>
      <c r="Y613">
        <f t="shared" si="270"/>
        <v>197</v>
      </c>
      <c r="Z613">
        <f t="shared" si="271"/>
        <v>197</v>
      </c>
      <c r="AA613">
        <f t="shared" si="272"/>
        <v>165</v>
      </c>
      <c r="AB613">
        <f t="shared" si="273"/>
        <v>165</v>
      </c>
      <c r="AC613">
        <f t="shared" si="274"/>
        <v>150</v>
      </c>
      <c r="AD613">
        <f t="shared" si="275"/>
        <v>167</v>
      </c>
      <c r="AE613">
        <f t="shared" si="276"/>
        <v>152</v>
      </c>
      <c r="AF613">
        <f t="shared" si="277"/>
        <v>120</v>
      </c>
      <c r="AG613">
        <f t="shared" si="278"/>
        <v>108</v>
      </c>
      <c r="AH613">
        <f t="shared" si="279"/>
        <v>94</v>
      </c>
      <c r="AI613">
        <f t="shared" si="280"/>
        <v>167</v>
      </c>
      <c r="AJ613">
        <f t="shared" si="281"/>
        <v>152</v>
      </c>
      <c r="AK613">
        <f t="shared" si="282"/>
        <v>120</v>
      </c>
      <c r="AL613">
        <f t="shared" si="283"/>
        <v>108</v>
      </c>
      <c r="AM613">
        <f t="shared" si="284"/>
        <v>94</v>
      </c>
      <c r="AN613">
        <f t="shared" si="285"/>
        <v>222</v>
      </c>
      <c r="AO613">
        <f t="shared" si="286"/>
        <v>202</v>
      </c>
      <c r="AP613">
        <f t="shared" si="287"/>
        <v>170</v>
      </c>
      <c r="AQ613">
        <f t="shared" si="288"/>
        <v>153</v>
      </c>
      <c r="AR613">
        <f t="shared" si="289"/>
        <v>139</v>
      </c>
      <c r="AS613">
        <f t="shared" si="290"/>
        <v>189</v>
      </c>
      <c r="AT613">
        <f t="shared" si="291"/>
        <v>172</v>
      </c>
      <c r="AU613">
        <f t="shared" si="292"/>
        <v>140</v>
      </c>
      <c r="AV613">
        <f t="shared" si="293"/>
        <v>126</v>
      </c>
      <c r="AW613">
        <f t="shared" si="294"/>
        <v>112</v>
      </c>
      <c r="AX613">
        <f t="shared" si="295"/>
        <v>189</v>
      </c>
      <c r="AY613">
        <f t="shared" si="296"/>
        <v>172</v>
      </c>
      <c r="AZ613">
        <f t="shared" si="297"/>
        <v>140</v>
      </c>
      <c r="BA613">
        <f t="shared" si="298"/>
        <v>126</v>
      </c>
      <c r="BB613">
        <f t="shared" si="299"/>
        <v>112</v>
      </c>
    </row>
    <row r="614" spans="1:54" x14ac:dyDescent="0.15">
      <c r="A614">
        <v>410</v>
      </c>
      <c r="B614" t="s">
        <v>2209</v>
      </c>
      <c r="C614">
        <v>485</v>
      </c>
      <c r="D614">
        <v>0</v>
      </c>
      <c r="E614" t="s">
        <v>2210</v>
      </c>
      <c r="G614" t="s">
        <v>2210</v>
      </c>
      <c r="H614" t="s">
        <v>2211</v>
      </c>
      <c r="J614" t="s">
        <v>2212</v>
      </c>
      <c r="K614">
        <v>430</v>
      </c>
      <c r="L614">
        <v>1.7</v>
      </c>
      <c r="M614" t="s">
        <v>47</v>
      </c>
      <c r="N614" t="s">
        <v>203</v>
      </c>
      <c r="O614" t="s">
        <v>245</v>
      </c>
      <c r="P614" t="s">
        <v>456</v>
      </c>
      <c r="R614">
        <v>9</v>
      </c>
      <c r="S614">
        <v>91</v>
      </c>
      <c r="T614">
        <v>90</v>
      </c>
      <c r="U614">
        <v>106</v>
      </c>
      <c r="V614">
        <v>130</v>
      </c>
      <c r="W614">
        <v>106</v>
      </c>
      <c r="X614">
        <v>77</v>
      </c>
      <c r="Y614">
        <f t="shared" si="270"/>
        <v>198</v>
      </c>
      <c r="Z614">
        <f t="shared" si="271"/>
        <v>198</v>
      </c>
      <c r="AA614">
        <f t="shared" si="272"/>
        <v>166</v>
      </c>
      <c r="AB614">
        <f t="shared" si="273"/>
        <v>166</v>
      </c>
      <c r="AC614">
        <f t="shared" si="274"/>
        <v>151</v>
      </c>
      <c r="AD614">
        <f t="shared" si="275"/>
        <v>156</v>
      </c>
      <c r="AE614">
        <f t="shared" si="276"/>
        <v>142</v>
      </c>
      <c r="AF614">
        <f t="shared" si="277"/>
        <v>110</v>
      </c>
      <c r="AG614">
        <f t="shared" si="278"/>
        <v>99</v>
      </c>
      <c r="AH614">
        <f t="shared" si="279"/>
        <v>85</v>
      </c>
      <c r="AI614">
        <f t="shared" si="280"/>
        <v>173</v>
      </c>
      <c r="AJ614">
        <f t="shared" si="281"/>
        <v>158</v>
      </c>
      <c r="AK614">
        <f t="shared" si="282"/>
        <v>126</v>
      </c>
      <c r="AL614">
        <f t="shared" si="283"/>
        <v>113</v>
      </c>
      <c r="AM614">
        <f t="shared" si="284"/>
        <v>99</v>
      </c>
      <c r="AN614">
        <f t="shared" si="285"/>
        <v>200</v>
      </c>
      <c r="AO614">
        <f t="shared" si="286"/>
        <v>182</v>
      </c>
      <c r="AP614">
        <f t="shared" si="287"/>
        <v>150</v>
      </c>
      <c r="AQ614">
        <f t="shared" si="288"/>
        <v>135</v>
      </c>
      <c r="AR614">
        <f t="shared" si="289"/>
        <v>121</v>
      </c>
      <c r="AS614">
        <f t="shared" si="290"/>
        <v>173</v>
      </c>
      <c r="AT614">
        <f t="shared" si="291"/>
        <v>158</v>
      </c>
      <c r="AU614">
        <f t="shared" si="292"/>
        <v>126</v>
      </c>
      <c r="AV614">
        <f t="shared" si="293"/>
        <v>113</v>
      </c>
      <c r="AW614">
        <f t="shared" si="294"/>
        <v>99</v>
      </c>
      <c r="AX614">
        <f t="shared" si="295"/>
        <v>141</v>
      </c>
      <c r="AY614">
        <f t="shared" si="296"/>
        <v>129</v>
      </c>
      <c r="AZ614">
        <f t="shared" si="297"/>
        <v>97</v>
      </c>
      <c r="BA614">
        <f t="shared" si="298"/>
        <v>87</v>
      </c>
      <c r="BB614">
        <f t="shared" si="299"/>
        <v>73</v>
      </c>
    </row>
    <row r="615" spans="1:54" x14ac:dyDescent="0.15">
      <c r="A615">
        <v>411</v>
      </c>
      <c r="B615" t="s">
        <v>2213</v>
      </c>
      <c r="C615">
        <v>486</v>
      </c>
      <c r="D615">
        <v>0</v>
      </c>
      <c r="E615" t="s">
        <v>2214</v>
      </c>
      <c r="G615" t="s">
        <v>2214</v>
      </c>
      <c r="H615" t="s">
        <v>2215</v>
      </c>
      <c r="J615" t="s">
        <v>2216</v>
      </c>
      <c r="K615">
        <v>420</v>
      </c>
      <c r="L615">
        <v>3.7</v>
      </c>
      <c r="M615" t="s">
        <v>120</v>
      </c>
      <c r="O615" t="s">
        <v>2217</v>
      </c>
      <c r="R615">
        <v>9</v>
      </c>
      <c r="S615">
        <v>110</v>
      </c>
      <c r="T615">
        <v>160</v>
      </c>
      <c r="U615">
        <v>110</v>
      </c>
      <c r="V615">
        <v>80</v>
      </c>
      <c r="W615">
        <v>110</v>
      </c>
      <c r="X615">
        <v>100</v>
      </c>
      <c r="Y615">
        <f t="shared" si="270"/>
        <v>217</v>
      </c>
      <c r="Z615">
        <f t="shared" si="271"/>
        <v>217</v>
      </c>
      <c r="AA615">
        <f t="shared" si="272"/>
        <v>185</v>
      </c>
      <c r="AB615">
        <f t="shared" si="273"/>
        <v>185</v>
      </c>
      <c r="AC615">
        <f t="shared" si="274"/>
        <v>170</v>
      </c>
      <c r="AD615">
        <f t="shared" si="275"/>
        <v>233</v>
      </c>
      <c r="AE615">
        <f t="shared" si="276"/>
        <v>212</v>
      </c>
      <c r="AF615">
        <f t="shared" si="277"/>
        <v>180</v>
      </c>
      <c r="AG615">
        <f t="shared" si="278"/>
        <v>162</v>
      </c>
      <c r="AH615">
        <f t="shared" si="279"/>
        <v>148</v>
      </c>
      <c r="AI615">
        <f t="shared" si="280"/>
        <v>178</v>
      </c>
      <c r="AJ615">
        <f t="shared" si="281"/>
        <v>162</v>
      </c>
      <c r="AK615">
        <f t="shared" si="282"/>
        <v>130</v>
      </c>
      <c r="AL615">
        <f t="shared" si="283"/>
        <v>117</v>
      </c>
      <c r="AM615">
        <f t="shared" si="284"/>
        <v>103</v>
      </c>
      <c r="AN615">
        <f t="shared" si="285"/>
        <v>145</v>
      </c>
      <c r="AO615">
        <f t="shared" si="286"/>
        <v>132</v>
      </c>
      <c r="AP615">
        <f t="shared" si="287"/>
        <v>100</v>
      </c>
      <c r="AQ615">
        <f t="shared" si="288"/>
        <v>90</v>
      </c>
      <c r="AR615">
        <f t="shared" si="289"/>
        <v>76</v>
      </c>
      <c r="AS615">
        <f t="shared" si="290"/>
        <v>178</v>
      </c>
      <c r="AT615">
        <f t="shared" si="291"/>
        <v>162</v>
      </c>
      <c r="AU615">
        <f t="shared" si="292"/>
        <v>130</v>
      </c>
      <c r="AV615">
        <f t="shared" si="293"/>
        <v>117</v>
      </c>
      <c r="AW615">
        <f t="shared" si="294"/>
        <v>103</v>
      </c>
      <c r="AX615">
        <f t="shared" si="295"/>
        <v>167</v>
      </c>
      <c r="AY615">
        <f t="shared" si="296"/>
        <v>152</v>
      </c>
      <c r="AZ615">
        <f t="shared" si="297"/>
        <v>120</v>
      </c>
      <c r="BA615">
        <f t="shared" si="298"/>
        <v>108</v>
      </c>
      <c r="BB615">
        <f t="shared" si="299"/>
        <v>94</v>
      </c>
    </row>
    <row r="616" spans="1:54" x14ac:dyDescent="0.15">
      <c r="A616">
        <v>412</v>
      </c>
      <c r="B616" t="s">
        <v>2218</v>
      </c>
      <c r="C616">
        <v>487</v>
      </c>
      <c r="D616">
        <v>0</v>
      </c>
      <c r="E616" t="s">
        <v>2219</v>
      </c>
      <c r="F616" t="s">
        <v>2220</v>
      </c>
      <c r="G616" t="s">
        <v>2221</v>
      </c>
      <c r="H616" t="s">
        <v>2222</v>
      </c>
      <c r="J616" t="s">
        <v>2223</v>
      </c>
      <c r="K616">
        <v>750</v>
      </c>
      <c r="L616">
        <v>4.5</v>
      </c>
      <c r="M616" t="s">
        <v>546</v>
      </c>
      <c r="N616" t="s">
        <v>60</v>
      </c>
      <c r="O616" t="s">
        <v>792</v>
      </c>
      <c r="P616" t="s">
        <v>1048</v>
      </c>
      <c r="R616">
        <v>9</v>
      </c>
      <c r="S616">
        <v>150</v>
      </c>
      <c r="T616">
        <v>100</v>
      </c>
      <c r="U616">
        <v>120</v>
      </c>
      <c r="V616">
        <v>100</v>
      </c>
      <c r="W616">
        <v>120</v>
      </c>
      <c r="X616">
        <v>90</v>
      </c>
      <c r="Y616">
        <f t="shared" si="270"/>
        <v>257</v>
      </c>
      <c r="Z616">
        <f t="shared" si="271"/>
        <v>257</v>
      </c>
      <c r="AA616">
        <f t="shared" si="272"/>
        <v>225</v>
      </c>
      <c r="AB616">
        <f t="shared" si="273"/>
        <v>225</v>
      </c>
      <c r="AC616">
        <f t="shared" si="274"/>
        <v>210</v>
      </c>
      <c r="AD616">
        <f t="shared" si="275"/>
        <v>167</v>
      </c>
      <c r="AE616">
        <f t="shared" si="276"/>
        <v>152</v>
      </c>
      <c r="AF616">
        <f t="shared" si="277"/>
        <v>120</v>
      </c>
      <c r="AG616">
        <f t="shared" si="278"/>
        <v>108</v>
      </c>
      <c r="AH616">
        <f t="shared" si="279"/>
        <v>94</v>
      </c>
      <c r="AI616">
        <f t="shared" si="280"/>
        <v>189</v>
      </c>
      <c r="AJ616">
        <f t="shared" si="281"/>
        <v>172</v>
      </c>
      <c r="AK616">
        <f t="shared" si="282"/>
        <v>140</v>
      </c>
      <c r="AL616">
        <f t="shared" si="283"/>
        <v>126</v>
      </c>
      <c r="AM616">
        <f t="shared" si="284"/>
        <v>112</v>
      </c>
      <c r="AN616">
        <f t="shared" si="285"/>
        <v>167</v>
      </c>
      <c r="AO616">
        <f t="shared" si="286"/>
        <v>152</v>
      </c>
      <c r="AP616">
        <f t="shared" si="287"/>
        <v>120</v>
      </c>
      <c r="AQ616">
        <f t="shared" si="288"/>
        <v>108</v>
      </c>
      <c r="AR616">
        <f t="shared" si="289"/>
        <v>94</v>
      </c>
      <c r="AS616">
        <f t="shared" si="290"/>
        <v>189</v>
      </c>
      <c r="AT616">
        <f t="shared" si="291"/>
        <v>172</v>
      </c>
      <c r="AU616">
        <f t="shared" si="292"/>
        <v>140</v>
      </c>
      <c r="AV616">
        <f t="shared" si="293"/>
        <v>126</v>
      </c>
      <c r="AW616">
        <f t="shared" si="294"/>
        <v>112</v>
      </c>
      <c r="AX616">
        <f t="shared" si="295"/>
        <v>156</v>
      </c>
      <c r="AY616">
        <f t="shared" si="296"/>
        <v>142</v>
      </c>
      <c r="AZ616">
        <f t="shared" si="297"/>
        <v>110</v>
      </c>
      <c r="BA616">
        <f t="shared" si="298"/>
        <v>99</v>
      </c>
      <c r="BB616">
        <f t="shared" si="299"/>
        <v>85</v>
      </c>
    </row>
    <row r="617" spans="1:54" x14ac:dyDescent="0.15">
      <c r="A617">
        <v>413</v>
      </c>
      <c r="B617" t="s">
        <v>2224</v>
      </c>
      <c r="C617">
        <v>487</v>
      </c>
      <c r="D617">
        <v>1</v>
      </c>
      <c r="E617" t="s">
        <v>2219</v>
      </c>
      <c r="F617" t="s">
        <v>2199</v>
      </c>
      <c r="G617" t="s">
        <v>2225</v>
      </c>
      <c r="H617" t="s">
        <v>2226</v>
      </c>
      <c r="J617" t="s">
        <v>2223</v>
      </c>
      <c r="K617">
        <v>650</v>
      </c>
      <c r="L617">
        <v>6.9</v>
      </c>
      <c r="M617" t="s">
        <v>546</v>
      </c>
      <c r="N617" t="s">
        <v>60</v>
      </c>
      <c r="O617" t="s">
        <v>547</v>
      </c>
      <c r="R617">
        <v>9</v>
      </c>
      <c r="S617">
        <v>150</v>
      </c>
      <c r="T617">
        <v>120</v>
      </c>
      <c r="U617">
        <v>100</v>
      </c>
      <c r="V617">
        <v>120</v>
      </c>
      <c r="W617">
        <v>100</v>
      </c>
      <c r="X617">
        <v>90</v>
      </c>
      <c r="Y617">
        <f t="shared" si="270"/>
        <v>257</v>
      </c>
      <c r="Z617">
        <f t="shared" si="271"/>
        <v>257</v>
      </c>
      <c r="AA617">
        <f t="shared" si="272"/>
        <v>225</v>
      </c>
      <c r="AB617">
        <f t="shared" si="273"/>
        <v>225</v>
      </c>
      <c r="AC617">
        <f t="shared" si="274"/>
        <v>210</v>
      </c>
      <c r="AD617">
        <f t="shared" si="275"/>
        <v>189</v>
      </c>
      <c r="AE617">
        <f t="shared" si="276"/>
        <v>172</v>
      </c>
      <c r="AF617">
        <f t="shared" si="277"/>
        <v>140</v>
      </c>
      <c r="AG617">
        <f t="shared" si="278"/>
        <v>126</v>
      </c>
      <c r="AH617">
        <f t="shared" si="279"/>
        <v>112</v>
      </c>
      <c r="AI617">
        <f t="shared" si="280"/>
        <v>167</v>
      </c>
      <c r="AJ617">
        <f t="shared" si="281"/>
        <v>152</v>
      </c>
      <c r="AK617">
        <f t="shared" si="282"/>
        <v>120</v>
      </c>
      <c r="AL617">
        <f t="shared" si="283"/>
        <v>108</v>
      </c>
      <c r="AM617">
        <f t="shared" si="284"/>
        <v>94</v>
      </c>
      <c r="AN617">
        <f t="shared" si="285"/>
        <v>189</v>
      </c>
      <c r="AO617">
        <f t="shared" si="286"/>
        <v>172</v>
      </c>
      <c r="AP617">
        <f t="shared" si="287"/>
        <v>140</v>
      </c>
      <c r="AQ617">
        <f t="shared" si="288"/>
        <v>126</v>
      </c>
      <c r="AR617">
        <f t="shared" si="289"/>
        <v>112</v>
      </c>
      <c r="AS617">
        <f t="shared" si="290"/>
        <v>167</v>
      </c>
      <c r="AT617">
        <f t="shared" si="291"/>
        <v>152</v>
      </c>
      <c r="AU617">
        <f t="shared" si="292"/>
        <v>120</v>
      </c>
      <c r="AV617">
        <f t="shared" si="293"/>
        <v>108</v>
      </c>
      <c r="AW617">
        <f t="shared" si="294"/>
        <v>94</v>
      </c>
      <c r="AX617">
        <f t="shared" si="295"/>
        <v>156</v>
      </c>
      <c r="AY617">
        <f t="shared" si="296"/>
        <v>142</v>
      </c>
      <c r="AZ617">
        <f t="shared" si="297"/>
        <v>110</v>
      </c>
      <c r="BA617">
        <f t="shared" si="298"/>
        <v>99</v>
      </c>
      <c r="BB617">
        <f t="shared" si="299"/>
        <v>85</v>
      </c>
    </row>
    <row r="618" spans="1:54" x14ac:dyDescent="0.15">
      <c r="A618">
        <v>414</v>
      </c>
      <c r="B618" t="s">
        <v>2227</v>
      </c>
      <c r="C618">
        <v>488</v>
      </c>
      <c r="D618">
        <v>0</v>
      </c>
      <c r="E618" t="s">
        <v>2228</v>
      </c>
      <c r="G618" t="s">
        <v>2228</v>
      </c>
      <c r="H618" t="s">
        <v>2229</v>
      </c>
      <c r="J618" t="s">
        <v>2230</v>
      </c>
      <c r="K618">
        <v>85.6</v>
      </c>
      <c r="L618">
        <v>1.5</v>
      </c>
      <c r="M618" t="s">
        <v>191</v>
      </c>
      <c r="O618" t="s">
        <v>547</v>
      </c>
      <c r="R618">
        <v>9</v>
      </c>
      <c r="S618">
        <v>120</v>
      </c>
      <c r="T618">
        <v>70</v>
      </c>
      <c r="U618">
        <v>110</v>
      </c>
      <c r="V618">
        <v>75</v>
      </c>
      <c r="W618">
        <v>120</v>
      </c>
      <c r="X618">
        <v>85</v>
      </c>
      <c r="Y618">
        <f t="shared" si="270"/>
        <v>227</v>
      </c>
      <c r="Z618">
        <f t="shared" si="271"/>
        <v>227</v>
      </c>
      <c r="AA618">
        <f t="shared" si="272"/>
        <v>195</v>
      </c>
      <c r="AB618">
        <f t="shared" si="273"/>
        <v>195</v>
      </c>
      <c r="AC618">
        <f t="shared" si="274"/>
        <v>180</v>
      </c>
      <c r="AD618">
        <f t="shared" si="275"/>
        <v>134</v>
      </c>
      <c r="AE618">
        <f t="shared" si="276"/>
        <v>122</v>
      </c>
      <c r="AF618">
        <f t="shared" si="277"/>
        <v>90</v>
      </c>
      <c r="AG618">
        <f t="shared" si="278"/>
        <v>81</v>
      </c>
      <c r="AH618">
        <f t="shared" si="279"/>
        <v>67</v>
      </c>
      <c r="AI618">
        <f t="shared" si="280"/>
        <v>178</v>
      </c>
      <c r="AJ618">
        <f t="shared" si="281"/>
        <v>162</v>
      </c>
      <c r="AK618">
        <f t="shared" si="282"/>
        <v>130</v>
      </c>
      <c r="AL618">
        <f t="shared" si="283"/>
        <v>117</v>
      </c>
      <c r="AM618">
        <f t="shared" si="284"/>
        <v>103</v>
      </c>
      <c r="AN618">
        <f t="shared" si="285"/>
        <v>139</v>
      </c>
      <c r="AO618">
        <f t="shared" si="286"/>
        <v>127</v>
      </c>
      <c r="AP618">
        <f t="shared" si="287"/>
        <v>95</v>
      </c>
      <c r="AQ618">
        <f t="shared" si="288"/>
        <v>85</v>
      </c>
      <c r="AR618">
        <f t="shared" si="289"/>
        <v>72</v>
      </c>
      <c r="AS618">
        <f t="shared" si="290"/>
        <v>189</v>
      </c>
      <c r="AT618">
        <f t="shared" si="291"/>
        <v>172</v>
      </c>
      <c r="AU618">
        <f t="shared" si="292"/>
        <v>140</v>
      </c>
      <c r="AV618">
        <f t="shared" si="293"/>
        <v>126</v>
      </c>
      <c r="AW618">
        <f t="shared" si="294"/>
        <v>112</v>
      </c>
      <c r="AX618">
        <f t="shared" si="295"/>
        <v>150</v>
      </c>
      <c r="AY618">
        <f t="shared" si="296"/>
        <v>137</v>
      </c>
      <c r="AZ618">
        <f t="shared" si="297"/>
        <v>105</v>
      </c>
      <c r="BA618">
        <f t="shared" si="298"/>
        <v>94</v>
      </c>
      <c r="BB618">
        <f t="shared" si="299"/>
        <v>81</v>
      </c>
    </row>
    <row r="619" spans="1:54" x14ac:dyDescent="0.15">
      <c r="A619">
        <v>415</v>
      </c>
      <c r="B619" t="s">
        <v>2231</v>
      </c>
      <c r="C619">
        <v>489</v>
      </c>
      <c r="D619">
        <v>0</v>
      </c>
      <c r="E619" t="s">
        <v>2232</v>
      </c>
      <c r="G619" t="s">
        <v>2232</v>
      </c>
      <c r="H619" t="s">
        <v>2233</v>
      </c>
      <c r="J619" t="s">
        <v>2234</v>
      </c>
      <c r="K619">
        <v>3.1</v>
      </c>
      <c r="L619">
        <v>0.4</v>
      </c>
      <c r="M619" t="s">
        <v>71</v>
      </c>
      <c r="O619" t="s">
        <v>513</v>
      </c>
      <c r="R619">
        <v>9</v>
      </c>
      <c r="S619">
        <v>80</v>
      </c>
      <c r="T619">
        <v>80</v>
      </c>
      <c r="U619">
        <v>80</v>
      </c>
      <c r="V619">
        <v>80</v>
      </c>
      <c r="W619">
        <v>80</v>
      </c>
      <c r="X619">
        <v>80</v>
      </c>
      <c r="Y619">
        <f t="shared" si="270"/>
        <v>187</v>
      </c>
      <c r="Z619">
        <f t="shared" si="271"/>
        <v>187</v>
      </c>
      <c r="AA619">
        <f t="shared" si="272"/>
        <v>155</v>
      </c>
      <c r="AB619">
        <f t="shared" si="273"/>
        <v>155</v>
      </c>
      <c r="AC619">
        <f t="shared" si="274"/>
        <v>140</v>
      </c>
      <c r="AD619">
        <f t="shared" si="275"/>
        <v>145</v>
      </c>
      <c r="AE619">
        <f t="shared" si="276"/>
        <v>132</v>
      </c>
      <c r="AF619">
        <f t="shared" si="277"/>
        <v>100</v>
      </c>
      <c r="AG619">
        <f t="shared" si="278"/>
        <v>90</v>
      </c>
      <c r="AH619">
        <f t="shared" si="279"/>
        <v>76</v>
      </c>
      <c r="AI619">
        <f t="shared" si="280"/>
        <v>145</v>
      </c>
      <c r="AJ619">
        <f t="shared" si="281"/>
        <v>132</v>
      </c>
      <c r="AK619">
        <f t="shared" si="282"/>
        <v>100</v>
      </c>
      <c r="AL619">
        <f t="shared" si="283"/>
        <v>90</v>
      </c>
      <c r="AM619">
        <f t="shared" si="284"/>
        <v>76</v>
      </c>
      <c r="AN619">
        <f t="shared" si="285"/>
        <v>145</v>
      </c>
      <c r="AO619">
        <f t="shared" si="286"/>
        <v>132</v>
      </c>
      <c r="AP619">
        <f t="shared" si="287"/>
        <v>100</v>
      </c>
      <c r="AQ619">
        <f t="shared" si="288"/>
        <v>90</v>
      </c>
      <c r="AR619">
        <f t="shared" si="289"/>
        <v>76</v>
      </c>
      <c r="AS619">
        <f t="shared" si="290"/>
        <v>145</v>
      </c>
      <c r="AT619">
        <f t="shared" si="291"/>
        <v>132</v>
      </c>
      <c r="AU619">
        <f t="shared" si="292"/>
        <v>100</v>
      </c>
      <c r="AV619">
        <f t="shared" si="293"/>
        <v>90</v>
      </c>
      <c r="AW619">
        <f t="shared" si="294"/>
        <v>76</v>
      </c>
      <c r="AX619">
        <f t="shared" si="295"/>
        <v>145</v>
      </c>
      <c r="AY619">
        <f t="shared" si="296"/>
        <v>132</v>
      </c>
      <c r="AZ619">
        <f t="shared" si="297"/>
        <v>100</v>
      </c>
      <c r="BA619">
        <f t="shared" si="298"/>
        <v>90</v>
      </c>
      <c r="BB619">
        <f t="shared" si="299"/>
        <v>76</v>
      </c>
    </row>
    <row r="620" spans="1:54" x14ac:dyDescent="0.15">
      <c r="A620">
        <v>416</v>
      </c>
      <c r="B620" t="s">
        <v>2235</v>
      </c>
      <c r="C620">
        <v>490</v>
      </c>
      <c r="D620">
        <v>0</v>
      </c>
      <c r="E620" t="s">
        <v>2236</v>
      </c>
      <c r="G620" t="s">
        <v>2236</v>
      </c>
      <c r="H620" t="s">
        <v>2237</v>
      </c>
      <c r="J620" t="s">
        <v>2238</v>
      </c>
      <c r="K620">
        <v>1.4</v>
      </c>
      <c r="L620">
        <v>0.3</v>
      </c>
      <c r="M620" t="s">
        <v>71</v>
      </c>
      <c r="O620" t="s">
        <v>513</v>
      </c>
      <c r="R620">
        <v>9</v>
      </c>
      <c r="S620">
        <v>100</v>
      </c>
      <c r="T620">
        <v>100</v>
      </c>
      <c r="U620">
        <v>100</v>
      </c>
      <c r="V620">
        <v>100</v>
      </c>
      <c r="W620">
        <v>100</v>
      </c>
      <c r="X620">
        <v>100</v>
      </c>
      <c r="Y620">
        <f t="shared" si="270"/>
        <v>207</v>
      </c>
      <c r="Z620">
        <f t="shared" si="271"/>
        <v>207</v>
      </c>
      <c r="AA620">
        <f t="shared" si="272"/>
        <v>175</v>
      </c>
      <c r="AB620">
        <f t="shared" si="273"/>
        <v>175</v>
      </c>
      <c r="AC620">
        <f t="shared" si="274"/>
        <v>160</v>
      </c>
      <c r="AD620">
        <f t="shared" si="275"/>
        <v>167</v>
      </c>
      <c r="AE620">
        <f t="shared" si="276"/>
        <v>152</v>
      </c>
      <c r="AF620">
        <f t="shared" si="277"/>
        <v>120</v>
      </c>
      <c r="AG620">
        <f t="shared" si="278"/>
        <v>108</v>
      </c>
      <c r="AH620">
        <f t="shared" si="279"/>
        <v>94</v>
      </c>
      <c r="AI620">
        <f t="shared" si="280"/>
        <v>167</v>
      </c>
      <c r="AJ620">
        <f t="shared" si="281"/>
        <v>152</v>
      </c>
      <c r="AK620">
        <f t="shared" si="282"/>
        <v>120</v>
      </c>
      <c r="AL620">
        <f t="shared" si="283"/>
        <v>108</v>
      </c>
      <c r="AM620">
        <f t="shared" si="284"/>
        <v>94</v>
      </c>
      <c r="AN620">
        <f t="shared" si="285"/>
        <v>167</v>
      </c>
      <c r="AO620">
        <f t="shared" si="286"/>
        <v>152</v>
      </c>
      <c r="AP620">
        <f t="shared" si="287"/>
        <v>120</v>
      </c>
      <c r="AQ620">
        <f t="shared" si="288"/>
        <v>108</v>
      </c>
      <c r="AR620">
        <f t="shared" si="289"/>
        <v>94</v>
      </c>
      <c r="AS620">
        <f t="shared" si="290"/>
        <v>167</v>
      </c>
      <c r="AT620">
        <f t="shared" si="291"/>
        <v>152</v>
      </c>
      <c r="AU620">
        <f t="shared" si="292"/>
        <v>120</v>
      </c>
      <c r="AV620">
        <f t="shared" si="293"/>
        <v>108</v>
      </c>
      <c r="AW620">
        <f t="shared" si="294"/>
        <v>94</v>
      </c>
      <c r="AX620">
        <f t="shared" si="295"/>
        <v>167</v>
      </c>
      <c r="AY620">
        <f t="shared" si="296"/>
        <v>152</v>
      </c>
      <c r="AZ620">
        <f t="shared" si="297"/>
        <v>120</v>
      </c>
      <c r="BA620">
        <f t="shared" si="298"/>
        <v>108</v>
      </c>
      <c r="BB620">
        <f t="shared" si="299"/>
        <v>94</v>
      </c>
    </row>
    <row r="621" spans="1:54" x14ac:dyDescent="0.15">
      <c r="A621">
        <v>417</v>
      </c>
      <c r="B621" t="s">
        <v>2239</v>
      </c>
      <c r="C621">
        <v>491</v>
      </c>
      <c r="D621">
        <v>0</v>
      </c>
      <c r="E621" t="s">
        <v>2240</v>
      </c>
      <c r="G621" t="s">
        <v>2240</v>
      </c>
      <c r="H621" t="s">
        <v>2241</v>
      </c>
      <c r="J621" t="s">
        <v>2242</v>
      </c>
      <c r="K621">
        <v>50.5</v>
      </c>
      <c r="L621">
        <v>1.5</v>
      </c>
      <c r="M621" t="s">
        <v>140</v>
      </c>
      <c r="O621" t="s">
        <v>2243</v>
      </c>
      <c r="R621">
        <v>9</v>
      </c>
      <c r="S621">
        <v>70</v>
      </c>
      <c r="T621">
        <v>90</v>
      </c>
      <c r="U621">
        <v>90</v>
      </c>
      <c r="V621">
        <v>135</v>
      </c>
      <c r="W621">
        <v>90</v>
      </c>
      <c r="X621">
        <v>125</v>
      </c>
      <c r="Y621">
        <f t="shared" si="270"/>
        <v>177</v>
      </c>
      <c r="Z621">
        <f t="shared" si="271"/>
        <v>177</v>
      </c>
      <c r="AA621">
        <f t="shared" si="272"/>
        <v>145</v>
      </c>
      <c r="AB621">
        <f t="shared" si="273"/>
        <v>145</v>
      </c>
      <c r="AC621">
        <f t="shared" si="274"/>
        <v>130</v>
      </c>
      <c r="AD621">
        <f t="shared" si="275"/>
        <v>156</v>
      </c>
      <c r="AE621">
        <f t="shared" si="276"/>
        <v>142</v>
      </c>
      <c r="AF621">
        <f t="shared" si="277"/>
        <v>110</v>
      </c>
      <c r="AG621">
        <f t="shared" si="278"/>
        <v>99</v>
      </c>
      <c r="AH621">
        <f t="shared" si="279"/>
        <v>85</v>
      </c>
      <c r="AI621">
        <f t="shared" si="280"/>
        <v>156</v>
      </c>
      <c r="AJ621">
        <f t="shared" si="281"/>
        <v>142</v>
      </c>
      <c r="AK621">
        <f t="shared" si="282"/>
        <v>110</v>
      </c>
      <c r="AL621">
        <f t="shared" si="283"/>
        <v>99</v>
      </c>
      <c r="AM621">
        <f t="shared" si="284"/>
        <v>85</v>
      </c>
      <c r="AN621">
        <f t="shared" si="285"/>
        <v>205</v>
      </c>
      <c r="AO621">
        <f t="shared" si="286"/>
        <v>187</v>
      </c>
      <c r="AP621">
        <f t="shared" si="287"/>
        <v>155</v>
      </c>
      <c r="AQ621">
        <f t="shared" si="288"/>
        <v>139</v>
      </c>
      <c r="AR621">
        <f t="shared" si="289"/>
        <v>126</v>
      </c>
      <c r="AS621">
        <f t="shared" si="290"/>
        <v>156</v>
      </c>
      <c r="AT621">
        <f t="shared" si="291"/>
        <v>142</v>
      </c>
      <c r="AU621">
        <f t="shared" si="292"/>
        <v>110</v>
      </c>
      <c r="AV621">
        <f t="shared" si="293"/>
        <v>99</v>
      </c>
      <c r="AW621">
        <f t="shared" si="294"/>
        <v>85</v>
      </c>
      <c r="AX621">
        <f t="shared" si="295"/>
        <v>194</v>
      </c>
      <c r="AY621">
        <f t="shared" si="296"/>
        <v>177</v>
      </c>
      <c r="AZ621">
        <f t="shared" si="297"/>
        <v>145</v>
      </c>
      <c r="BA621">
        <f t="shared" si="298"/>
        <v>130</v>
      </c>
      <c r="BB621">
        <f t="shared" si="299"/>
        <v>117</v>
      </c>
    </row>
    <row r="622" spans="1:54" x14ac:dyDescent="0.15">
      <c r="A622">
        <v>418</v>
      </c>
      <c r="B622" t="s">
        <v>2244</v>
      </c>
      <c r="C622">
        <v>492</v>
      </c>
      <c r="D622">
        <v>0</v>
      </c>
      <c r="E622" t="s">
        <v>2245</v>
      </c>
      <c r="F622" t="s">
        <v>2246</v>
      </c>
      <c r="G622" t="s">
        <v>2247</v>
      </c>
      <c r="H622" t="s">
        <v>2248</v>
      </c>
      <c r="J622" t="s">
        <v>2249</v>
      </c>
      <c r="K622">
        <v>2.1</v>
      </c>
      <c r="L622">
        <v>0.2</v>
      </c>
      <c r="M622" t="s">
        <v>26</v>
      </c>
      <c r="O622" t="s">
        <v>654</v>
      </c>
      <c r="R622">
        <v>9</v>
      </c>
      <c r="S622">
        <v>100</v>
      </c>
      <c r="T622">
        <v>100</v>
      </c>
      <c r="U622">
        <v>100</v>
      </c>
      <c r="V622">
        <v>100</v>
      </c>
      <c r="W622">
        <v>100</v>
      </c>
      <c r="X622">
        <v>100</v>
      </c>
      <c r="Y622">
        <f t="shared" si="270"/>
        <v>207</v>
      </c>
      <c r="Z622">
        <f t="shared" si="271"/>
        <v>207</v>
      </c>
      <c r="AA622">
        <f t="shared" si="272"/>
        <v>175</v>
      </c>
      <c r="AB622">
        <f t="shared" si="273"/>
        <v>175</v>
      </c>
      <c r="AC622">
        <f t="shared" si="274"/>
        <v>160</v>
      </c>
      <c r="AD622">
        <f t="shared" si="275"/>
        <v>167</v>
      </c>
      <c r="AE622">
        <f t="shared" si="276"/>
        <v>152</v>
      </c>
      <c r="AF622">
        <f t="shared" si="277"/>
        <v>120</v>
      </c>
      <c r="AG622">
        <f t="shared" si="278"/>
        <v>108</v>
      </c>
      <c r="AH622">
        <f t="shared" si="279"/>
        <v>94</v>
      </c>
      <c r="AI622">
        <f t="shared" si="280"/>
        <v>167</v>
      </c>
      <c r="AJ622">
        <f t="shared" si="281"/>
        <v>152</v>
      </c>
      <c r="AK622">
        <f t="shared" si="282"/>
        <v>120</v>
      </c>
      <c r="AL622">
        <f t="shared" si="283"/>
        <v>108</v>
      </c>
      <c r="AM622">
        <f t="shared" si="284"/>
        <v>94</v>
      </c>
      <c r="AN622">
        <f t="shared" si="285"/>
        <v>167</v>
      </c>
      <c r="AO622">
        <f t="shared" si="286"/>
        <v>152</v>
      </c>
      <c r="AP622">
        <f t="shared" si="287"/>
        <v>120</v>
      </c>
      <c r="AQ622">
        <f t="shared" si="288"/>
        <v>108</v>
      </c>
      <c r="AR622">
        <f t="shared" si="289"/>
        <v>94</v>
      </c>
      <c r="AS622">
        <f t="shared" si="290"/>
        <v>167</v>
      </c>
      <c r="AT622">
        <f t="shared" si="291"/>
        <v>152</v>
      </c>
      <c r="AU622">
        <f t="shared" si="292"/>
        <v>120</v>
      </c>
      <c r="AV622">
        <f t="shared" si="293"/>
        <v>108</v>
      </c>
      <c r="AW622">
        <f t="shared" si="294"/>
        <v>94</v>
      </c>
      <c r="AX622">
        <f t="shared" si="295"/>
        <v>167</v>
      </c>
      <c r="AY622">
        <f t="shared" si="296"/>
        <v>152</v>
      </c>
      <c r="AZ622">
        <f t="shared" si="297"/>
        <v>120</v>
      </c>
      <c r="BA622">
        <f t="shared" si="298"/>
        <v>108</v>
      </c>
      <c r="BB622">
        <f t="shared" si="299"/>
        <v>94</v>
      </c>
    </row>
    <row r="623" spans="1:54" x14ac:dyDescent="0.15">
      <c r="A623">
        <v>419</v>
      </c>
      <c r="B623" t="s">
        <v>2250</v>
      </c>
      <c r="C623">
        <v>492</v>
      </c>
      <c r="D623">
        <v>1</v>
      </c>
      <c r="E623" t="s">
        <v>2245</v>
      </c>
      <c r="F623" t="s">
        <v>2251</v>
      </c>
      <c r="G623" t="s">
        <v>2252</v>
      </c>
      <c r="H623" t="s">
        <v>2253</v>
      </c>
      <c r="J623" t="s">
        <v>2249</v>
      </c>
      <c r="K623">
        <v>5.2</v>
      </c>
      <c r="L623">
        <v>0.4</v>
      </c>
      <c r="M623" t="s">
        <v>26</v>
      </c>
      <c r="N623" t="s">
        <v>57</v>
      </c>
      <c r="O623" t="s">
        <v>655</v>
      </c>
      <c r="R623">
        <v>9</v>
      </c>
      <c r="S623">
        <v>100</v>
      </c>
      <c r="T623">
        <v>103</v>
      </c>
      <c r="U623">
        <v>75</v>
      </c>
      <c r="V623">
        <v>120</v>
      </c>
      <c r="W623">
        <v>75</v>
      </c>
      <c r="X623">
        <v>127</v>
      </c>
      <c r="Y623">
        <f t="shared" si="270"/>
        <v>207</v>
      </c>
      <c r="Z623">
        <f t="shared" si="271"/>
        <v>207</v>
      </c>
      <c r="AA623">
        <f t="shared" si="272"/>
        <v>175</v>
      </c>
      <c r="AB623">
        <f t="shared" si="273"/>
        <v>175</v>
      </c>
      <c r="AC623">
        <f t="shared" si="274"/>
        <v>160</v>
      </c>
      <c r="AD623">
        <f t="shared" si="275"/>
        <v>170</v>
      </c>
      <c r="AE623">
        <f t="shared" si="276"/>
        <v>155</v>
      </c>
      <c r="AF623">
        <f t="shared" si="277"/>
        <v>123</v>
      </c>
      <c r="AG623">
        <f t="shared" si="278"/>
        <v>110</v>
      </c>
      <c r="AH623">
        <f t="shared" si="279"/>
        <v>97</v>
      </c>
      <c r="AI623">
        <f t="shared" si="280"/>
        <v>139</v>
      </c>
      <c r="AJ623">
        <f t="shared" si="281"/>
        <v>127</v>
      </c>
      <c r="AK623">
        <f t="shared" si="282"/>
        <v>95</v>
      </c>
      <c r="AL623">
        <f t="shared" si="283"/>
        <v>85</v>
      </c>
      <c r="AM623">
        <f t="shared" si="284"/>
        <v>72</v>
      </c>
      <c r="AN623">
        <f t="shared" si="285"/>
        <v>189</v>
      </c>
      <c r="AO623">
        <f t="shared" si="286"/>
        <v>172</v>
      </c>
      <c r="AP623">
        <f t="shared" si="287"/>
        <v>140</v>
      </c>
      <c r="AQ623">
        <f t="shared" si="288"/>
        <v>126</v>
      </c>
      <c r="AR623">
        <f t="shared" si="289"/>
        <v>112</v>
      </c>
      <c r="AS623">
        <f t="shared" si="290"/>
        <v>139</v>
      </c>
      <c r="AT623">
        <f t="shared" si="291"/>
        <v>127</v>
      </c>
      <c r="AU623">
        <f t="shared" si="292"/>
        <v>95</v>
      </c>
      <c r="AV623">
        <f t="shared" si="293"/>
        <v>85</v>
      </c>
      <c r="AW623">
        <f t="shared" si="294"/>
        <v>72</v>
      </c>
      <c r="AX623">
        <f t="shared" si="295"/>
        <v>196</v>
      </c>
      <c r="AY623">
        <f t="shared" si="296"/>
        <v>179</v>
      </c>
      <c r="AZ623">
        <f t="shared" si="297"/>
        <v>147</v>
      </c>
      <c r="BA623">
        <f t="shared" si="298"/>
        <v>132</v>
      </c>
      <c r="BB623">
        <f t="shared" si="299"/>
        <v>118</v>
      </c>
    </row>
    <row r="624" spans="1:54" x14ac:dyDescent="0.15">
      <c r="A624">
        <v>420</v>
      </c>
      <c r="B624" t="s">
        <v>2254</v>
      </c>
      <c r="C624">
        <v>493</v>
      </c>
      <c r="D624">
        <v>0</v>
      </c>
      <c r="E624" t="s">
        <v>2255</v>
      </c>
      <c r="F624" t="s">
        <v>2256</v>
      </c>
      <c r="G624" t="s">
        <v>2255</v>
      </c>
      <c r="H624" t="s">
        <v>2257</v>
      </c>
      <c r="J624" t="s">
        <v>2258</v>
      </c>
      <c r="K624">
        <v>320</v>
      </c>
      <c r="L624">
        <v>3.2</v>
      </c>
      <c r="M624" t="s">
        <v>120</v>
      </c>
      <c r="O624" t="s">
        <v>2259</v>
      </c>
      <c r="R624">
        <v>9</v>
      </c>
      <c r="S624">
        <v>120</v>
      </c>
      <c r="T624">
        <v>120</v>
      </c>
      <c r="U624">
        <v>120</v>
      </c>
      <c r="V624">
        <v>120</v>
      </c>
      <c r="W624">
        <v>120</v>
      </c>
      <c r="X624">
        <v>120</v>
      </c>
      <c r="Y624">
        <f t="shared" si="270"/>
        <v>227</v>
      </c>
      <c r="Z624">
        <f t="shared" si="271"/>
        <v>227</v>
      </c>
      <c r="AA624">
        <f t="shared" si="272"/>
        <v>195</v>
      </c>
      <c r="AB624">
        <f t="shared" si="273"/>
        <v>195</v>
      </c>
      <c r="AC624">
        <f t="shared" si="274"/>
        <v>180</v>
      </c>
      <c r="AD624">
        <f t="shared" si="275"/>
        <v>189</v>
      </c>
      <c r="AE624">
        <f t="shared" si="276"/>
        <v>172</v>
      </c>
      <c r="AF624">
        <f t="shared" si="277"/>
        <v>140</v>
      </c>
      <c r="AG624">
        <f t="shared" si="278"/>
        <v>126</v>
      </c>
      <c r="AH624">
        <f t="shared" si="279"/>
        <v>112</v>
      </c>
      <c r="AI624">
        <f t="shared" si="280"/>
        <v>189</v>
      </c>
      <c r="AJ624">
        <f t="shared" si="281"/>
        <v>172</v>
      </c>
      <c r="AK624">
        <f t="shared" si="282"/>
        <v>140</v>
      </c>
      <c r="AL624">
        <f t="shared" si="283"/>
        <v>126</v>
      </c>
      <c r="AM624">
        <f t="shared" si="284"/>
        <v>112</v>
      </c>
      <c r="AN624">
        <f t="shared" si="285"/>
        <v>189</v>
      </c>
      <c r="AO624">
        <f t="shared" si="286"/>
        <v>172</v>
      </c>
      <c r="AP624">
        <f t="shared" si="287"/>
        <v>140</v>
      </c>
      <c r="AQ624">
        <f t="shared" si="288"/>
        <v>126</v>
      </c>
      <c r="AR624">
        <f t="shared" si="289"/>
        <v>112</v>
      </c>
      <c r="AS624">
        <f t="shared" si="290"/>
        <v>189</v>
      </c>
      <c r="AT624">
        <f t="shared" si="291"/>
        <v>172</v>
      </c>
      <c r="AU624">
        <f t="shared" si="292"/>
        <v>140</v>
      </c>
      <c r="AV624">
        <f t="shared" si="293"/>
        <v>126</v>
      </c>
      <c r="AW624">
        <f t="shared" si="294"/>
        <v>112</v>
      </c>
      <c r="AX624">
        <f t="shared" si="295"/>
        <v>189</v>
      </c>
      <c r="AY624">
        <f t="shared" si="296"/>
        <v>172</v>
      </c>
      <c r="AZ624">
        <f t="shared" si="297"/>
        <v>140</v>
      </c>
      <c r="BA624">
        <f t="shared" si="298"/>
        <v>126</v>
      </c>
      <c r="BB624">
        <f t="shared" si="299"/>
        <v>112</v>
      </c>
    </row>
    <row r="625" spans="1:54" x14ac:dyDescent="0.15">
      <c r="A625">
        <v>421</v>
      </c>
      <c r="B625" t="s">
        <v>4701</v>
      </c>
      <c r="C625">
        <v>493</v>
      </c>
      <c r="D625">
        <v>1</v>
      </c>
      <c r="E625" t="s">
        <v>2255</v>
      </c>
      <c r="F625" t="s">
        <v>2260</v>
      </c>
      <c r="G625" t="s">
        <v>4718</v>
      </c>
      <c r="H625" t="s">
        <v>2261</v>
      </c>
      <c r="J625" t="s">
        <v>2258</v>
      </c>
      <c r="K625">
        <v>320</v>
      </c>
      <c r="L625">
        <v>3.2</v>
      </c>
      <c r="M625" t="s">
        <v>354</v>
      </c>
      <c r="O625" t="s">
        <v>2259</v>
      </c>
      <c r="R625">
        <v>9</v>
      </c>
      <c r="S625">
        <v>120</v>
      </c>
      <c r="T625">
        <v>120</v>
      </c>
      <c r="U625">
        <v>120</v>
      </c>
      <c r="V625">
        <v>120</v>
      </c>
      <c r="W625">
        <v>120</v>
      </c>
      <c r="X625">
        <v>120</v>
      </c>
      <c r="Y625">
        <f t="shared" si="270"/>
        <v>227</v>
      </c>
      <c r="Z625">
        <f t="shared" si="271"/>
        <v>227</v>
      </c>
      <c r="AA625">
        <f t="shared" si="272"/>
        <v>195</v>
      </c>
      <c r="AB625">
        <f t="shared" si="273"/>
        <v>195</v>
      </c>
      <c r="AC625">
        <f t="shared" si="274"/>
        <v>180</v>
      </c>
      <c r="AD625">
        <f t="shared" si="275"/>
        <v>189</v>
      </c>
      <c r="AE625">
        <f t="shared" si="276"/>
        <v>172</v>
      </c>
      <c r="AF625">
        <f t="shared" si="277"/>
        <v>140</v>
      </c>
      <c r="AG625">
        <f t="shared" si="278"/>
        <v>126</v>
      </c>
      <c r="AH625">
        <f t="shared" si="279"/>
        <v>112</v>
      </c>
      <c r="AI625">
        <f t="shared" si="280"/>
        <v>189</v>
      </c>
      <c r="AJ625">
        <f t="shared" si="281"/>
        <v>172</v>
      </c>
      <c r="AK625">
        <f t="shared" si="282"/>
        <v>140</v>
      </c>
      <c r="AL625">
        <f t="shared" si="283"/>
        <v>126</v>
      </c>
      <c r="AM625">
        <f t="shared" si="284"/>
        <v>112</v>
      </c>
      <c r="AN625">
        <f t="shared" si="285"/>
        <v>189</v>
      </c>
      <c r="AO625">
        <f t="shared" si="286"/>
        <v>172</v>
      </c>
      <c r="AP625">
        <f t="shared" si="287"/>
        <v>140</v>
      </c>
      <c r="AQ625">
        <f t="shared" si="288"/>
        <v>126</v>
      </c>
      <c r="AR625">
        <f t="shared" si="289"/>
        <v>112</v>
      </c>
      <c r="AS625">
        <f t="shared" si="290"/>
        <v>189</v>
      </c>
      <c r="AT625">
        <f t="shared" si="291"/>
        <v>172</v>
      </c>
      <c r="AU625">
        <f t="shared" si="292"/>
        <v>140</v>
      </c>
      <c r="AV625">
        <f t="shared" si="293"/>
        <v>126</v>
      </c>
      <c r="AW625">
        <f t="shared" si="294"/>
        <v>112</v>
      </c>
      <c r="AX625">
        <f t="shared" si="295"/>
        <v>189</v>
      </c>
      <c r="AY625">
        <f t="shared" si="296"/>
        <v>172</v>
      </c>
      <c r="AZ625">
        <f t="shared" si="297"/>
        <v>140</v>
      </c>
      <c r="BA625">
        <f t="shared" si="298"/>
        <v>126</v>
      </c>
      <c r="BB625">
        <f t="shared" si="299"/>
        <v>112</v>
      </c>
    </row>
    <row r="626" spans="1:54" x14ac:dyDescent="0.15">
      <c r="A626">
        <v>422</v>
      </c>
      <c r="B626" t="s">
        <v>4702</v>
      </c>
      <c r="C626">
        <v>493</v>
      </c>
      <c r="D626">
        <v>2</v>
      </c>
      <c r="E626" t="s">
        <v>2255</v>
      </c>
      <c r="F626" t="s">
        <v>2262</v>
      </c>
      <c r="G626" t="s">
        <v>4719</v>
      </c>
      <c r="H626" t="s">
        <v>2263</v>
      </c>
      <c r="J626" t="s">
        <v>2258</v>
      </c>
      <c r="K626">
        <v>320</v>
      </c>
      <c r="L626">
        <v>3.2</v>
      </c>
      <c r="M626" t="s">
        <v>57</v>
      </c>
      <c r="O626" t="s">
        <v>2259</v>
      </c>
      <c r="R626">
        <v>9</v>
      </c>
      <c r="S626">
        <v>120</v>
      </c>
      <c r="T626">
        <v>120</v>
      </c>
      <c r="U626">
        <v>120</v>
      </c>
      <c r="V626">
        <v>120</v>
      </c>
      <c r="W626">
        <v>120</v>
      </c>
      <c r="X626">
        <v>120</v>
      </c>
      <c r="Y626">
        <f t="shared" si="270"/>
        <v>227</v>
      </c>
      <c r="Z626">
        <f t="shared" si="271"/>
        <v>227</v>
      </c>
      <c r="AA626">
        <f t="shared" si="272"/>
        <v>195</v>
      </c>
      <c r="AB626">
        <f t="shared" si="273"/>
        <v>195</v>
      </c>
      <c r="AC626">
        <f t="shared" si="274"/>
        <v>180</v>
      </c>
      <c r="AD626">
        <f t="shared" si="275"/>
        <v>189</v>
      </c>
      <c r="AE626">
        <f t="shared" si="276"/>
        <v>172</v>
      </c>
      <c r="AF626">
        <f t="shared" si="277"/>
        <v>140</v>
      </c>
      <c r="AG626">
        <f t="shared" si="278"/>
        <v>126</v>
      </c>
      <c r="AH626">
        <f t="shared" si="279"/>
        <v>112</v>
      </c>
      <c r="AI626">
        <f t="shared" si="280"/>
        <v>189</v>
      </c>
      <c r="AJ626">
        <f t="shared" si="281"/>
        <v>172</v>
      </c>
      <c r="AK626">
        <f t="shared" si="282"/>
        <v>140</v>
      </c>
      <c r="AL626">
        <f t="shared" si="283"/>
        <v>126</v>
      </c>
      <c r="AM626">
        <f t="shared" si="284"/>
        <v>112</v>
      </c>
      <c r="AN626">
        <f t="shared" si="285"/>
        <v>189</v>
      </c>
      <c r="AO626">
        <f t="shared" si="286"/>
        <v>172</v>
      </c>
      <c r="AP626">
        <f t="shared" si="287"/>
        <v>140</v>
      </c>
      <c r="AQ626">
        <f t="shared" si="288"/>
        <v>126</v>
      </c>
      <c r="AR626">
        <f t="shared" si="289"/>
        <v>112</v>
      </c>
      <c r="AS626">
        <f t="shared" si="290"/>
        <v>189</v>
      </c>
      <c r="AT626">
        <f t="shared" si="291"/>
        <v>172</v>
      </c>
      <c r="AU626">
        <f t="shared" si="292"/>
        <v>140</v>
      </c>
      <c r="AV626">
        <f t="shared" si="293"/>
        <v>126</v>
      </c>
      <c r="AW626">
        <f t="shared" si="294"/>
        <v>112</v>
      </c>
      <c r="AX626">
        <f t="shared" si="295"/>
        <v>189</v>
      </c>
      <c r="AY626">
        <f t="shared" si="296"/>
        <v>172</v>
      </c>
      <c r="AZ626">
        <f t="shared" si="297"/>
        <v>140</v>
      </c>
      <c r="BA626">
        <f t="shared" si="298"/>
        <v>126</v>
      </c>
      <c r="BB626">
        <f t="shared" si="299"/>
        <v>112</v>
      </c>
    </row>
    <row r="627" spans="1:54" x14ac:dyDescent="0.15">
      <c r="A627">
        <v>423</v>
      </c>
      <c r="B627" t="s">
        <v>4703</v>
      </c>
      <c r="C627">
        <v>493</v>
      </c>
      <c r="D627">
        <v>3</v>
      </c>
      <c r="E627" t="s">
        <v>2255</v>
      </c>
      <c r="F627" t="s">
        <v>2264</v>
      </c>
      <c r="G627" t="s">
        <v>4720</v>
      </c>
      <c r="H627" t="s">
        <v>2265</v>
      </c>
      <c r="J627" t="s">
        <v>2258</v>
      </c>
      <c r="K627">
        <v>320</v>
      </c>
      <c r="L627">
        <v>3.2</v>
      </c>
      <c r="M627" t="s">
        <v>27</v>
      </c>
      <c r="O627" t="s">
        <v>2259</v>
      </c>
      <c r="R627">
        <v>9</v>
      </c>
      <c r="S627">
        <v>120</v>
      </c>
      <c r="T627">
        <v>120</v>
      </c>
      <c r="U627">
        <v>120</v>
      </c>
      <c r="V627">
        <v>120</v>
      </c>
      <c r="W627">
        <v>120</v>
      </c>
      <c r="X627">
        <v>120</v>
      </c>
      <c r="Y627">
        <f t="shared" si="270"/>
        <v>227</v>
      </c>
      <c r="Z627">
        <f t="shared" si="271"/>
        <v>227</v>
      </c>
      <c r="AA627">
        <f t="shared" si="272"/>
        <v>195</v>
      </c>
      <c r="AB627">
        <f t="shared" si="273"/>
        <v>195</v>
      </c>
      <c r="AC627">
        <f t="shared" si="274"/>
        <v>180</v>
      </c>
      <c r="AD627">
        <f t="shared" si="275"/>
        <v>189</v>
      </c>
      <c r="AE627">
        <f t="shared" si="276"/>
        <v>172</v>
      </c>
      <c r="AF627">
        <f t="shared" si="277"/>
        <v>140</v>
      </c>
      <c r="AG627">
        <f t="shared" si="278"/>
        <v>126</v>
      </c>
      <c r="AH627">
        <f t="shared" si="279"/>
        <v>112</v>
      </c>
      <c r="AI627">
        <f t="shared" si="280"/>
        <v>189</v>
      </c>
      <c r="AJ627">
        <f t="shared" si="281"/>
        <v>172</v>
      </c>
      <c r="AK627">
        <f t="shared" si="282"/>
        <v>140</v>
      </c>
      <c r="AL627">
        <f t="shared" si="283"/>
        <v>126</v>
      </c>
      <c r="AM627">
        <f t="shared" si="284"/>
        <v>112</v>
      </c>
      <c r="AN627">
        <f t="shared" si="285"/>
        <v>189</v>
      </c>
      <c r="AO627">
        <f t="shared" si="286"/>
        <v>172</v>
      </c>
      <c r="AP627">
        <f t="shared" si="287"/>
        <v>140</v>
      </c>
      <c r="AQ627">
        <f t="shared" si="288"/>
        <v>126</v>
      </c>
      <c r="AR627">
        <f t="shared" si="289"/>
        <v>112</v>
      </c>
      <c r="AS627">
        <f t="shared" si="290"/>
        <v>189</v>
      </c>
      <c r="AT627">
        <f t="shared" si="291"/>
        <v>172</v>
      </c>
      <c r="AU627">
        <f t="shared" si="292"/>
        <v>140</v>
      </c>
      <c r="AV627">
        <f t="shared" si="293"/>
        <v>126</v>
      </c>
      <c r="AW627">
        <f t="shared" si="294"/>
        <v>112</v>
      </c>
      <c r="AX627">
        <f t="shared" si="295"/>
        <v>189</v>
      </c>
      <c r="AY627">
        <f t="shared" si="296"/>
        <v>172</v>
      </c>
      <c r="AZ627">
        <f t="shared" si="297"/>
        <v>140</v>
      </c>
      <c r="BA627">
        <f t="shared" si="298"/>
        <v>126</v>
      </c>
      <c r="BB627">
        <f t="shared" si="299"/>
        <v>112</v>
      </c>
    </row>
    <row r="628" spans="1:54" x14ac:dyDescent="0.15">
      <c r="A628">
        <v>424</v>
      </c>
      <c r="B628" t="s">
        <v>4704</v>
      </c>
      <c r="C628">
        <v>493</v>
      </c>
      <c r="D628">
        <v>4</v>
      </c>
      <c r="E628" t="s">
        <v>2255</v>
      </c>
      <c r="F628" t="s">
        <v>2266</v>
      </c>
      <c r="G628" t="s">
        <v>4721</v>
      </c>
      <c r="H628" t="s">
        <v>2267</v>
      </c>
      <c r="J628" t="s">
        <v>2258</v>
      </c>
      <c r="K628">
        <v>320</v>
      </c>
      <c r="L628">
        <v>3.2</v>
      </c>
      <c r="M628" t="s">
        <v>196</v>
      </c>
      <c r="O628" t="s">
        <v>2259</v>
      </c>
      <c r="R628">
        <v>9</v>
      </c>
      <c r="S628">
        <v>120</v>
      </c>
      <c r="T628">
        <v>120</v>
      </c>
      <c r="U628">
        <v>120</v>
      </c>
      <c r="V628">
        <v>120</v>
      </c>
      <c r="W628">
        <v>120</v>
      </c>
      <c r="X628">
        <v>120</v>
      </c>
      <c r="Y628">
        <f t="shared" si="270"/>
        <v>227</v>
      </c>
      <c r="Z628">
        <f t="shared" si="271"/>
        <v>227</v>
      </c>
      <c r="AA628">
        <f t="shared" si="272"/>
        <v>195</v>
      </c>
      <c r="AB628">
        <f t="shared" si="273"/>
        <v>195</v>
      </c>
      <c r="AC628">
        <f t="shared" si="274"/>
        <v>180</v>
      </c>
      <c r="AD628">
        <f t="shared" si="275"/>
        <v>189</v>
      </c>
      <c r="AE628">
        <f t="shared" si="276"/>
        <v>172</v>
      </c>
      <c r="AF628">
        <f t="shared" si="277"/>
        <v>140</v>
      </c>
      <c r="AG628">
        <f t="shared" si="278"/>
        <v>126</v>
      </c>
      <c r="AH628">
        <f t="shared" si="279"/>
        <v>112</v>
      </c>
      <c r="AI628">
        <f t="shared" si="280"/>
        <v>189</v>
      </c>
      <c r="AJ628">
        <f t="shared" si="281"/>
        <v>172</v>
      </c>
      <c r="AK628">
        <f t="shared" si="282"/>
        <v>140</v>
      </c>
      <c r="AL628">
        <f t="shared" si="283"/>
        <v>126</v>
      </c>
      <c r="AM628">
        <f t="shared" si="284"/>
        <v>112</v>
      </c>
      <c r="AN628">
        <f t="shared" si="285"/>
        <v>189</v>
      </c>
      <c r="AO628">
        <f t="shared" si="286"/>
        <v>172</v>
      </c>
      <c r="AP628">
        <f t="shared" si="287"/>
        <v>140</v>
      </c>
      <c r="AQ628">
        <f t="shared" si="288"/>
        <v>126</v>
      </c>
      <c r="AR628">
        <f t="shared" si="289"/>
        <v>112</v>
      </c>
      <c r="AS628">
        <f t="shared" si="290"/>
        <v>189</v>
      </c>
      <c r="AT628">
        <f t="shared" si="291"/>
        <v>172</v>
      </c>
      <c r="AU628">
        <f t="shared" si="292"/>
        <v>140</v>
      </c>
      <c r="AV628">
        <f t="shared" si="293"/>
        <v>126</v>
      </c>
      <c r="AW628">
        <f t="shared" si="294"/>
        <v>112</v>
      </c>
      <c r="AX628">
        <f t="shared" si="295"/>
        <v>189</v>
      </c>
      <c r="AY628">
        <f t="shared" si="296"/>
        <v>172</v>
      </c>
      <c r="AZ628">
        <f t="shared" si="297"/>
        <v>140</v>
      </c>
      <c r="BA628">
        <f t="shared" si="298"/>
        <v>126</v>
      </c>
      <c r="BB628">
        <f t="shared" si="299"/>
        <v>112</v>
      </c>
    </row>
    <row r="629" spans="1:54" x14ac:dyDescent="0.15">
      <c r="A629">
        <v>425</v>
      </c>
      <c r="B629" t="s">
        <v>4705</v>
      </c>
      <c r="C629">
        <v>493</v>
      </c>
      <c r="D629">
        <v>5</v>
      </c>
      <c r="E629" t="s">
        <v>2255</v>
      </c>
      <c r="F629" t="s">
        <v>2268</v>
      </c>
      <c r="G629" t="s">
        <v>4722</v>
      </c>
      <c r="H629" t="s">
        <v>2269</v>
      </c>
      <c r="J629" t="s">
        <v>2258</v>
      </c>
      <c r="K629">
        <v>320</v>
      </c>
      <c r="L629">
        <v>3.2</v>
      </c>
      <c r="M629" t="s">
        <v>371</v>
      </c>
      <c r="O629" t="s">
        <v>2259</v>
      </c>
      <c r="R629">
        <v>9</v>
      </c>
      <c r="S629">
        <v>120</v>
      </c>
      <c r="T629">
        <v>120</v>
      </c>
      <c r="U629">
        <v>120</v>
      </c>
      <c r="V629">
        <v>120</v>
      </c>
      <c r="W629">
        <v>120</v>
      </c>
      <c r="X629">
        <v>120</v>
      </c>
      <c r="Y629">
        <f t="shared" si="270"/>
        <v>227</v>
      </c>
      <c r="Z629">
        <f t="shared" si="271"/>
        <v>227</v>
      </c>
      <c r="AA629">
        <f t="shared" si="272"/>
        <v>195</v>
      </c>
      <c r="AB629">
        <f t="shared" si="273"/>
        <v>195</v>
      </c>
      <c r="AC629">
        <f t="shared" si="274"/>
        <v>180</v>
      </c>
      <c r="AD629">
        <f t="shared" si="275"/>
        <v>189</v>
      </c>
      <c r="AE629">
        <f t="shared" si="276"/>
        <v>172</v>
      </c>
      <c r="AF629">
        <f t="shared" si="277"/>
        <v>140</v>
      </c>
      <c r="AG629">
        <f t="shared" si="278"/>
        <v>126</v>
      </c>
      <c r="AH629">
        <f t="shared" si="279"/>
        <v>112</v>
      </c>
      <c r="AI629">
        <f t="shared" si="280"/>
        <v>189</v>
      </c>
      <c r="AJ629">
        <f t="shared" si="281"/>
        <v>172</v>
      </c>
      <c r="AK629">
        <f t="shared" si="282"/>
        <v>140</v>
      </c>
      <c r="AL629">
        <f t="shared" si="283"/>
        <v>126</v>
      </c>
      <c r="AM629">
        <f t="shared" si="284"/>
        <v>112</v>
      </c>
      <c r="AN629">
        <f t="shared" si="285"/>
        <v>189</v>
      </c>
      <c r="AO629">
        <f t="shared" si="286"/>
        <v>172</v>
      </c>
      <c r="AP629">
        <f t="shared" si="287"/>
        <v>140</v>
      </c>
      <c r="AQ629">
        <f t="shared" si="288"/>
        <v>126</v>
      </c>
      <c r="AR629">
        <f t="shared" si="289"/>
        <v>112</v>
      </c>
      <c r="AS629">
        <f t="shared" si="290"/>
        <v>189</v>
      </c>
      <c r="AT629">
        <f t="shared" si="291"/>
        <v>172</v>
      </c>
      <c r="AU629">
        <f t="shared" si="292"/>
        <v>140</v>
      </c>
      <c r="AV629">
        <f t="shared" si="293"/>
        <v>126</v>
      </c>
      <c r="AW629">
        <f t="shared" si="294"/>
        <v>112</v>
      </c>
      <c r="AX629">
        <f t="shared" si="295"/>
        <v>189</v>
      </c>
      <c r="AY629">
        <f t="shared" si="296"/>
        <v>172</v>
      </c>
      <c r="AZ629">
        <f t="shared" si="297"/>
        <v>140</v>
      </c>
      <c r="BA629">
        <f t="shared" si="298"/>
        <v>126</v>
      </c>
      <c r="BB629">
        <f t="shared" si="299"/>
        <v>112</v>
      </c>
    </row>
    <row r="630" spans="1:54" x14ac:dyDescent="0.15">
      <c r="A630">
        <v>426</v>
      </c>
      <c r="B630" t="s">
        <v>4706</v>
      </c>
      <c r="C630">
        <v>493</v>
      </c>
      <c r="D630">
        <v>6</v>
      </c>
      <c r="E630" t="s">
        <v>2255</v>
      </c>
      <c r="F630" t="s">
        <v>2270</v>
      </c>
      <c r="G630" t="s">
        <v>4723</v>
      </c>
      <c r="H630" t="s">
        <v>2271</v>
      </c>
      <c r="J630" t="s">
        <v>2258</v>
      </c>
      <c r="K630">
        <v>320</v>
      </c>
      <c r="L630">
        <v>3.2</v>
      </c>
      <c r="M630" t="s">
        <v>90</v>
      </c>
      <c r="O630" t="s">
        <v>2259</v>
      </c>
      <c r="R630">
        <v>9</v>
      </c>
      <c r="S630">
        <v>120</v>
      </c>
      <c r="T630">
        <v>120</v>
      </c>
      <c r="U630">
        <v>120</v>
      </c>
      <c r="V630">
        <v>120</v>
      </c>
      <c r="W630">
        <v>120</v>
      </c>
      <c r="X630">
        <v>120</v>
      </c>
      <c r="Y630">
        <f t="shared" si="270"/>
        <v>227</v>
      </c>
      <c r="Z630">
        <f t="shared" si="271"/>
        <v>227</v>
      </c>
      <c r="AA630">
        <f t="shared" si="272"/>
        <v>195</v>
      </c>
      <c r="AB630">
        <f t="shared" si="273"/>
        <v>195</v>
      </c>
      <c r="AC630">
        <f t="shared" si="274"/>
        <v>180</v>
      </c>
      <c r="AD630">
        <f t="shared" si="275"/>
        <v>189</v>
      </c>
      <c r="AE630">
        <f t="shared" si="276"/>
        <v>172</v>
      </c>
      <c r="AF630">
        <f t="shared" si="277"/>
        <v>140</v>
      </c>
      <c r="AG630">
        <f t="shared" si="278"/>
        <v>126</v>
      </c>
      <c r="AH630">
        <f t="shared" si="279"/>
        <v>112</v>
      </c>
      <c r="AI630">
        <f t="shared" si="280"/>
        <v>189</v>
      </c>
      <c r="AJ630">
        <f t="shared" si="281"/>
        <v>172</v>
      </c>
      <c r="AK630">
        <f t="shared" si="282"/>
        <v>140</v>
      </c>
      <c r="AL630">
        <f t="shared" si="283"/>
        <v>126</v>
      </c>
      <c r="AM630">
        <f t="shared" si="284"/>
        <v>112</v>
      </c>
      <c r="AN630">
        <f t="shared" si="285"/>
        <v>189</v>
      </c>
      <c r="AO630">
        <f t="shared" si="286"/>
        <v>172</v>
      </c>
      <c r="AP630">
        <f t="shared" si="287"/>
        <v>140</v>
      </c>
      <c r="AQ630">
        <f t="shared" si="288"/>
        <v>126</v>
      </c>
      <c r="AR630">
        <f t="shared" si="289"/>
        <v>112</v>
      </c>
      <c r="AS630">
        <f t="shared" si="290"/>
        <v>189</v>
      </c>
      <c r="AT630">
        <f t="shared" si="291"/>
        <v>172</v>
      </c>
      <c r="AU630">
        <f t="shared" si="292"/>
        <v>140</v>
      </c>
      <c r="AV630">
        <f t="shared" si="293"/>
        <v>126</v>
      </c>
      <c r="AW630">
        <f t="shared" si="294"/>
        <v>112</v>
      </c>
      <c r="AX630">
        <f t="shared" si="295"/>
        <v>189</v>
      </c>
      <c r="AY630">
        <f t="shared" si="296"/>
        <v>172</v>
      </c>
      <c r="AZ630">
        <f t="shared" si="297"/>
        <v>140</v>
      </c>
      <c r="BA630">
        <f t="shared" si="298"/>
        <v>126</v>
      </c>
      <c r="BB630">
        <f t="shared" si="299"/>
        <v>112</v>
      </c>
    </row>
    <row r="631" spans="1:54" x14ac:dyDescent="0.15">
      <c r="A631">
        <v>427</v>
      </c>
      <c r="B631" t="s">
        <v>4707</v>
      </c>
      <c r="C631">
        <v>493</v>
      </c>
      <c r="D631">
        <v>7</v>
      </c>
      <c r="E631" t="s">
        <v>2255</v>
      </c>
      <c r="F631" t="s">
        <v>2272</v>
      </c>
      <c r="G631" t="s">
        <v>4724</v>
      </c>
      <c r="H631" t="s">
        <v>2273</v>
      </c>
      <c r="J631" t="s">
        <v>2258</v>
      </c>
      <c r="K631">
        <v>320</v>
      </c>
      <c r="L631">
        <v>3.2</v>
      </c>
      <c r="M631" t="s">
        <v>546</v>
      </c>
      <c r="O631" t="s">
        <v>2259</v>
      </c>
      <c r="R631">
        <v>9</v>
      </c>
      <c r="S631">
        <v>120</v>
      </c>
      <c r="T631">
        <v>120</v>
      </c>
      <c r="U631">
        <v>120</v>
      </c>
      <c r="V631">
        <v>120</v>
      </c>
      <c r="W631">
        <v>120</v>
      </c>
      <c r="X631">
        <v>120</v>
      </c>
      <c r="Y631">
        <f t="shared" si="270"/>
        <v>227</v>
      </c>
      <c r="Z631">
        <f t="shared" si="271"/>
        <v>227</v>
      </c>
      <c r="AA631">
        <f t="shared" si="272"/>
        <v>195</v>
      </c>
      <c r="AB631">
        <f t="shared" si="273"/>
        <v>195</v>
      </c>
      <c r="AC631">
        <f t="shared" si="274"/>
        <v>180</v>
      </c>
      <c r="AD631">
        <f t="shared" si="275"/>
        <v>189</v>
      </c>
      <c r="AE631">
        <f t="shared" si="276"/>
        <v>172</v>
      </c>
      <c r="AF631">
        <f t="shared" si="277"/>
        <v>140</v>
      </c>
      <c r="AG631">
        <f t="shared" si="278"/>
        <v>126</v>
      </c>
      <c r="AH631">
        <f t="shared" si="279"/>
        <v>112</v>
      </c>
      <c r="AI631">
        <f t="shared" si="280"/>
        <v>189</v>
      </c>
      <c r="AJ631">
        <f t="shared" si="281"/>
        <v>172</v>
      </c>
      <c r="AK631">
        <f t="shared" si="282"/>
        <v>140</v>
      </c>
      <c r="AL631">
        <f t="shared" si="283"/>
        <v>126</v>
      </c>
      <c r="AM631">
        <f t="shared" si="284"/>
        <v>112</v>
      </c>
      <c r="AN631">
        <f t="shared" si="285"/>
        <v>189</v>
      </c>
      <c r="AO631">
        <f t="shared" si="286"/>
        <v>172</v>
      </c>
      <c r="AP631">
        <f t="shared" si="287"/>
        <v>140</v>
      </c>
      <c r="AQ631">
        <f t="shared" si="288"/>
        <v>126</v>
      </c>
      <c r="AR631">
        <f t="shared" si="289"/>
        <v>112</v>
      </c>
      <c r="AS631">
        <f t="shared" si="290"/>
        <v>189</v>
      </c>
      <c r="AT631">
        <f t="shared" si="291"/>
        <v>172</v>
      </c>
      <c r="AU631">
        <f t="shared" si="292"/>
        <v>140</v>
      </c>
      <c r="AV631">
        <f t="shared" si="293"/>
        <v>126</v>
      </c>
      <c r="AW631">
        <f t="shared" si="294"/>
        <v>112</v>
      </c>
      <c r="AX631">
        <f t="shared" si="295"/>
        <v>189</v>
      </c>
      <c r="AY631">
        <f t="shared" si="296"/>
        <v>172</v>
      </c>
      <c r="AZ631">
        <f t="shared" si="297"/>
        <v>140</v>
      </c>
      <c r="BA631">
        <f t="shared" si="298"/>
        <v>126</v>
      </c>
      <c r="BB631">
        <f t="shared" si="299"/>
        <v>112</v>
      </c>
    </row>
    <row r="632" spans="1:54" x14ac:dyDescent="0.15">
      <c r="A632">
        <v>428</v>
      </c>
      <c r="B632" t="s">
        <v>4708</v>
      </c>
      <c r="C632">
        <v>493</v>
      </c>
      <c r="D632">
        <v>8</v>
      </c>
      <c r="E632" t="s">
        <v>2255</v>
      </c>
      <c r="F632" t="s">
        <v>2274</v>
      </c>
      <c r="G632" t="s">
        <v>4725</v>
      </c>
      <c r="H632" t="s">
        <v>2275</v>
      </c>
      <c r="J632" t="s">
        <v>2258</v>
      </c>
      <c r="K632">
        <v>320</v>
      </c>
      <c r="L632">
        <v>3.2</v>
      </c>
      <c r="M632" t="s">
        <v>203</v>
      </c>
      <c r="O632" t="s">
        <v>2259</v>
      </c>
      <c r="R632">
        <v>9</v>
      </c>
      <c r="S632">
        <v>120</v>
      </c>
      <c r="T632">
        <v>120</v>
      </c>
      <c r="U632">
        <v>120</v>
      </c>
      <c r="V632">
        <v>120</v>
      </c>
      <c r="W632">
        <v>120</v>
      </c>
      <c r="X632">
        <v>120</v>
      </c>
      <c r="Y632">
        <f t="shared" si="270"/>
        <v>227</v>
      </c>
      <c r="Z632">
        <f t="shared" si="271"/>
        <v>227</v>
      </c>
      <c r="AA632">
        <f t="shared" si="272"/>
        <v>195</v>
      </c>
      <c r="AB632">
        <f t="shared" si="273"/>
        <v>195</v>
      </c>
      <c r="AC632">
        <f t="shared" si="274"/>
        <v>180</v>
      </c>
      <c r="AD632">
        <f t="shared" si="275"/>
        <v>189</v>
      </c>
      <c r="AE632">
        <f t="shared" si="276"/>
        <v>172</v>
      </c>
      <c r="AF632">
        <f t="shared" si="277"/>
        <v>140</v>
      </c>
      <c r="AG632">
        <f t="shared" si="278"/>
        <v>126</v>
      </c>
      <c r="AH632">
        <f t="shared" si="279"/>
        <v>112</v>
      </c>
      <c r="AI632">
        <f t="shared" si="280"/>
        <v>189</v>
      </c>
      <c r="AJ632">
        <f t="shared" si="281"/>
        <v>172</v>
      </c>
      <c r="AK632">
        <f t="shared" si="282"/>
        <v>140</v>
      </c>
      <c r="AL632">
        <f t="shared" si="283"/>
        <v>126</v>
      </c>
      <c r="AM632">
        <f t="shared" si="284"/>
        <v>112</v>
      </c>
      <c r="AN632">
        <f t="shared" si="285"/>
        <v>189</v>
      </c>
      <c r="AO632">
        <f t="shared" si="286"/>
        <v>172</v>
      </c>
      <c r="AP632">
        <f t="shared" si="287"/>
        <v>140</v>
      </c>
      <c r="AQ632">
        <f t="shared" si="288"/>
        <v>126</v>
      </c>
      <c r="AR632">
        <f t="shared" si="289"/>
        <v>112</v>
      </c>
      <c r="AS632">
        <f t="shared" si="290"/>
        <v>189</v>
      </c>
      <c r="AT632">
        <f t="shared" si="291"/>
        <v>172</v>
      </c>
      <c r="AU632">
        <f t="shared" si="292"/>
        <v>140</v>
      </c>
      <c r="AV632">
        <f t="shared" si="293"/>
        <v>126</v>
      </c>
      <c r="AW632">
        <f t="shared" si="294"/>
        <v>112</v>
      </c>
      <c r="AX632">
        <f t="shared" si="295"/>
        <v>189</v>
      </c>
      <c r="AY632">
        <f t="shared" si="296"/>
        <v>172</v>
      </c>
      <c r="AZ632">
        <f t="shared" si="297"/>
        <v>140</v>
      </c>
      <c r="BA632">
        <f t="shared" si="298"/>
        <v>126</v>
      </c>
      <c r="BB632">
        <f t="shared" si="299"/>
        <v>112</v>
      </c>
    </row>
    <row r="633" spans="1:54" x14ac:dyDescent="0.15">
      <c r="A633">
        <v>429</v>
      </c>
      <c r="B633" t="s">
        <v>4709</v>
      </c>
      <c r="C633">
        <v>493</v>
      </c>
      <c r="D633">
        <v>9</v>
      </c>
      <c r="E633" t="s">
        <v>2255</v>
      </c>
      <c r="F633" t="s">
        <v>2276</v>
      </c>
      <c r="G633" t="s">
        <v>4726</v>
      </c>
      <c r="H633" t="s">
        <v>2277</v>
      </c>
      <c r="J633" t="s">
        <v>2258</v>
      </c>
      <c r="K633">
        <v>320</v>
      </c>
      <c r="L633">
        <v>3.2</v>
      </c>
      <c r="M633" t="s">
        <v>47</v>
      </c>
      <c r="O633" t="s">
        <v>2259</v>
      </c>
      <c r="R633">
        <v>9</v>
      </c>
      <c r="S633">
        <v>120</v>
      </c>
      <c r="T633">
        <v>120</v>
      </c>
      <c r="U633">
        <v>120</v>
      </c>
      <c r="V633">
        <v>120</v>
      </c>
      <c r="W633">
        <v>120</v>
      </c>
      <c r="X633">
        <v>120</v>
      </c>
      <c r="Y633">
        <f t="shared" si="270"/>
        <v>227</v>
      </c>
      <c r="Z633">
        <f t="shared" si="271"/>
        <v>227</v>
      </c>
      <c r="AA633">
        <f t="shared" si="272"/>
        <v>195</v>
      </c>
      <c r="AB633">
        <f t="shared" si="273"/>
        <v>195</v>
      </c>
      <c r="AC633">
        <f t="shared" si="274"/>
        <v>180</v>
      </c>
      <c r="AD633">
        <f t="shared" si="275"/>
        <v>189</v>
      </c>
      <c r="AE633">
        <f t="shared" si="276"/>
        <v>172</v>
      </c>
      <c r="AF633">
        <f t="shared" si="277"/>
        <v>140</v>
      </c>
      <c r="AG633">
        <f t="shared" si="278"/>
        <v>126</v>
      </c>
      <c r="AH633">
        <f t="shared" si="279"/>
        <v>112</v>
      </c>
      <c r="AI633">
        <f t="shared" si="280"/>
        <v>189</v>
      </c>
      <c r="AJ633">
        <f t="shared" si="281"/>
        <v>172</v>
      </c>
      <c r="AK633">
        <f t="shared" si="282"/>
        <v>140</v>
      </c>
      <c r="AL633">
        <f t="shared" si="283"/>
        <v>126</v>
      </c>
      <c r="AM633">
        <f t="shared" si="284"/>
        <v>112</v>
      </c>
      <c r="AN633">
        <f t="shared" si="285"/>
        <v>189</v>
      </c>
      <c r="AO633">
        <f t="shared" si="286"/>
        <v>172</v>
      </c>
      <c r="AP633">
        <f t="shared" si="287"/>
        <v>140</v>
      </c>
      <c r="AQ633">
        <f t="shared" si="288"/>
        <v>126</v>
      </c>
      <c r="AR633">
        <f t="shared" si="289"/>
        <v>112</v>
      </c>
      <c r="AS633">
        <f t="shared" si="290"/>
        <v>189</v>
      </c>
      <c r="AT633">
        <f t="shared" si="291"/>
        <v>172</v>
      </c>
      <c r="AU633">
        <f t="shared" si="292"/>
        <v>140</v>
      </c>
      <c r="AV633">
        <f t="shared" si="293"/>
        <v>126</v>
      </c>
      <c r="AW633">
        <f t="shared" si="294"/>
        <v>112</v>
      </c>
      <c r="AX633">
        <f t="shared" si="295"/>
        <v>189</v>
      </c>
      <c r="AY633">
        <f t="shared" si="296"/>
        <v>172</v>
      </c>
      <c r="AZ633">
        <f t="shared" si="297"/>
        <v>140</v>
      </c>
      <c r="BA633">
        <f t="shared" si="298"/>
        <v>126</v>
      </c>
      <c r="BB633">
        <f t="shared" si="299"/>
        <v>112</v>
      </c>
    </row>
    <row r="634" spans="1:54" x14ac:dyDescent="0.15">
      <c r="A634">
        <v>430</v>
      </c>
      <c r="B634" t="s">
        <v>4710</v>
      </c>
      <c r="C634">
        <v>493</v>
      </c>
      <c r="D634">
        <v>10</v>
      </c>
      <c r="E634" t="s">
        <v>2255</v>
      </c>
      <c r="F634" t="s">
        <v>2278</v>
      </c>
      <c r="G634" t="s">
        <v>4727</v>
      </c>
      <c r="H634" t="s">
        <v>2279</v>
      </c>
      <c r="J634" t="s">
        <v>2258</v>
      </c>
      <c r="K634">
        <v>320</v>
      </c>
      <c r="L634">
        <v>3.2</v>
      </c>
      <c r="M634" t="s">
        <v>71</v>
      </c>
      <c r="O634" t="s">
        <v>2259</v>
      </c>
      <c r="R634">
        <v>9</v>
      </c>
      <c r="S634">
        <v>120</v>
      </c>
      <c r="T634">
        <v>120</v>
      </c>
      <c r="U634">
        <v>120</v>
      </c>
      <c r="V634">
        <v>120</v>
      </c>
      <c r="W634">
        <v>120</v>
      </c>
      <c r="X634">
        <v>120</v>
      </c>
      <c r="Y634">
        <f t="shared" si="270"/>
        <v>227</v>
      </c>
      <c r="Z634">
        <f t="shared" si="271"/>
        <v>227</v>
      </c>
      <c r="AA634">
        <f t="shared" si="272"/>
        <v>195</v>
      </c>
      <c r="AB634">
        <f t="shared" si="273"/>
        <v>195</v>
      </c>
      <c r="AC634">
        <f t="shared" si="274"/>
        <v>180</v>
      </c>
      <c r="AD634">
        <f t="shared" si="275"/>
        <v>189</v>
      </c>
      <c r="AE634">
        <f t="shared" si="276"/>
        <v>172</v>
      </c>
      <c r="AF634">
        <f t="shared" si="277"/>
        <v>140</v>
      </c>
      <c r="AG634">
        <f t="shared" si="278"/>
        <v>126</v>
      </c>
      <c r="AH634">
        <f t="shared" si="279"/>
        <v>112</v>
      </c>
      <c r="AI634">
        <f t="shared" si="280"/>
        <v>189</v>
      </c>
      <c r="AJ634">
        <f t="shared" si="281"/>
        <v>172</v>
      </c>
      <c r="AK634">
        <f t="shared" si="282"/>
        <v>140</v>
      </c>
      <c r="AL634">
        <f t="shared" si="283"/>
        <v>126</v>
      </c>
      <c r="AM634">
        <f t="shared" si="284"/>
        <v>112</v>
      </c>
      <c r="AN634">
        <f t="shared" si="285"/>
        <v>189</v>
      </c>
      <c r="AO634">
        <f t="shared" si="286"/>
        <v>172</v>
      </c>
      <c r="AP634">
        <f t="shared" si="287"/>
        <v>140</v>
      </c>
      <c r="AQ634">
        <f t="shared" si="288"/>
        <v>126</v>
      </c>
      <c r="AR634">
        <f t="shared" si="289"/>
        <v>112</v>
      </c>
      <c r="AS634">
        <f t="shared" si="290"/>
        <v>189</v>
      </c>
      <c r="AT634">
        <f t="shared" si="291"/>
        <v>172</v>
      </c>
      <c r="AU634">
        <f t="shared" si="292"/>
        <v>140</v>
      </c>
      <c r="AV634">
        <f t="shared" si="293"/>
        <v>126</v>
      </c>
      <c r="AW634">
        <f t="shared" si="294"/>
        <v>112</v>
      </c>
      <c r="AX634">
        <f t="shared" si="295"/>
        <v>189</v>
      </c>
      <c r="AY634">
        <f t="shared" si="296"/>
        <v>172</v>
      </c>
      <c r="AZ634">
        <f t="shared" si="297"/>
        <v>140</v>
      </c>
      <c r="BA634">
        <f t="shared" si="298"/>
        <v>126</v>
      </c>
      <c r="BB634">
        <f t="shared" si="299"/>
        <v>112</v>
      </c>
    </row>
    <row r="635" spans="1:54" x14ac:dyDescent="0.15">
      <c r="A635">
        <v>431</v>
      </c>
      <c r="B635" t="s">
        <v>4711</v>
      </c>
      <c r="C635">
        <v>493</v>
      </c>
      <c r="D635">
        <v>11</v>
      </c>
      <c r="E635" t="s">
        <v>2255</v>
      </c>
      <c r="F635" t="s">
        <v>2280</v>
      </c>
      <c r="G635" t="s">
        <v>4728</v>
      </c>
      <c r="H635" t="s">
        <v>2281</v>
      </c>
      <c r="J635" t="s">
        <v>2258</v>
      </c>
      <c r="K635">
        <v>320</v>
      </c>
      <c r="L635">
        <v>3.2</v>
      </c>
      <c r="M635" t="s">
        <v>26</v>
      </c>
      <c r="O635" t="s">
        <v>2259</v>
      </c>
      <c r="R635">
        <v>9</v>
      </c>
      <c r="S635">
        <v>120</v>
      </c>
      <c r="T635">
        <v>120</v>
      </c>
      <c r="U635">
        <v>120</v>
      </c>
      <c r="V635">
        <v>120</v>
      </c>
      <c r="W635">
        <v>120</v>
      </c>
      <c r="X635">
        <v>120</v>
      </c>
      <c r="Y635">
        <f t="shared" si="270"/>
        <v>227</v>
      </c>
      <c r="Z635">
        <f t="shared" si="271"/>
        <v>227</v>
      </c>
      <c r="AA635">
        <f t="shared" si="272"/>
        <v>195</v>
      </c>
      <c r="AB635">
        <f t="shared" si="273"/>
        <v>195</v>
      </c>
      <c r="AC635">
        <f t="shared" si="274"/>
        <v>180</v>
      </c>
      <c r="AD635">
        <f t="shared" si="275"/>
        <v>189</v>
      </c>
      <c r="AE635">
        <f t="shared" si="276"/>
        <v>172</v>
      </c>
      <c r="AF635">
        <f t="shared" si="277"/>
        <v>140</v>
      </c>
      <c r="AG635">
        <f t="shared" si="278"/>
        <v>126</v>
      </c>
      <c r="AH635">
        <f t="shared" si="279"/>
        <v>112</v>
      </c>
      <c r="AI635">
        <f t="shared" si="280"/>
        <v>189</v>
      </c>
      <c r="AJ635">
        <f t="shared" si="281"/>
        <v>172</v>
      </c>
      <c r="AK635">
        <f t="shared" si="282"/>
        <v>140</v>
      </c>
      <c r="AL635">
        <f t="shared" si="283"/>
        <v>126</v>
      </c>
      <c r="AM635">
        <f t="shared" si="284"/>
        <v>112</v>
      </c>
      <c r="AN635">
        <f t="shared" si="285"/>
        <v>189</v>
      </c>
      <c r="AO635">
        <f t="shared" si="286"/>
        <v>172</v>
      </c>
      <c r="AP635">
        <f t="shared" si="287"/>
        <v>140</v>
      </c>
      <c r="AQ635">
        <f t="shared" si="288"/>
        <v>126</v>
      </c>
      <c r="AR635">
        <f t="shared" si="289"/>
        <v>112</v>
      </c>
      <c r="AS635">
        <f t="shared" si="290"/>
        <v>189</v>
      </c>
      <c r="AT635">
        <f t="shared" si="291"/>
        <v>172</v>
      </c>
      <c r="AU635">
        <f t="shared" si="292"/>
        <v>140</v>
      </c>
      <c r="AV635">
        <f t="shared" si="293"/>
        <v>126</v>
      </c>
      <c r="AW635">
        <f t="shared" si="294"/>
        <v>112</v>
      </c>
      <c r="AX635">
        <f t="shared" si="295"/>
        <v>189</v>
      </c>
      <c r="AY635">
        <f t="shared" si="296"/>
        <v>172</v>
      </c>
      <c r="AZ635">
        <f t="shared" si="297"/>
        <v>140</v>
      </c>
      <c r="BA635">
        <f t="shared" si="298"/>
        <v>126</v>
      </c>
      <c r="BB635">
        <f t="shared" si="299"/>
        <v>112</v>
      </c>
    </row>
    <row r="636" spans="1:54" x14ac:dyDescent="0.15">
      <c r="A636">
        <v>432</v>
      </c>
      <c r="B636" t="s">
        <v>4712</v>
      </c>
      <c r="C636">
        <v>493</v>
      </c>
      <c r="D636">
        <v>12</v>
      </c>
      <c r="E636" t="s">
        <v>2255</v>
      </c>
      <c r="F636" t="s">
        <v>2282</v>
      </c>
      <c r="G636" t="s">
        <v>4729</v>
      </c>
      <c r="H636" t="s">
        <v>2283</v>
      </c>
      <c r="J636" t="s">
        <v>2258</v>
      </c>
      <c r="K636">
        <v>320</v>
      </c>
      <c r="L636">
        <v>3.2</v>
      </c>
      <c r="M636" t="s">
        <v>164</v>
      </c>
      <c r="O636" t="s">
        <v>2259</v>
      </c>
      <c r="R636">
        <v>9</v>
      </c>
      <c r="S636">
        <v>120</v>
      </c>
      <c r="T636">
        <v>120</v>
      </c>
      <c r="U636">
        <v>120</v>
      </c>
      <c r="V636">
        <v>120</v>
      </c>
      <c r="W636">
        <v>120</v>
      </c>
      <c r="X636">
        <v>120</v>
      </c>
      <c r="Y636">
        <f t="shared" si="270"/>
        <v>227</v>
      </c>
      <c r="Z636">
        <f t="shared" si="271"/>
        <v>227</v>
      </c>
      <c r="AA636">
        <f t="shared" si="272"/>
        <v>195</v>
      </c>
      <c r="AB636">
        <f t="shared" si="273"/>
        <v>195</v>
      </c>
      <c r="AC636">
        <f t="shared" si="274"/>
        <v>180</v>
      </c>
      <c r="AD636">
        <f t="shared" si="275"/>
        <v>189</v>
      </c>
      <c r="AE636">
        <f t="shared" si="276"/>
        <v>172</v>
      </c>
      <c r="AF636">
        <f t="shared" si="277"/>
        <v>140</v>
      </c>
      <c r="AG636">
        <f t="shared" si="278"/>
        <v>126</v>
      </c>
      <c r="AH636">
        <f t="shared" si="279"/>
        <v>112</v>
      </c>
      <c r="AI636">
        <f t="shared" si="280"/>
        <v>189</v>
      </c>
      <c r="AJ636">
        <f t="shared" si="281"/>
        <v>172</v>
      </c>
      <c r="AK636">
        <f t="shared" si="282"/>
        <v>140</v>
      </c>
      <c r="AL636">
        <f t="shared" si="283"/>
        <v>126</v>
      </c>
      <c r="AM636">
        <f t="shared" si="284"/>
        <v>112</v>
      </c>
      <c r="AN636">
        <f t="shared" si="285"/>
        <v>189</v>
      </c>
      <c r="AO636">
        <f t="shared" si="286"/>
        <v>172</v>
      </c>
      <c r="AP636">
        <f t="shared" si="287"/>
        <v>140</v>
      </c>
      <c r="AQ636">
        <f t="shared" si="288"/>
        <v>126</v>
      </c>
      <c r="AR636">
        <f t="shared" si="289"/>
        <v>112</v>
      </c>
      <c r="AS636">
        <f t="shared" si="290"/>
        <v>189</v>
      </c>
      <c r="AT636">
        <f t="shared" si="291"/>
        <v>172</v>
      </c>
      <c r="AU636">
        <f t="shared" si="292"/>
        <v>140</v>
      </c>
      <c r="AV636">
        <f t="shared" si="293"/>
        <v>126</v>
      </c>
      <c r="AW636">
        <f t="shared" si="294"/>
        <v>112</v>
      </c>
      <c r="AX636">
        <f t="shared" si="295"/>
        <v>189</v>
      </c>
      <c r="AY636">
        <f t="shared" si="296"/>
        <v>172</v>
      </c>
      <c r="AZ636">
        <f t="shared" si="297"/>
        <v>140</v>
      </c>
      <c r="BA636">
        <f t="shared" si="298"/>
        <v>126</v>
      </c>
      <c r="BB636">
        <f t="shared" si="299"/>
        <v>112</v>
      </c>
    </row>
    <row r="637" spans="1:54" x14ac:dyDescent="0.15">
      <c r="A637">
        <v>433</v>
      </c>
      <c r="B637" t="s">
        <v>4713</v>
      </c>
      <c r="C637">
        <v>493</v>
      </c>
      <c r="D637">
        <v>13</v>
      </c>
      <c r="E637" t="s">
        <v>2255</v>
      </c>
      <c r="F637" t="s">
        <v>2284</v>
      </c>
      <c r="G637" t="s">
        <v>4730</v>
      </c>
      <c r="H637" t="s">
        <v>2285</v>
      </c>
      <c r="J637" t="s">
        <v>2258</v>
      </c>
      <c r="K637">
        <v>320</v>
      </c>
      <c r="L637">
        <v>3.2</v>
      </c>
      <c r="M637" t="s">
        <v>191</v>
      </c>
      <c r="O637" t="s">
        <v>2259</v>
      </c>
      <c r="R637">
        <v>9</v>
      </c>
      <c r="S637">
        <v>120</v>
      </c>
      <c r="T637">
        <v>120</v>
      </c>
      <c r="U637">
        <v>120</v>
      </c>
      <c r="V637">
        <v>120</v>
      </c>
      <c r="W637">
        <v>120</v>
      </c>
      <c r="X637">
        <v>120</v>
      </c>
      <c r="Y637">
        <f t="shared" si="270"/>
        <v>227</v>
      </c>
      <c r="Z637">
        <f t="shared" si="271"/>
        <v>227</v>
      </c>
      <c r="AA637">
        <f t="shared" si="272"/>
        <v>195</v>
      </c>
      <c r="AB637">
        <f t="shared" si="273"/>
        <v>195</v>
      </c>
      <c r="AC637">
        <f t="shared" si="274"/>
        <v>180</v>
      </c>
      <c r="AD637">
        <f t="shared" si="275"/>
        <v>189</v>
      </c>
      <c r="AE637">
        <f t="shared" si="276"/>
        <v>172</v>
      </c>
      <c r="AF637">
        <f t="shared" si="277"/>
        <v>140</v>
      </c>
      <c r="AG637">
        <f t="shared" si="278"/>
        <v>126</v>
      </c>
      <c r="AH637">
        <f t="shared" si="279"/>
        <v>112</v>
      </c>
      <c r="AI637">
        <f t="shared" si="280"/>
        <v>189</v>
      </c>
      <c r="AJ637">
        <f t="shared" si="281"/>
        <v>172</v>
      </c>
      <c r="AK637">
        <f t="shared" si="282"/>
        <v>140</v>
      </c>
      <c r="AL637">
        <f t="shared" si="283"/>
        <v>126</v>
      </c>
      <c r="AM637">
        <f t="shared" si="284"/>
        <v>112</v>
      </c>
      <c r="AN637">
        <f t="shared" si="285"/>
        <v>189</v>
      </c>
      <c r="AO637">
        <f t="shared" si="286"/>
        <v>172</v>
      </c>
      <c r="AP637">
        <f t="shared" si="287"/>
        <v>140</v>
      </c>
      <c r="AQ637">
        <f t="shared" si="288"/>
        <v>126</v>
      </c>
      <c r="AR637">
        <f t="shared" si="289"/>
        <v>112</v>
      </c>
      <c r="AS637">
        <f t="shared" si="290"/>
        <v>189</v>
      </c>
      <c r="AT637">
        <f t="shared" si="291"/>
        <v>172</v>
      </c>
      <c r="AU637">
        <f t="shared" si="292"/>
        <v>140</v>
      </c>
      <c r="AV637">
        <f t="shared" si="293"/>
        <v>126</v>
      </c>
      <c r="AW637">
        <f t="shared" si="294"/>
        <v>112</v>
      </c>
      <c r="AX637">
        <f t="shared" si="295"/>
        <v>189</v>
      </c>
      <c r="AY637">
        <f t="shared" si="296"/>
        <v>172</v>
      </c>
      <c r="AZ637">
        <f t="shared" si="297"/>
        <v>140</v>
      </c>
      <c r="BA637">
        <f t="shared" si="298"/>
        <v>126</v>
      </c>
      <c r="BB637">
        <f t="shared" si="299"/>
        <v>112</v>
      </c>
    </row>
    <row r="638" spans="1:54" x14ac:dyDescent="0.15">
      <c r="A638">
        <v>434</v>
      </c>
      <c r="B638" t="s">
        <v>4714</v>
      </c>
      <c r="C638">
        <v>493</v>
      </c>
      <c r="D638">
        <v>14</v>
      </c>
      <c r="E638" t="s">
        <v>2255</v>
      </c>
      <c r="F638" t="s">
        <v>2286</v>
      </c>
      <c r="G638" t="s">
        <v>4731</v>
      </c>
      <c r="H638" t="s">
        <v>2287</v>
      </c>
      <c r="J638" t="s">
        <v>2258</v>
      </c>
      <c r="K638">
        <v>320</v>
      </c>
      <c r="L638">
        <v>3.2</v>
      </c>
      <c r="M638" t="s">
        <v>202</v>
      </c>
      <c r="O638" t="s">
        <v>2259</v>
      </c>
      <c r="R638">
        <v>9</v>
      </c>
      <c r="S638">
        <v>120</v>
      </c>
      <c r="T638">
        <v>120</v>
      </c>
      <c r="U638">
        <v>120</v>
      </c>
      <c r="V638">
        <v>120</v>
      </c>
      <c r="W638">
        <v>120</v>
      </c>
      <c r="X638">
        <v>120</v>
      </c>
      <c r="Y638">
        <f t="shared" si="270"/>
        <v>227</v>
      </c>
      <c r="Z638">
        <f t="shared" si="271"/>
        <v>227</v>
      </c>
      <c r="AA638">
        <f t="shared" si="272"/>
        <v>195</v>
      </c>
      <c r="AB638">
        <f t="shared" si="273"/>
        <v>195</v>
      </c>
      <c r="AC638">
        <f t="shared" si="274"/>
        <v>180</v>
      </c>
      <c r="AD638">
        <f t="shared" si="275"/>
        <v>189</v>
      </c>
      <c r="AE638">
        <f t="shared" si="276"/>
        <v>172</v>
      </c>
      <c r="AF638">
        <f t="shared" si="277"/>
        <v>140</v>
      </c>
      <c r="AG638">
        <f t="shared" si="278"/>
        <v>126</v>
      </c>
      <c r="AH638">
        <f t="shared" si="279"/>
        <v>112</v>
      </c>
      <c r="AI638">
        <f t="shared" si="280"/>
        <v>189</v>
      </c>
      <c r="AJ638">
        <f t="shared" si="281"/>
        <v>172</v>
      </c>
      <c r="AK638">
        <f t="shared" si="282"/>
        <v>140</v>
      </c>
      <c r="AL638">
        <f t="shared" si="283"/>
        <v>126</v>
      </c>
      <c r="AM638">
        <f t="shared" si="284"/>
        <v>112</v>
      </c>
      <c r="AN638">
        <f t="shared" si="285"/>
        <v>189</v>
      </c>
      <c r="AO638">
        <f t="shared" si="286"/>
        <v>172</v>
      </c>
      <c r="AP638">
        <f t="shared" si="287"/>
        <v>140</v>
      </c>
      <c r="AQ638">
        <f t="shared" si="288"/>
        <v>126</v>
      </c>
      <c r="AR638">
        <f t="shared" si="289"/>
        <v>112</v>
      </c>
      <c r="AS638">
        <f t="shared" si="290"/>
        <v>189</v>
      </c>
      <c r="AT638">
        <f t="shared" si="291"/>
        <v>172</v>
      </c>
      <c r="AU638">
        <f t="shared" si="292"/>
        <v>140</v>
      </c>
      <c r="AV638">
        <f t="shared" si="293"/>
        <v>126</v>
      </c>
      <c r="AW638">
        <f t="shared" si="294"/>
        <v>112</v>
      </c>
      <c r="AX638">
        <f t="shared" si="295"/>
        <v>189</v>
      </c>
      <c r="AY638">
        <f t="shared" si="296"/>
        <v>172</v>
      </c>
      <c r="AZ638">
        <f t="shared" si="297"/>
        <v>140</v>
      </c>
      <c r="BA638">
        <f t="shared" si="298"/>
        <v>126</v>
      </c>
      <c r="BB638">
        <f t="shared" si="299"/>
        <v>112</v>
      </c>
    </row>
    <row r="639" spans="1:54" x14ac:dyDescent="0.15">
      <c r="A639">
        <v>435</v>
      </c>
      <c r="B639" t="s">
        <v>4715</v>
      </c>
      <c r="C639">
        <v>493</v>
      </c>
      <c r="D639">
        <v>15</v>
      </c>
      <c r="E639" t="s">
        <v>2255</v>
      </c>
      <c r="F639" t="s">
        <v>2288</v>
      </c>
      <c r="G639" t="s">
        <v>4732</v>
      </c>
      <c r="H639" t="s">
        <v>2289</v>
      </c>
      <c r="J639" t="s">
        <v>2258</v>
      </c>
      <c r="K639">
        <v>320</v>
      </c>
      <c r="L639">
        <v>3.2</v>
      </c>
      <c r="M639" t="s">
        <v>60</v>
      </c>
      <c r="O639" t="s">
        <v>2259</v>
      </c>
      <c r="R639">
        <v>9</v>
      </c>
      <c r="S639">
        <v>120</v>
      </c>
      <c r="T639">
        <v>120</v>
      </c>
      <c r="U639">
        <v>120</v>
      </c>
      <c r="V639">
        <v>120</v>
      </c>
      <c r="W639">
        <v>120</v>
      </c>
      <c r="X639">
        <v>120</v>
      </c>
      <c r="Y639">
        <f t="shared" si="270"/>
        <v>227</v>
      </c>
      <c r="Z639">
        <f t="shared" si="271"/>
        <v>227</v>
      </c>
      <c r="AA639">
        <f t="shared" si="272"/>
        <v>195</v>
      </c>
      <c r="AB639">
        <f t="shared" si="273"/>
        <v>195</v>
      </c>
      <c r="AC639">
        <f t="shared" si="274"/>
        <v>180</v>
      </c>
      <c r="AD639">
        <f t="shared" si="275"/>
        <v>189</v>
      </c>
      <c r="AE639">
        <f t="shared" si="276"/>
        <v>172</v>
      </c>
      <c r="AF639">
        <f t="shared" si="277"/>
        <v>140</v>
      </c>
      <c r="AG639">
        <f t="shared" si="278"/>
        <v>126</v>
      </c>
      <c r="AH639">
        <f t="shared" si="279"/>
        <v>112</v>
      </c>
      <c r="AI639">
        <f t="shared" si="280"/>
        <v>189</v>
      </c>
      <c r="AJ639">
        <f t="shared" si="281"/>
        <v>172</v>
      </c>
      <c r="AK639">
        <f t="shared" si="282"/>
        <v>140</v>
      </c>
      <c r="AL639">
        <f t="shared" si="283"/>
        <v>126</v>
      </c>
      <c r="AM639">
        <f t="shared" si="284"/>
        <v>112</v>
      </c>
      <c r="AN639">
        <f t="shared" si="285"/>
        <v>189</v>
      </c>
      <c r="AO639">
        <f t="shared" si="286"/>
        <v>172</v>
      </c>
      <c r="AP639">
        <f t="shared" si="287"/>
        <v>140</v>
      </c>
      <c r="AQ639">
        <f t="shared" si="288"/>
        <v>126</v>
      </c>
      <c r="AR639">
        <f t="shared" si="289"/>
        <v>112</v>
      </c>
      <c r="AS639">
        <f t="shared" si="290"/>
        <v>189</v>
      </c>
      <c r="AT639">
        <f t="shared" si="291"/>
        <v>172</v>
      </c>
      <c r="AU639">
        <f t="shared" si="292"/>
        <v>140</v>
      </c>
      <c r="AV639">
        <f t="shared" si="293"/>
        <v>126</v>
      </c>
      <c r="AW639">
        <f t="shared" si="294"/>
        <v>112</v>
      </c>
      <c r="AX639">
        <f t="shared" si="295"/>
        <v>189</v>
      </c>
      <c r="AY639">
        <f t="shared" si="296"/>
        <v>172</v>
      </c>
      <c r="AZ639">
        <f t="shared" si="297"/>
        <v>140</v>
      </c>
      <c r="BA639">
        <f t="shared" si="298"/>
        <v>126</v>
      </c>
      <c r="BB639">
        <f t="shared" si="299"/>
        <v>112</v>
      </c>
    </row>
    <row r="640" spans="1:54" x14ac:dyDescent="0.15">
      <c r="A640">
        <v>436</v>
      </c>
      <c r="B640" t="s">
        <v>4716</v>
      </c>
      <c r="C640">
        <v>493</v>
      </c>
      <c r="D640">
        <v>16</v>
      </c>
      <c r="E640" t="s">
        <v>2255</v>
      </c>
      <c r="F640" t="s">
        <v>2290</v>
      </c>
      <c r="G640" t="s">
        <v>4733</v>
      </c>
      <c r="H640" t="s">
        <v>2291</v>
      </c>
      <c r="J640" t="s">
        <v>2258</v>
      </c>
      <c r="K640">
        <v>320</v>
      </c>
      <c r="L640">
        <v>3.2</v>
      </c>
      <c r="M640" t="s">
        <v>140</v>
      </c>
      <c r="O640" t="s">
        <v>2259</v>
      </c>
      <c r="R640">
        <v>9</v>
      </c>
      <c r="S640">
        <v>120</v>
      </c>
      <c r="T640">
        <v>120</v>
      </c>
      <c r="U640">
        <v>120</v>
      </c>
      <c r="V640">
        <v>120</v>
      </c>
      <c r="W640">
        <v>120</v>
      </c>
      <c r="X640">
        <v>120</v>
      </c>
      <c r="Y640">
        <f t="shared" si="270"/>
        <v>227</v>
      </c>
      <c r="Z640">
        <f t="shared" si="271"/>
        <v>227</v>
      </c>
      <c r="AA640">
        <f t="shared" si="272"/>
        <v>195</v>
      </c>
      <c r="AB640">
        <f t="shared" si="273"/>
        <v>195</v>
      </c>
      <c r="AC640">
        <f t="shared" si="274"/>
        <v>180</v>
      </c>
      <c r="AD640">
        <f t="shared" si="275"/>
        <v>189</v>
      </c>
      <c r="AE640">
        <f t="shared" si="276"/>
        <v>172</v>
      </c>
      <c r="AF640">
        <f t="shared" si="277"/>
        <v>140</v>
      </c>
      <c r="AG640">
        <f t="shared" si="278"/>
        <v>126</v>
      </c>
      <c r="AH640">
        <f t="shared" si="279"/>
        <v>112</v>
      </c>
      <c r="AI640">
        <f t="shared" si="280"/>
        <v>189</v>
      </c>
      <c r="AJ640">
        <f t="shared" si="281"/>
        <v>172</v>
      </c>
      <c r="AK640">
        <f t="shared" si="282"/>
        <v>140</v>
      </c>
      <c r="AL640">
        <f t="shared" si="283"/>
        <v>126</v>
      </c>
      <c r="AM640">
        <f t="shared" si="284"/>
        <v>112</v>
      </c>
      <c r="AN640">
        <f t="shared" si="285"/>
        <v>189</v>
      </c>
      <c r="AO640">
        <f t="shared" si="286"/>
        <v>172</v>
      </c>
      <c r="AP640">
        <f t="shared" si="287"/>
        <v>140</v>
      </c>
      <c r="AQ640">
        <f t="shared" si="288"/>
        <v>126</v>
      </c>
      <c r="AR640">
        <f t="shared" si="289"/>
        <v>112</v>
      </c>
      <c r="AS640">
        <f t="shared" si="290"/>
        <v>189</v>
      </c>
      <c r="AT640">
        <f t="shared" si="291"/>
        <v>172</v>
      </c>
      <c r="AU640">
        <f t="shared" si="292"/>
        <v>140</v>
      </c>
      <c r="AV640">
        <f t="shared" si="293"/>
        <v>126</v>
      </c>
      <c r="AW640">
        <f t="shared" si="294"/>
        <v>112</v>
      </c>
      <c r="AX640">
        <f t="shared" si="295"/>
        <v>189</v>
      </c>
      <c r="AY640">
        <f t="shared" si="296"/>
        <v>172</v>
      </c>
      <c r="AZ640">
        <f t="shared" si="297"/>
        <v>140</v>
      </c>
      <c r="BA640">
        <f t="shared" si="298"/>
        <v>126</v>
      </c>
      <c r="BB640">
        <f t="shared" si="299"/>
        <v>112</v>
      </c>
    </row>
    <row r="641" spans="1:54" x14ac:dyDescent="0.15">
      <c r="A641">
        <v>437</v>
      </c>
      <c r="B641" t="s">
        <v>4717</v>
      </c>
      <c r="C641">
        <v>493</v>
      </c>
      <c r="D641">
        <v>17</v>
      </c>
      <c r="E641" t="s">
        <v>2255</v>
      </c>
      <c r="F641" t="s">
        <v>2292</v>
      </c>
      <c r="G641" t="s">
        <v>4734</v>
      </c>
      <c r="H641" t="s">
        <v>2293</v>
      </c>
      <c r="J641" t="s">
        <v>2258</v>
      </c>
      <c r="K641">
        <v>320</v>
      </c>
      <c r="L641">
        <v>3.2</v>
      </c>
      <c r="M641" t="s">
        <v>233</v>
      </c>
      <c r="O641" t="s">
        <v>2259</v>
      </c>
      <c r="R641">
        <v>9</v>
      </c>
      <c r="S641">
        <v>120</v>
      </c>
      <c r="T641">
        <v>120</v>
      </c>
      <c r="U641">
        <v>120</v>
      </c>
      <c r="V641">
        <v>120</v>
      </c>
      <c r="W641">
        <v>120</v>
      </c>
      <c r="X641">
        <v>120</v>
      </c>
      <c r="Y641">
        <f t="shared" si="270"/>
        <v>227</v>
      </c>
      <c r="Z641">
        <f t="shared" si="271"/>
        <v>227</v>
      </c>
      <c r="AA641">
        <f t="shared" si="272"/>
        <v>195</v>
      </c>
      <c r="AB641">
        <f t="shared" si="273"/>
        <v>195</v>
      </c>
      <c r="AC641">
        <f t="shared" si="274"/>
        <v>180</v>
      </c>
      <c r="AD641">
        <f t="shared" si="275"/>
        <v>189</v>
      </c>
      <c r="AE641">
        <f t="shared" si="276"/>
        <v>172</v>
      </c>
      <c r="AF641">
        <f t="shared" si="277"/>
        <v>140</v>
      </c>
      <c r="AG641">
        <f t="shared" si="278"/>
        <v>126</v>
      </c>
      <c r="AH641">
        <f t="shared" si="279"/>
        <v>112</v>
      </c>
      <c r="AI641">
        <f t="shared" si="280"/>
        <v>189</v>
      </c>
      <c r="AJ641">
        <f t="shared" si="281"/>
        <v>172</v>
      </c>
      <c r="AK641">
        <f t="shared" si="282"/>
        <v>140</v>
      </c>
      <c r="AL641">
        <f t="shared" si="283"/>
        <v>126</v>
      </c>
      <c r="AM641">
        <f t="shared" si="284"/>
        <v>112</v>
      </c>
      <c r="AN641">
        <f t="shared" si="285"/>
        <v>189</v>
      </c>
      <c r="AO641">
        <f t="shared" si="286"/>
        <v>172</v>
      </c>
      <c r="AP641">
        <f t="shared" si="287"/>
        <v>140</v>
      </c>
      <c r="AQ641">
        <f t="shared" si="288"/>
        <v>126</v>
      </c>
      <c r="AR641">
        <f t="shared" si="289"/>
        <v>112</v>
      </c>
      <c r="AS641">
        <f t="shared" si="290"/>
        <v>189</v>
      </c>
      <c r="AT641">
        <f t="shared" si="291"/>
        <v>172</v>
      </c>
      <c r="AU641">
        <f t="shared" si="292"/>
        <v>140</v>
      </c>
      <c r="AV641">
        <f t="shared" si="293"/>
        <v>126</v>
      </c>
      <c r="AW641">
        <f t="shared" si="294"/>
        <v>112</v>
      </c>
      <c r="AX641">
        <f t="shared" si="295"/>
        <v>189</v>
      </c>
      <c r="AY641">
        <f t="shared" si="296"/>
        <v>172</v>
      </c>
      <c r="AZ641">
        <f t="shared" si="297"/>
        <v>140</v>
      </c>
      <c r="BA641">
        <f t="shared" si="298"/>
        <v>126</v>
      </c>
      <c r="BB641">
        <f t="shared" si="299"/>
        <v>112</v>
      </c>
    </row>
    <row r="642" spans="1:54" x14ac:dyDescent="0.15">
      <c r="B642" t="s">
        <v>2294</v>
      </c>
      <c r="C642">
        <v>494</v>
      </c>
      <c r="D642">
        <v>0</v>
      </c>
      <c r="E642" t="s">
        <v>2295</v>
      </c>
      <c r="G642" t="s">
        <v>2295</v>
      </c>
      <c r="J642" t="s">
        <v>2296</v>
      </c>
      <c r="K642">
        <v>4</v>
      </c>
      <c r="L642">
        <v>0.4</v>
      </c>
      <c r="M642" t="s">
        <v>191</v>
      </c>
      <c r="N642" t="s">
        <v>47</v>
      </c>
      <c r="O642" t="s">
        <v>2297</v>
      </c>
      <c r="R642">
        <v>8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f t="shared" ref="Y642:Y705" si="300">IF(S642="", "", S642+107)</f>
        <v>207</v>
      </c>
      <c r="Z642">
        <f t="shared" ref="Z642:Z705" si="301">IF(S642="", "", S642+107)</f>
        <v>207</v>
      </c>
      <c r="AA642">
        <f t="shared" ref="AA642:AA705" si="302">IF(S642="", "", INT(INT(S642*2 + 31)/2) + 60)</f>
        <v>175</v>
      </c>
      <c r="AB642">
        <f t="shared" ref="AB642:AB705" si="303">IF(S642="", "", INT(INT(S642*2 + 31)/2) + 60)</f>
        <v>175</v>
      </c>
      <c r="AC642">
        <f t="shared" ref="AC642:AC705" si="304">IF(S642="", "", S642 + 60)</f>
        <v>160</v>
      </c>
      <c r="AD642">
        <f t="shared" ref="AD642:AD705" si="305">IF(T642="","",INT((T642+52)*1.1))</f>
        <v>167</v>
      </c>
      <c r="AE642">
        <f t="shared" ref="AE642:AE705" si="306">IF(T642="","",T642+52)</f>
        <v>152</v>
      </c>
      <c r="AF642">
        <f t="shared" ref="AF642:AF705" si="307">IF(T642="", "", INT((T642*2 + 31)/2) + 5)</f>
        <v>120</v>
      </c>
      <c r="AG642">
        <f t="shared" ref="AG642:AG705" si="308">IF(T642="", "", INT((INT((T642*2 + 31)/2) + 5)*0.9) )</f>
        <v>108</v>
      </c>
      <c r="AH642">
        <f t="shared" ref="AH642:AH705" si="309">IF(T642="", "", INT((T642 + 5) * 0.9))</f>
        <v>94</v>
      </c>
      <c r="AI642">
        <f t="shared" ref="AI642:AI705" si="310">IF(U642="","",INT((U642+52)*1.1))</f>
        <v>167</v>
      </c>
      <c r="AJ642">
        <f t="shared" ref="AJ642:AJ705" si="311">IF(U642="","",U642+52)</f>
        <v>152</v>
      </c>
      <c r="AK642">
        <f t="shared" ref="AK642:AK705" si="312">IF(U642="", "", INT((U642*2 + 31)/2) + 5)</f>
        <v>120</v>
      </c>
      <c r="AL642">
        <f t="shared" ref="AL642:AL705" si="313">IF(U642="", "", INT((INT((U642*2 + 31)/2) + 5)*0.9) )</f>
        <v>108</v>
      </c>
      <c r="AM642">
        <f t="shared" ref="AM642:AM705" si="314">IF(U642="", "", INT((U642 + 5) * 0.9))</f>
        <v>94</v>
      </c>
      <c r="AN642">
        <f t="shared" ref="AN642:AN705" si="315">IF(V642="","",INT((V642+52)*1.1))</f>
        <v>167</v>
      </c>
      <c r="AO642">
        <f t="shared" ref="AO642:AO705" si="316">IF(V642="","",V642+52)</f>
        <v>152</v>
      </c>
      <c r="AP642">
        <f t="shared" ref="AP642:AP705" si="317">IF(V642="", "", INT((V642*2 + 31)/2) + 5)</f>
        <v>120</v>
      </c>
      <c r="AQ642">
        <f t="shared" ref="AQ642:AQ705" si="318">IF(V642="", "", INT((INT((V642*2 + 31)/2) + 5)*0.9) )</f>
        <v>108</v>
      </c>
      <c r="AR642">
        <f t="shared" ref="AR642:AR705" si="319">IF(V642="", "", INT((V642 + 5) * 0.9))</f>
        <v>94</v>
      </c>
      <c r="AS642">
        <f t="shared" ref="AS642:AS705" si="320">IF(W642="","",INT((W642+52)*1.1))</f>
        <v>167</v>
      </c>
      <c r="AT642">
        <f t="shared" ref="AT642:AT705" si="321">IF(W642="","",W642+52)</f>
        <v>152</v>
      </c>
      <c r="AU642">
        <f t="shared" ref="AU642:AU705" si="322">IF(W642="", "", INT((W642*2 + 31)/2) + 5)</f>
        <v>120</v>
      </c>
      <c r="AV642">
        <f t="shared" ref="AV642:AV705" si="323">IF(W642="", "", INT((INT((W642*2 + 31)/2) + 5)*0.9) )</f>
        <v>108</v>
      </c>
      <c r="AW642">
        <f t="shared" ref="AW642:AW705" si="324">IF(W642="", "", INT((W642 + 5) * 0.9))</f>
        <v>94</v>
      </c>
      <c r="AX642">
        <f t="shared" ref="AX642:AX705" si="325">IF(X642="","",INT((X642+52)*1.1))</f>
        <v>167</v>
      </c>
      <c r="AY642">
        <f t="shared" ref="AY642:AY705" si="326">IF(X642="","",X642+52)</f>
        <v>152</v>
      </c>
      <c r="AZ642">
        <f t="shared" ref="AZ642:AZ705" si="327">IF(X642="", "", INT((X642*2 + 31)/2) + 5)</f>
        <v>120</v>
      </c>
      <c r="BA642">
        <f t="shared" ref="BA642:BA705" si="328">IF(X642="", "", INT((INT((X642*2 + 31)/2) + 5)*0.9) )</f>
        <v>108</v>
      </c>
      <c r="BB642">
        <f t="shared" ref="BB642:BB705" si="329">IF(X642="", "", INT((X642 + 5) * 0.9))</f>
        <v>94</v>
      </c>
    </row>
    <row r="643" spans="1:54" x14ac:dyDescent="0.15">
      <c r="A643">
        <v>438</v>
      </c>
      <c r="B643" t="s">
        <v>2298</v>
      </c>
      <c r="C643">
        <v>495</v>
      </c>
      <c r="D643">
        <v>0</v>
      </c>
      <c r="E643" t="s">
        <v>2299</v>
      </c>
      <c r="G643" t="s">
        <v>2299</v>
      </c>
      <c r="H643" t="s">
        <v>2300</v>
      </c>
      <c r="J643" t="s">
        <v>2301</v>
      </c>
      <c r="K643">
        <v>8.1</v>
      </c>
      <c r="L643">
        <v>0.6</v>
      </c>
      <c r="M643" t="s">
        <v>26</v>
      </c>
      <c r="O643" t="s">
        <v>28</v>
      </c>
      <c r="P643" t="s">
        <v>1094</v>
      </c>
      <c r="R643">
        <v>9</v>
      </c>
      <c r="S643">
        <v>45</v>
      </c>
      <c r="T643">
        <v>45</v>
      </c>
      <c r="U643">
        <v>55</v>
      </c>
      <c r="V643">
        <v>45</v>
      </c>
      <c r="W643">
        <v>55</v>
      </c>
      <c r="X643">
        <v>63</v>
      </c>
      <c r="Y643">
        <f t="shared" si="300"/>
        <v>152</v>
      </c>
      <c r="Z643">
        <f t="shared" si="301"/>
        <v>152</v>
      </c>
      <c r="AA643">
        <f t="shared" si="302"/>
        <v>120</v>
      </c>
      <c r="AB643">
        <f t="shared" si="303"/>
        <v>120</v>
      </c>
      <c r="AC643">
        <f t="shared" si="304"/>
        <v>105</v>
      </c>
      <c r="AD643">
        <f t="shared" si="305"/>
        <v>106</v>
      </c>
      <c r="AE643">
        <f t="shared" si="306"/>
        <v>97</v>
      </c>
      <c r="AF643">
        <f t="shared" si="307"/>
        <v>65</v>
      </c>
      <c r="AG643">
        <f t="shared" si="308"/>
        <v>58</v>
      </c>
      <c r="AH643">
        <f t="shared" si="309"/>
        <v>45</v>
      </c>
      <c r="AI643">
        <f t="shared" si="310"/>
        <v>117</v>
      </c>
      <c r="AJ643">
        <f t="shared" si="311"/>
        <v>107</v>
      </c>
      <c r="AK643">
        <f t="shared" si="312"/>
        <v>75</v>
      </c>
      <c r="AL643">
        <f t="shared" si="313"/>
        <v>67</v>
      </c>
      <c r="AM643">
        <f t="shared" si="314"/>
        <v>54</v>
      </c>
      <c r="AN643">
        <f t="shared" si="315"/>
        <v>106</v>
      </c>
      <c r="AO643">
        <f t="shared" si="316"/>
        <v>97</v>
      </c>
      <c r="AP643">
        <f t="shared" si="317"/>
        <v>65</v>
      </c>
      <c r="AQ643">
        <f t="shared" si="318"/>
        <v>58</v>
      </c>
      <c r="AR643">
        <f t="shared" si="319"/>
        <v>45</v>
      </c>
      <c r="AS643">
        <f t="shared" si="320"/>
        <v>117</v>
      </c>
      <c r="AT643">
        <f t="shared" si="321"/>
        <v>107</v>
      </c>
      <c r="AU643">
        <f t="shared" si="322"/>
        <v>75</v>
      </c>
      <c r="AV643">
        <f t="shared" si="323"/>
        <v>67</v>
      </c>
      <c r="AW643">
        <f t="shared" si="324"/>
        <v>54</v>
      </c>
      <c r="AX643">
        <f t="shared" si="325"/>
        <v>126</v>
      </c>
      <c r="AY643">
        <f t="shared" si="326"/>
        <v>115</v>
      </c>
      <c r="AZ643">
        <f t="shared" si="327"/>
        <v>83</v>
      </c>
      <c r="BA643">
        <f t="shared" si="328"/>
        <v>74</v>
      </c>
      <c r="BB643">
        <f t="shared" si="329"/>
        <v>61</v>
      </c>
    </row>
    <row r="644" spans="1:54" x14ac:dyDescent="0.15">
      <c r="A644">
        <v>439</v>
      </c>
      <c r="B644" t="s">
        <v>2302</v>
      </c>
      <c r="C644">
        <v>496</v>
      </c>
      <c r="D644">
        <v>0</v>
      </c>
      <c r="E644" t="s">
        <v>2303</v>
      </c>
      <c r="G644" t="s">
        <v>2303</v>
      </c>
      <c r="H644" t="s">
        <v>2304</v>
      </c>
      <c r="J644" t="s">
        <v>2301</v>
      </c>
      <c r="K644">
        <v>16</v>
      </c>
      <c r="L644">
        <v>0.8</v>
      </c>
      <c r="M644" t="s">
        <v>26</v>
      </c>
      <c r="O644" t="s">
        <v>28</v>
      </c>
      <c r="P644" t="s">
        <v>1094</v>
      </c>
      <c r="R644">
        <v>9</v>
      </c>
      <c r="S644">
        <v>60</v>
      </c>
      <c r="T644">
        <v>60</v>
      </c>
      <c r="U644">
        <v>75</v>
      </c>
      <c r="V644">
        <v>60</v>
      </c>
      <c r="W644">
        <v>75</v>
      </c>
      <c r="X644">
        <v>83</v>
      </c>
      <c r="Y644">
        <f t="shared" si="300"/>
        <v>167</v>
      </c>
      <c r="Z644">
        <f t="shared" si="301"/>
        <v>167</v>
      </c>
      <c r="AA644">
        <f t="shared" si="302"/>
        <v>135</v>
      </c>
      <c r="AB644">
        <f t="shared" si="303"/>
        <v>135</v>
      </c>
      <c r="AC644">
        <f t="shared" si="304"/>
        <v>120</v>
      </c>
      <c r="AD644">
        <f t="shared" si="305"/>
        <v>123</v>
      </c>
      <c r="AE644">
        <f t="shared" si="306"/>
        <v>112</v>
      </c>
      <c r="AF644">
        <f t="shared" si="307"/>
        <v>80</v>
      </c>
      <c r="AG644">
        <f t="shared" si="308"/>
        <v>72</v>
      </c>
      <c r="AH644">
        <f t="shared" si="309"/>
        <v>58</v>
      </c>
      <c r="AI644">
        <f t="shared" si="310"/>
        <v>139</v>
      </c>
      <c r="AJ644">
        <f t="shared" si="311"/>
        <v>127</v>
      </c>
      <c r="AK644">
        <f t="shared" si="312"/>
        <v>95</v>
      </c>
      <c r="AL644">
        <f t="shared" si="313"/>
        <v>85</v>
      </c>
      <c r="AM644">
        <f t="shared" si="314"/>
        <v>72</v>
      </c>
      <c r="AN644">
        <f t="shared" si="315"/>
        <v>123</v>
      </c>
      <c r="AO644">
        <f t="shared" si="316"/>
        <v>112</v>
      </c>
      <c r="AP644">
        <f t="shared" si="317"/>
        <v>80</v>
      </c>
      <c r="AQ644">
        <f t="shared" si="318"/>
        <v>72</v>
      </c>
      <c r="AR644">
        <f t="shared" si="319"/>
        <v>58</v>
      </c>
      <c r="AS644">
        <f t="shared" si="320"/>
        <v>139</v>
      </c>
      <c r="AT644">
        <f t="shared" si="321"/>
        <v>127</v>
      </c>
      <c r="AU644">
        <f t="shared" si="322"/>
        <v>95</v>
      </c>
      <c r="AV644">
        <f t="shared" si="323"/>
        <v>85</v>
      </c>
      <c r="AW644">
        <f t="shared" si="324"/>
        <v>72</v>
      </c>
      <c r="AX644">
        <f t="shared" si="325"/>
        <v>148</v>
      </c>
      <c r="AY644">
        <f t="shared" si="326"/>
        <v>135</v>
      </c>
      <c r="AZ644">
        <f t="shared" si="327"/>
        <v>103</v>
      </c>
      <c r="BA644">
        <f t="shared" si="328"/>
        <v>92</v>
      </c>
      <c r="BB644">
        <f t="shared" si="329"/>
        <v>79</v>
      </c>
    </row>
    <row r="645" spans="1:54" x14ac:dyDescent="0.15">
      <c r="A645">
        <v>440</v>
      </c>
      <c r="B645" t="s">
        <v>2305</v>
      </c>
      <c r="C645">
        <v>497</v>
      </c>
      <c r="D645">
        <v>0</v>
      </c>
      <c r="E645" t="s">
        <v>2306</v>
      </c>
      <c r="G645" t="s">
        <v>2306</v>
      </c>
      <c r="H645" t="s">
        <v>2307</v>
      </c>
      <c r="J645" t="s">
        <v>2308</v>
      </c>
      <c r="K645">
        <v>63</v>
      </c>
      <c r="L645">
        <v>3.3</v>
      </c>
      <c r="M645" t="s">
        <v>26</v>
      </c>
      <c r="O645" t="s">
        <v>28</v>
      </c>
      <c r="P645" t="s">
        <v>1094</v>
      </c>
      <c r="R645">
        <v>9</v>
      </c>
      <c r="S645">
        <v>75</v>
      </c>
      <c r="T645">
        <v>75</v>
      </c>
      <c r="U645">
        <v>95</v>
      </c>
      <c r="V645">
        <v>75</v>
      </c>
      <c r="W645">
        <v>95</v>
      </c>
      <c r="X645">
        <v>113</v>
      </c>
      <c r="Y645">
        <f t="shared" si="300"/>
        <v>182</v>
      </c>
      <c r="Z645">
        <f t="shared" si="301"/>
        <v>182</v>
      </c>
      <c r="AA645">
        <f t="shared" si="302"/>
        <v>150</v>
      </c>
      <c r="AB645">
        <f t="shared" si="303"/>
        <v>150</v>
      </c>
      <c r="AC645">
        <f t="shared" si="304"/>
        <v>135</v>
      </c>
      <c r="AD645">
        <f t="shared" si="305"/>
        <v>139</v>
      </c>
      <c r="AE645">
        <f t="shared" si="306"/>
        <v>127</v>
      </c>
      <c r="AF645">
        <f t="shared" si="307"/>
        <v>95</v>
      </c>
      <c r="AG645">
        <f t="shared" si="308"/>
        <v>85</v>
      </c>
      <c r="AH645">
        <f t="shared" si="309"/>
        <v>72</v>
      </c>
      <c r="AI645">
        <f t="shared" si="310"/>
        <v>161</v>
      </c>
      <c r="AJ645">
        <f t="shared" si="311"/>
        <v>147</v>
      </c>
      <c r="AK645">
        <f t="shared" si="312"/>
        <v>115</v>
      </c>
      <c r="AL645">
        <f t="shared" si="313"/>
        <v>103</v>
      </c>
      <c r="AM645">
        <f t="shared" si="314"/>
        <v>90</v>
      </c>
      <c r="AN645">
        <f t="shared" si="315"/>
        <v>139</v>
      </c>
      <c r="AO645">
        <f t="shared" si="316"/>
        <v>127</v>
      </c>
      <c r="AP645">
        <f t="shared" si="317"/>
        <v>95</v>
      </c>
      <c r="AQ645">
        <f t="shared" si="318"/>
        <v>85</v>
      </c>
      <c r="AR645">
        <f t="shared" si="319"/>
        <v>72</v>
      </c>
      <c r="AS645">
        <f t="shared" si="320"/>
        <v>161</v>
      </c>
      <c r="AT645">
        <f t="shared" si="321"/>
        <v>147</v>
      </c>
      <c r="AU645">
        <f t="shared" si="322"/>
        <v>115</v>
      </c>
      <c r="AV645">
        <f t="shared" si="323"/>
        <v>103</v>
      </c>
      <c r="AW645">
        <f t="shared" si="324"/>
        <v>90</v>
      </c>
      <c r="AX645">
        <f t="shared" si="325"/>
        <v>181</v>
      </c>
      <c r="AY645">
        <f t="shared" si="326"/>
        <v>165</v>
      </c>
      <c r="AZ645">
        <f t="shared" si="327"/>
        <v>133</v>
      </c>
      <c r="BA645">
        <f t="shared" si="328"/>
        <v>119</v>
      </c>
      <c r="BB645">
        <f t="shared" si="329"/>
        <v>106</v>
      </c>
    </row>
    <row r="646" spans="1:54" x14ac:dyDescent="0.15">
      <c r="A646">
        <v>441</v>
      </c>
      <c r="B646" t="s">
        <v>2309</v>
      </c>
      <c r="C646">
        <v>498</v>
      </c>
      <c r="D646">
        <v>0</v>
      </c>
      <c r="E646" t="s">
        <v>2310</v>
      </c>
      <c r="G646" t="s">
        <v>2310</v>
      </c>
      <c r="H646" t="s">
        <v>2311</v>
      </c>
      <c r="J646" t="s">
        <v>2312</v>
      </c>
      <c r="K646">
        <v>9.9</v>
      </c>
      <c r="L646">
        <v>0.5</v>
      </c>
      <c r="M646" t="s">
        <v>47</v>
      </c>
      <c r="O646" t="s">
        <v>48</v>
      </c>
      <c r="P646" t="s">
        <v>38</v>
      </c>
      <c r="R646">
        <v>9</v>
      </c>
      <c r="S646">
        <v>65</v>
      </c>
      <c r="T646">
        <v>63</v>
      </c>
      <c r="U646">
        <v>45</v>
      </c>
      <c r="V646">
        <v>45</v>
      </c>
      <c r="W646">
        <v>45</v>
      </c>
      <c r="X646">
        <v>45</v>
      </c>
      <c r="Y646">
        <f t="shared" si="300"/>
        <v>172</v>
      </c>
      <c r="Z646">
        <f t="shared" si="301"/>
        <v>172</v>
      </c>
      <c r="AA646">
        <f t="shared" si="302"/>
        <v>140</v>
      </c>
      <c r="AB646">
        <f t="shared" si="303"/>
        <v>140</v>
      </c>
      <c r="AC646">
        <f t="shared" si="304"/>
        <v>125</v>
      </c>
      <c r="AD646">
        <f t="shared" si="305"/>
        <v>126</v>
      </c>
      <c r="AE646">
        <f t="shared" si="306"/>
        <v>115</v>
      </c>
      <c r="AF646">
        <f t="shared" si="307"/>
        <v>83</v>
      </c>
      <c r="AG646">
        <f t="shared" si="308"/>
        <v>74</v>
      </c>
      <c r="AH646">
        <f t="shared" si="309"/>
        <v>61</v>
      </c>
      <c r="AI646">
        <f t="shared" si="310"/>
        <v>106</v>
      </c>
      <c r="AJ646">
        <f t="shared" si="311"/>
        <v>97</v>
      </c>
      <c r="AK646">
        <f t="shared" si="312"/>
        <v>65</v>
      </c>
      <c r="AL646">
        <f t="shared" si="313"/>
        <v>58</v>
      </c>
      <c r="AM646">
        <f t="shared" si="314"/>
        <v>45</v>
      </c>
      <c r="AN646">
        <f t="shared" si="315"/>
        <v>106</v>
      </c>
      <c r="AO646">
        <f t="shared" si="316"/>
        <v>97</v>
      </c>
      <c r="AP646">
        <f t="shared" si="317"/>
        <v>65</v>
      </c>
      <c r="AQ646">
        <f t="shared" si="318"/>
        <v>58</v>
      </c>
      <c r="AR646">
        <f t="shared" si="319"/>
        <v>45</v>
      </c>
      <c r="AS646">
        <f t="shared" si="320"/>
        <v>106</v>
      </c>
      <c r="AT646">
        <f t="shared" si="321"/>
        <v>97</v>
      </c>
      <c r="AU646">
        <f t="shared" si="322"/>
        <v>65</v>
      </c>
      <c r="AV646">
        <f t="shared" si="323"/>
        <v>58</v>
      </c>
      <c r="AW646">
        <f t="shared" si="324"/>
        <v>45</v>
      </c>
      <c r="AX646">
        <f t="shared" si="325"/>
        <v>106</v>
      </c>
      <c r="AY646">
        <f t="shared" si="326"/>
        <v>97</v>
      </c>
      <c r="AZ646">
        <f t="shared" si="327"/>
        <v>65</v>
      </c>
      <c r="BA646">
        <f t="shared" si="328"/>
        <v>58</v>
      </c>
      <c r="BB646">
        <f t="shared" si="329"/>
        <v>45</v>
      </c>
    </row>
    <row r="647" spans="1:54" x14ac:dyDescent="0.15">
      <c r="A647">
        <v>442</v>
      </c>
      <c r="B647" t="s">
        <v>2313</v>
      </c>
      <c r="C647">
        <v>499</v>
      </c>
      <c r="D647">
        <v>0</v>
      </c>
      <c r="E647" t="s">
        <v>2314</v>
      </c>
      <c r="G647" t="s">
        <v>2314</v>
      </c>
      <c r="H647" t="s">
        <v>2315</v>
      </c>
      <c r="J647" t="s">
        <v>2312</v>
      </c>
      <c r="K647">
        <v>55.5</v>
      </c>
      <c r="L647">
        <v>1</v>
      </c>
      <c r="M647" t="s">
        <v>47</v>
      </c>
      <c r="N647" t="s">
        <v>354</v>
      </c>
      <c r="O647" t="s">
        <v>48</v>
      </c>
      <c r="P647" t="s">
        <v>38</v>
      </c>
      <c r="R647">
        <v>9</v>
      </c>
      <c r="S647">
        <v>90</v>
      </c>
      <c r="T647">
        <v>93</v>
      </c>
      <c r="U647">
        <v>55</v>
      </c>
      <c r="V647">
        <v>70</v>
      </c>
      <c r="W647">
        <v>55</v>
      </c>
      <c r="X647">
        <v>55</v>
      </c>
      <c r="Y647">
        <f t="shared" si="300"/>
        <v>197</v>
      </c>
      <c r="Z647">
        <f t="shared" si="301"/>
        <v>197</v>
      </c>
      <c r="AA647">
        <f t="shared" si="302"/>
        <v>165</v>
      </c>
      <c r="AB647">
        <f t="shared" si="303"/>
        <v>165</v>
      </c>
      <c r="AC647">
        <f t="shared" si="304"/>
        <v>150</v>
      </c>
      <c r="AD647">
        <f t="shared" si="305"/>
        <v>159</v>
      </c>
      <c r="AE647">
        <f t="shared" si="306"/>
        <v>145</v>
      </c>
      <c r="AF647">
        <f t="shared" si="307"/>
        <v>113</v>
      </c>
      <c r="AG647">
        <f t="shared" si="308"/>
        <v>101</v>
      </c>
      <c r="AH647">
        <f t="shared" si="309"/>
        <v>88</v>
      </c>
      <c r="AI647">
        <f t="shared" si="310"/>
        <v>117</v>
      </c>
      <c r="AJ647">
        <f t="shared" si="311"/>
        <v>107</v>
      </c>
      <c r="AK647">
        <f t="shared" si="312"/>
        <v>75</v>
      </c>
      <c r="AL647">
        <f t="shared" si="313"/>
        <v>67</v>
      </c>
      <c r="AM647">
        <f t="shared" si="314"/>
        <v>54</v>
      </c>
      <c r="AN647">
        <f t="shared" si="315"/>
        <v>134</v>
      </c>
      <c r="AO647">
        <f t="shared" si="316"/>
        <v>122</v>
      </c>
      <c r="AP647">
        <f t="shared" si="317"/>
        <v>90</v>
      </c>
      <c r="AQ647">
        <f t="shared" si="318"/>
        <v>81</v>
      </c>
      <c r="AR647">
        <f t="shared" si="319"/>
        <v>67</v>
      </c>
      <c r="AS647">
        <f t="shared" si="320"/>
        <v>117</v>
      </c>
      <c r="AT647">
        <f t="shared" si="321"/>
        <v>107</v>
      </c>
      <c r="AU647">
        <f t="shared" si="322"/>
        <v>75</v>
      </c>
      <c r="AV647">
        <f t="shared" si="323"/>
        <v>67</v>
      </c>
      <c r="AW647">
        <f t="shared" si="324"/>
        <v>54</v>
      </c>
      <c r="AX647">
        <f t="shared" si="325"/>
        <v>117</v>
      </c>
      <c r="AY647">
        <f t="shared" si="326"/>
        <v>107</v>
      </c>
      <c r="AZ647">
        <f t="shared" si="327"/>
        <v>75</v>
      </c>
      <c r="BA647">
        <f t="shared" si="328"/>
        <v>67</v>
      </c>
      <c r="BB647">
        <f t="shared" si="329"/>
        <v>54</v>
      </c>
    </row>
    <row r="648" spans="1:54" x14ac:dyDescent="0.15">
      <c r="A648">
        <v>443</v>
      </c>
      <c r="B648" t="s">
        <v>2316</v>
      </c>
      <c r="C648">
        <v>500</v>
      </c>
      <c r="D648">
        <v>0</v>
      </c>
      <c r="E648" t="s">
        <v>2317</v>
      </c>
      <c r="G648" t="s">
        <v>2317</v>
      </c>
      <c r="H648" t="s">
        <v>2318</v>
      </c>
      <c r="J648" t="s">
        <v>2319</v>
      </c>
      <c r="K648">
        <v>150</v>
      </c>
      <c r="L648">
        <v>1.6</v>
      </c>
      <c r="M648" t="s">
        <v>47</v>
      </c>
      <c r="N648" t="s">
        <v>354</v>
      </c>
      <c r="O648" t="s">
        <v>48</v>
      </c>
      <c r="P648" t="s">
        <v>623</v>
      </c>
      <c r="R648">
        <v>9</v>
      </c>
      <c r="S648">
        <v>110</v>
      </c>
      <c r="T648">
        <v>123</v>
      </c>
      <c r="U648">
        <v>65</v>
      </c>
      <c r="V648">
        <v>100</v>
      </c>
      <c r="W648">
        <v>65</v>
      </c>
      <c r="X648">
        <v>65</v>
      </c>
      <c r="Y648">
        <f t="shared" si="300"/>
        <v>217</v>
      </c>
      <c r="Z648">
        <f t="shared" si="301"/>
        <v>217</v>
      </c>
      <c r="AA648">
        <f t="shared" si="302"/>
        <v>185</v>
      </c>
      <c r="AB648">
        <f t="shared" si="303"/>
        <v>185</v>
      </c>
      <c r="AC648">
        <f t="shared" si="304"/>
        <v>170</v>
      </c>
      <c r="AD648">
        <f t="shared" si="305"/>
        <v>192</v>
      </c>
      <c r="AE648">
        <f t="shared" si="306"/>
        <v>175</v>
      </c>
      <c r="AF648">
        <f t="shared" si="307"/>
        <v>143</v>
      </c>
      <c r="AG648">
        <f t="shared" si="308"/>
        <v>128</v>
      </c>
      <c r="AH648">
        <f t="shared" si="309"/>
        <v>115</v>
      </c>
      <c r="AI648">
        <f t="shared" si="310"/>
        <v>128</v>
      </c>
      <c r="AJ648">
        <f t="shared" si="311"/>
        <v>117</v>
      </c>
      <c r="AK648">
        <f t="shared" si="312"/>
        <v>85</v>
      </c>
      <c r="AL648">
        <f t="shared" si="313"/>
        <v>76</v>
      </c>
      <c r="AM648">
        <f t="shared" si="314"/>
        <v>63</v>
      </c>
      <c r="AN648">
        <f t="shared" si="315"/>
        <v>167</v>
      </c>
      <c r="AO648">
        <f t="shared" si="316"/>
        <v>152</v>
      </c>
      <c r="AP648">
        <f t="shared" si="317"/>
        <v>120</v>
      </c>
      <c r="AQ648">
        <f t="shared" si="318"/>
        <v>108</v>
      </c>
      <c r="AR648">
        <f t="shared" si="319"/>
        <v>94</v>
      </c>
      <c r="AS648">
        <f t="shared" si="320"/>
        <v>128</v>
      </c>
      <c r="AT648">
        <f t="shared" si="321"/>
        <v>117</v>
      </c>
      <c r="AU648">
        <f t="shared" si="322"/>
        <v>85</v>
      </c>
      <c r="AV648">
        <f t="shared" si="323"/>
        <v>76</v>
      </c>
      <c r="AW648">
        <f t="shared" si="324"/>
        <v>63</v>
      </c>
      <c r="AX648">
        <f t="shared" si="325"/>
        <v>128</v>
      </c>
      <c r="AY648">
        <f t="shared" si="326"/>
        <v>117</v>
      </c>
      <c r="AZ648">
        <f t="shared" si="327"/>
        <v>85</v>
      </c>
      <c r="BA648">
        <f t="shared" si="328"/>
        <v>76</v>
      </c>
      <c r="BB648">
        <f t="shared" si="329"/>
        <v>63</v>
      </c>
    </row>
    <row r="649" spans="1:54" x14ac:dyDescent="0.15">
      <c r="A649">
        <v>444</v>
      </c>
      <c r="B649" t="s">
        <v>2320</v>
      </c>
      <c r="C649">
        <v>501</v>
      </c>
      <c r="D649">
        <v>0</v>
      </c>
      <c r="E649" t="s">
        <v>2321</v>
      </c>
      <c r="G649" t="s">
        <v>2321</v>
      </c>
      <c r="H649" t="s">
        <v>2322</v>
      </c>
      <c r="J649" t="s">
        <v>2323</v>
      </c>
      <c r="K649">
        <v>5.9</v>
      </c>
      <c r="L649">
        <v>0.5</v>
      </c>
      <c r="M649" t="s">
        <v>71</v>
      </c>
      <c r="O649" t="s">
        <v>72</v>
      </c>
      <c r="P649" t="s">
        <v>481</v>
      </c>
      <c r="R649">
        <v>9</v>
      </c>
      <c r="S649">
        <v>55</v>
      </c>
      <c r="T649">
        <v>55</v>
      </c>
      <c r="U649">
        <v>45</v>
      </c>
      <c r="V649">
        <v>63</v>
      </c>
      <c r="W649">
        <v>45</v>
      </c>
      <c r="X649">
        <v>45</v>
      </c>
      <c r="Y649">
        <f t="shared" si="300"/>
        <v>162</v>
      </c>
      <c r="Z649">
        <f t="shared" si="301"/>
        <v>162</v>
      </c>
      <c r="AA649">
        <f t="shared" si="302"/>
        <v>130</v>
      </c>
      <c r="AB649">
        <f t="shared" si="303"/>
        <v>130</v>
      </c>
      <c r="AC649">
        <f t="shared" si="304"/>
        <v>115</v>
      </c>
      <c r="AD649">
        <f t="shared" si="305"/>
        <v>117</v>
      </c>
      <c r="AE649">
        <f t="shared" si="306"/>
        <v>107</v>
      </c>
      <c r="AF649">
        <f t="shared" si="307"/>
        <v>75</v>
      </c>
      <c r="AG649">
        <f t="shared" si="308"/>
        <v>67</v>
      </c>
      <c r="AH649">
        <f t="shared" si="309"/>
        <v>54</v>
      </c>
      <c r="AI649">
        <f t="shared" si="310"/>
        <v>106</v>
      </c>
      <c r="AJ649">
        <f t="shared" si="311"/>
        <v>97</v>
      </c>
      <c r="AK649">
        <f t="shared" si="312"/>
        <v>65</v>
      </c>
      <c r="AL649">
        <f t="shared" si="313"/>
        <v>58</v>
      </c>
      <c r="AM649">
        <f t="shared" si="314"/>
        <v>45</v>
      </c>
      <c r="AN649">
        <f t="shared" si="315"/>
        <v>126</v>
      </c>
      <c r="AO649">
        <f t="shared" si="316"/>
        <v>115</v>
      </c>
      <c r="AP649">
        <f t="shared" si="317"/>
        <v>83</v>
      </c>
      <c r="AQ649">
        <f t="shared" si="318"/>
        <v>74</v>
      </c>
      <c r="AR649">
        <f t="shared" si="319"/>
        <v>61</v>
      </c>
      <c r="AS649">
        <f t="shared" si="320"/>
        <v>106</v>
      </c>
      <c r="AT649">
        <f t="shared" si="321"/>
        <v>97</v>
      </c>
      <c r="AU649">
        <f t="shared" si="322"/>
        <v>65</v>
      </c>
      <c r="AV649">
        <f t="shared" si="323"/>
        <v>58</v>
      </c>
      <c r="AW649">
        <f t="shared" si="324"/>
        <v>45</v>
      </c>
      <c r="AX649">
        <f t="shared" si="325"/>
        <v>106</v>
      </c>
      <c r="AY649">
        <f t="shared" si="326"/>
        <v>97</v>
      </c>
      <c r="AZ649">
        <f t="shared" si="327"/>
        <v>65</v>
      </c>
      <c r="BA649">
        <f t="shared" si="328"/>
        <v>58</v>
      </c>
      <c r="BB649">
        <f t="shared" si="329"/>
        <v>45</v>
      </c>
    </row>
    <row r="650" spans="1:54" x14ac:dyDescent="0.15">
      <c r="A650">
        <v>445</v>
      </c>
      <c r="B650" t="s">
        <v>2324</v>
      </c>
      <c r="C650">
        <v>502</v>
      </c>
      <c r="D650">
        <v>0</v>
      </c>
      <c r="E650" t="s">
        <v>2325</v>
      </c>
      <c r="G650" t="s">
        <v>2325</v>
      </c>
      <c r="H650" t="s">
        <v>2326</v>
      </c>
      <c r="J650" t="s">
        <v>2327</v>
      </c>
      <c r="K650">
        <v>24.5</v>
      </c>
      <c r="L650">
        <v>0.8</v>
      </c>
      <c r="M650" t="s">
        <v>71</v>
      </c>
      <c r="O650" t="s">
        <v>72</v>
      </c>
      <c r="P650" t="s">
        <v>481</v>
      </c>
      <c r="R650">
        <v>9</v>
      </c>
      <c r="S650">
        <v>75</v>
      </c>
      <c r="T650">
        <v>75</v>
      </c>
      <c r="U650">
        <v>60</v>
      </c>
      <c r="V650">
        <v>83</v>
      </c>
      <c r="W650">
        <v>60</v>
      </c>
      <c r="X650">
        <v>60</v>
      </c>
      <c r="Y650">
        <f t="shared" si="300"/>
        <v>182</v>
      </c>
      <c r="Z650">
        <f t="shared" si="301"/>
        <v>182</v>
      </c>
      <c r="AA650">
        <f t="shared" si="302"/>
        <v>150</v>
      </c>
      <c r="AB650">
        <f t="shared" si="303"/>
        <v>150</v>
      </c>
      <c r="AC650">
        <f t="shared" si="304"/>
        <v>135</v>
      </c>
      <c r="AD650">
        <f t="shared" si="305"/>
        <v>139</v>
      </c>
      <c r="AE650">
        <f t="shared" si="306"/>
        <v>127</v>
      </c>
      <c r="AF650">
        <f t="shared" si="307"/>
        <v>95</v>
      </c>
      <c r="AG650">
        <f t="shared" si="308"/>
        <v>85</v>
      </c>
      <c r="AH650">
        <f t="shared" si="309"/>
        <v>72</v>
      </c>
      <c r="AI650">
        <f t="shared" si="310"/>
        <v>123</v>
      </c>
      <c r="AJ650">
        <f t="shared" si="311"/>
        <v>112</v>
      </c>
      <c r="AK650">
        <f t="shared" si="312"/>
        <v>80</v>
      </c>
      <c r="AL650">
        <f t="shared" si="313"/>
        <v>72</v>
      </c>
      <c r="AM650">
        <f t="shared" si="314"/>
        <v>58</v>
      </c>
      <c r="AN650">
        <f t="shared" si="315"/>
        <v>148</v>
      </c>
      <c r="AO650">
        <f t="shared" si="316"/>
        <v>135</v>
      </c>
      <c r="AP650">
        <f t="shared" si="317"/>
        <v>103</v>
      </c>
      <c r="AQ650">
        <f t="shared" si="318"/>
        <v>92</v>
      </c>
      <c r="AR650">
        <f t="shared" si="319"/>
        <v>79</v>
      </c>
      <c r="AS650">
        <f t="shared" si="320"/>
        <v>123</v>
      </c>
      <c r="AT650">
        <f t="shared" si="321"/>
        <v>112</v>
      </c>
      <c r="AU650">
        <f t="shared" si="322"/>
        <v>80</v>
      </c>
      <c r="AV650">
        <f t="shared" si="323"/>
        <v>72</v>
      </c>
      <c r="AW650">
        <f t="shared" si="324"/>
        <v>58</v>
      </c>
      <c r="AX650">
        <f t="shared" si="325"/>
        <v>123</v>
      </c>
      <c r="AY650">
        <f t="shared" si="326"/>
        <v>112</v>
      </c>
      <c r="AZ650">
        <f t="shared" si="327"/>
        <v>80</v>
      </c>
      <c r="BA650">
        <f t="shared" si="328"/>
        <v>72</v>
      </c>
      <c r="BB650">
        <f t="shared" si="329"/>
        <v>58</v>
      </c>
    </row>
    <row r="651" spans="1:54" x14ac:dyDescent="0.15">
      <c r="A651">
        <v>446</v>
      </c>
      <c r="B651" t="s">
        <v>2328</v>
      </c>
      <c r="C651">
        <v>503</v>
      </c>
      <c r="D651">
        <v>0</v>
      </c>
      <c r="E651" t="s">
        <v>2329</v>
      </c>
      <c r="G651" t="s">
        <v>2329</v>
      </c>
      <c r="H651" t="s">
        <v>2330</v>
      </c>
      <c r="J651" t="s">
        <v>2331</v>
      </c>
      <c r="K651">
        <v>94.6</v>
      </c>
      <c r="L651">
        <v>1.5</v>
      </c>
      <c r="M651" t="s">
        <v>71</v>
      </c>
      <c r="O651" t="s">
        <v>72</v>
      </c>
      <c r="P651" t="s">
        <v>481</v>
      </c>
      <c r="R651">
        <v>9</v>
      </c>
      <c r="S651">
        <v>95</v>
      </c>
      <c r="T651">
        <v>100</v>
      </c>
      <c r="U651">
        <v>85</v>
      </c>
      <c r="V651">
        <v>108</v>
      </c>
      <c r="W651">
        <v>70</v>
      </c>
      <c r="X651">
        <v>70</v>
      </c>
      <c r="Y651">
        <f t="shared" si="300"/>
        <v>202</v>
      </c>
      <c r="Z651">
        <f t="shared" si="301"/>
        <v>202</v>
      </c>
      <c r="AA651">
        <f t="shared" si="302"/>
        <v>170</v>
      </c>
      <c r="AB651">
        <f t="shared" si="303"/>
        <v>170</v>
      </c>
      <c r="AC651">
        <f t="shared" si="304"/>
        <v>155</v>
      </c>
      <c r="AD651">
        <f t="shared" si="305"/>
        <v>167</v>
      </c>
      <c r="AE651">
        <f t="shared" si="306"/>
        <v>152</v>
      </c>
      <c r="AF651">
        <f t="shared" si="307"/>
        <v>120</v>
      </c>
      <c r="AG651">
        <f t="shared" si="308"/>
        <v>108</v>
      </c>
      <c r="AH651">
        <f t="shared" si="309"/>
        <v>94</v>
      </c>
      <c r="AI651">
        <f t="shared" si="310"/>
        <v>150</v>
      </c>
      <c r="AJ651">
        <f t="shared" si="311"/>
        <v>137</v>
      </c>
      <c r="AK651">
        <f t="shared" si="312"/>
        <v>105</v>
      </c>
      <c r="AL651">
        <f t="shared" si="313"/>
        <v>94</v>
      </c>
      <c r="AM651">
        <f t="shared" si="314"/>
        <v>81</v>
      </c>
      <c r="AN651">
        <f t="shared" si="315"/>
        <v>176</v>
      </c>
      <c r="AO651">
        <f t="shared" si="316"/>
        <v>160</v>
      </c>
      <c r="AP651">
        <f t="shared" si="317"/>
        <v>128</v>
      </c>
      <c r="AQ651">
        <f t="shared" si="318"/>
        <v>115</v>
      </c>
      <c r="AR651">
        <f t="shared" si="319"/>
        <v>101</v>
      </c>
      <c r="AS651">
        <f t="shared" si="320"/>
        <v>134</v>
      </c>
      <c r="AT651">
        <f t="shared" si="321"/>
        <v>122</v>
      </c>
      <c r="AU651">
        <f t="shared" si="322"/>
        <v>90</v>
      </c>
      <c r="AV651">
        <f t="shared" si="323"/>
        <v>81</v>
      </c>
      <c r="AW651">
        <f t="shared" si="324"/>
        <v>67</v>
      </c>
      <c r="AX651">
        <f t="shared" si="325"/>
        <v>134</v>
      </c>
      <c r="AY651">
        <f t="shared" si="326"/>
        <v>122</v>
      </c>
      <c r="AZ651">
        <f t="shared" si="327"/>
        <v>90</v>
      </c>
      <c r="BA651">
        <f t="shared" si="328"/>
        <v>81</v>
      </c>
      <c r="BB651">
        <f t="shared" si="329"/>
        <v>67</v>
      </c>
    </row>
    <row r="652" spans="1:54" x14ac:dyDescent="0.15">
      <c r="A652">
        <v>447</v>
      </c>
      <c r="B652" t="s">
        <v>2332</v>
      </c>
      <c r="C652">
        <v>503</v>
      </c>
      <c r="D652">
        <v>1</v>
      </c>
      <c r="E652" t="s">
        <v>2329</v>
      </c>
      <c r="F652" t="s">
        <v>367</v>
      </c>
      <c r="G652" t="s">
        <v>2333</v>
      </c>
      <c r="H652" t="s">
        <v>2334</v>
      </c>
      <c r="J652" t="s">
        <v>2331</v>
      </c>
      <c r="K652">
        <v>58.2</v>
      </c>
      <c r="L652">
        <v>1.5</v>
      </c>
      <c r="M652" t="s">
        <v>71</v>
      </c>
      <c r="N652" t="s">
        <v>140</v>
      </c>
      <c r="O652" t="s">
        <v>72</v>
      </c>
      <c r="P652" t="s">
        <v>481</v>
      </c>
      <c r="Q652" t="s">
        <v>2149</v>
      </c>
      <c r="R652">
        <v>9</v>
      </c>
      <c r="S652">
        <v>90</v>
      </c>
      <c r="T652">
        <v>108</v>
      </c>
      <c r="U652">
        <v>80</v>
      </c>
      <c r="V652">
        <v>100</v>
      </c>
      <c r="W652">
        <v>65</v>
      </c>
      <c r="X652">
        <v>85</v>
      </c>
      <c r="Y652">
        <f t="shared" si="300"/>
        <v>197</v>
      </c>
      <c r="Z652">
        <f t="shared" si="301"/>
        <v>197</v>
      </c>
      <c r="AA652">
        <f t="shared" si="302"/>
        <v>165</v>
      </c>
      <c r="AB652">
        <f t="shared" si="303"/>
        <v>165</v>
      </c>
      <c r="AC652">
        <f t="shared" si="304"/>
        <v>150</v>
      </c>
      <c r="AD652">
        <f t="shared" si="305"/>
        <v>176</v>
      </c>
      <c r="AE652">
        <f t="shared" si="306"/>
        <v>160</v>
      </c>
      <c r="AF652">
        <f t="shared" si="307"/>
        <v>128</v>
      </c>
      <c r="AG652">
        <f t="shared" si="308"/>
        <v>115</v>
      </c>
      <c r="AH652">
        <f t="shared" si="309"/>
        <v>101</v>
      </c>
      <c r="AI652">
        <f t="shared" si="310"/>
        <v>145</v>
      </c>
      <c r="AJ652">
        <f t="shared" si="311"/>
        <v>132</v>
      </c>
      <c r="AK652">
        <f t="shared" si="312"/>
        <v>100</v>
      </c>
      <c r="AL652">
        <f t="shared" si="313"/>
        <v>90</v>
      </c>
      <c r="AM652">
        <f t="shared" si="314"/>
        <v>76</v>
      </c>
      <c r="AN652">
        <f t="shared" si="315"/>
        <v>167</v>
      </c>
      <c r="AO652">
        <f t="shared" si="316"/>
        <v>152</v>
      </c>
      <c r="AP652">
        <f t="shared" si="317"/>
        <v>120</v>
      </c>
      <c r="AQ652">
        <f t="shared" si="318"/>
        <v>108</v>
      </c>
      <c r="AR652">
        <f t="shared" si="319"/>
        <v>94</v>
      </c>
      <c r="AS652">
        <f t="shared" si="320"/>
        <v>128</v>
      </c>
      <c r="AT652">
        <f t="shared" si="321"/>
        <v>117</v>
      </c>
      <c r="AU652">
        <f t="shared" si="322"/>
        <v>85</v>
      </c>
      <c r="AV652">
        <f t="shared" si="323"/>
        <v>76</v>
      </c>
      <c r="AW652">
        <f t="shared" si="324"/>
        <v>63</v>
      </c>
      <c r="AX652">
        <f t="shared" si="325"/>
        <v>150</v>
      </c>
      <c r="AY652">
        <f t="shared" si="326"/>
        <v>137</v>
      </c>
      <c r="AZ652">
        <f t="shared" si="327"/>
        <v>105</v>
      </c>
      <c r="BA652">
        <f t="shared" si="328"/>
        <v>94</v>
      </c>
      <c r="BB652">
        <f t="shared" si="329"/>
        <v>81</v>
      </c>
    </row>
    <row r="653" spans="1:54" x14ac:dyDescent="0.15">
      <c r="B653" t="s">
        <v>2335</v>
      </c>
      <c r="C653">
        <v>504</v>
      </c>
      <c r="D653">
        <v>0</v>
      </c>
      <c r="E653" t="s">
        <v>2336</v>
      </c>
      <c r="G653" t="s">
        <v>2336</v>
      </c>
      <c r="J653" t="s">
        <v>370</v>
      </c>
      <c r="K653">
        <v>11.6</v>
      </c>
      <c r="L653">
        <v>0.5</v>
      </c>
      <c r="M653" t="s">
        <v>120</v>
      </c>
      <c r="O653" t="s">
        <v>92</v>
      </c>
      <c r="P653" t="s">
        <v>121</v>
      </c>
      <c r="Q653" t="s">
        <v>490</v>
      </c>
      <c r="R653">
        <v>7</v>
      </c>
      <c r="S653">
        <v>45</v>
      </c>
      <c r="T653">
        <v>55</v>
      </c>
      <c r="U653">
        <v>39</v>
      </c>
      <c r="V653">
        <v>35</v>
      </c>
      <c r="W653">
        <v>39</v>
      </c>
      <c r="X653">
        <v>42</v>
      </c>
      <c r="Y653">
        <f t="shared" si="300"/>
        <v>152</v>
      </c>
      <c r="Z653">
        <f t="shared" si="301"/>
        <v>152</v>
      </c>
      <c r="AA653">
        <f t="shared" si="302"/>
        <v>120</v>
      </c>
      <c r="AB653">
        <f t="shared" si="303"/>
        <v>120</v>
      </c>
      <c r="AC653">
        <f t="shared" si="304"/>
        <v>105</v>
      </c>
      <c r="AD653">
        <f t="shared" si="305"/>
        <v>117</v>
      </c>
      <c r="AE653">
        <f t="shared" si="306"/>
        <v>107</v>
      </c>
      <c r="AF653">
        <f t="shared" si="307"/>
        <v>75</v>
      </c>
      <c r="AG653">
        <f t="shared" si="308"/>
        <v>67</v>
      </c>
      <c r="AH653">
        <f t="shared" si="309"/>
        <v>54</v>
      </c>
      <c r="AI653">
        <f t="shared" si="310"/>
        <v>100</v>
      </c>
      <c r="AJ653">
        <f t="shared" si="311"/>
        <v>91</v>
      </c>
      <c r="AK653">
        <f t="shared" si="312"/>
        <v>59</v>
      </c>
      <c r="AL653">
        <f t="shared" si="313"/>
        <v>53</v>
      </c>
      <c r="AM653">
        <f t="shared" si="314"/>
        <v>39</v>
      </c>
      <c r="AN653">
        <f t="shared" si="315"/>
        <v>95</v>
      </c>
      <c r="AO653">
        <f t="shared" si="316"/>
        <v>87</v>
      </c>
      <c r="AP653">
        <f t="shared" si="317"/>
        <v>55</v>
      </c>
      <c r="AQ653">
        <f t="shared" si="318"/>
        <v>49</v>
      </c>
      <c r="AR653">
        <f t="shared" si="319"/>
        <v>36</v>
      </c>
      <c r="AS653">
        <f t="shared" si="320"/>
        <v>100</v>
      </c>
      <c r="AT653">
        <f t="shared" si="321"/>
        <v>91</v>
      </c>
      <c r="AU653">
        <f t="shared" si="322"/>
        <v>59</v>
      </c>
      <c r="AV653">
        <f t="shared" si="323"/>
        <v>53</v>
      </c>
      <c r="AW653">
        <f t="shared" si="324"/>
        <v>39</v>
      </c>
      <c r="AX653">
        <f t="shared" si="325"/>
        <v>103</v>
      </c>
      <c r="AY653">
        <f t="shared" si="326"/>
        <v>94</v>
      </c>
      <c r="AZ653">
        <f t="shared" si="327"/>
        <v>62</v>
      </c>
      <c r="BA653">
        <f t="shared" si="328"/>
        <v>55</v>
      </c>
      <c r="BB653">
        <f t="shared" si="329"/>
        <v>42</v>
      </c>
    </row>
    <row r="654" spans="1:54" x14ac:dyDescent="0.15">
      <c r="B654" t="s">
        <v>2337</v>
      </c>
      <c r="C654">
        <v>505</v>
      </c>
      <c r="D654">
        <v>0</v>
      </c>
      <c r="E654" t="s">
        <v>2338</v>
      </c>
      <c r="G654" t="s">
        <v>2338</v>
      </c>
      <c r="J654" t="s">
        <v>2339</v>
      </c>
      <c r="K654">
        <v>27</v>
      </c>
      <c r="L654">
        <v>1.1000000000000001</v>
      </c>
      <c r="M654" t="s">
        <v>120</v>
      </c>
      <c r="O654" t="s">
        <v>683</v>
      </c>
      <c r="P654" t="s">
        <v>121</v>
      </c>
      <c r="Q654" t="s">
        <v>490</v>
      </c>
      <c r="R654">
        <v>7</v>
      </c>
      <c r="S654">
        <v>60</v>
      </c>
      <c r="T654">
        <v>85</v>
      </c>
      <c r="U654">
        <v>69</v>
      </c>
      <c r="V654">
        <v>60</v>
      </c>
      <c r="W654">
        <v>69</v>
      </c>
      <c r="X654">
        <v>77</v>
      </c>
      <c r="Y654">
        <f t="shared" si="300"/>
        <v>167</v>
      </c>
      <c r="Z654">
        <f t="shared" si="301"/>
        <v>167</v>
      </c>
      <c r="AA654">
        <f t="shared" si="302"/>
        <v>135</v>
      </c>
      <c r="AB654">
        <f t="shared" si="303"/>
        <v>135</v>
      </c>
      <c r="AC654">
        <f t="shared" si="304"/>
        <v>120</v>
      </c>
      <c r="AD654">
        <f t="shared" si="305"/>
        <v>150</v>
      </c>
      <c r="AE654">
        <f t="shared" si="306"/>
        <v>137</v>
      </c>
      <c r="AF654">
        <f t="shared" si="307"/>
        <v>105</v>
      </c>
      <c r="AG654">
        <f t="shared" si="308"/>
        <v>94</v>
      </c>
      <c r="AH654">
        <f t="shared" si="309"/>
        <v>81</v>
      </c>
      <c r="AI654">
        <f t="shared" si="310"/>
        <v>133</v>
      </c>
      <c r="AJ654">
        <f t="shared" si="311"/>
        <v>121</v>
      </c>
      <c r="AK654">
        <f t="shared" si="312"/>
        <v>89</v>
      </c>
      <c r="AL654">
        <f t="shared" si="313"/>
        <v>80</v>
      </c>
      <c r="AM654">
        <f t="shared" si="314"/>
        <v>66</v>
      </c>
      <c r="AN654">
        <f t="shared" si="315"/>
        <v>123</v>
      </c>
      <c r="AO654">
        <f t="shared" si="316"/>
        <v>112</v>
      </c>
      <c r="AP654">
        <f t="shared" si="317"/>
        <v>80</v>
      </c>
      <c r="AQ654">
        <f t="shared" si="318"/>
        <v>72</v>
      </c>
      <c r="AR654">
        <f t="shared" si="319"/>
        <v>58</v>
      </c>
      <c r="AS654">
        <f t="shared" si="320"/>
        <v>133</v>
      </c>
      <c r="AT654">
        <f t="shared" si="321"/>
        <v>121</v>
      </c>
      <c r="AU654">
        <f t="shared" si="322"/>
        <v>89</v>
      </c>
      <c r="AV654">
        <f t="shared" si="323"/>
        <v>80</v>
      </c>
      <c r="AW654">
        <f t="shared" si="324"/>
        <v>66</v>
      </c>
      <c r="AX654">
        <f t="shared" si="325"/>
        <v>141</v>
      </c>
      <c r="AY654">
        <f t="shared" si="326"/>
        <v>129</v>
      </c>
      <c r="AZ654">
        <f t="shared" si="327"/>
        <v>97</v>
      </c>
      <c r="BA654">
        <f t="shared" si="328"/>
        <v>87</v>
      </c>
      <c r="BB654">
        <f t="shared" si="329"/>
        <v>73</v>
      </c>
    </row>
    <row r="655" spans="1:54" x14ac:dyDescent="0.15">
      <c r="B655" t="s">
        <v>2340</v>
      </c>
      <c r="C655">
        <v>506</v>
      </c>
      <c r="D655">
        <v>0</v>
      </c>
      <c r="E655" t="s">
        <v>2341</v>
      </c>
      <c r="G655" t="s">
        <v>2341</v>
      </c>
      <c r="J655" t="s">
        <v>364</v>
      </c>
      <c r="K655">
        <v>4.0999999999999996</v>
      </c>
      <c r="L655">
        <v>0.4</v>
      </c>
      <c r="M655" t="s">
        <v>120</v>
      </c>
      <c r="O655" t="s">
        <v>355</v>
      </c>
      <c r="P655" t="s">
        <v>321</v>
      </c>
      <c r="Q655" t="s">
        <v>92</v>
      </c>
      <c r="R655">
        <v>8</v>
      </c>
      <c r="S655">
        <v>45</v>
      </c>
      <c r="T655">
        <v>60</v>
      </c>
      <c r="U655">
        <v>45</v>
      </c>
      <c r="V655">
        <v>25</v>
      </c>
      <c r="W655">
        <v>45</v>
      </c>
      <c r="X655">
        <v>55</v>
      </c>
      <c r="Y655">
        <f t="shared" si="300"/>
        <v>152</v>
      </c>
      <c r="Z655">
        <f t="shared" si="301"/>
        <v>152</v>
      </c>
      <c r="AA655">
        <f t="shared" si="302"/>
        <v>120</v>
      </c>
      <c r="AB655">
        <f t="shared" si="303"/>
        <v>120</v>
      </c>
      <c r="AC655">
        <f t="shared" si="304"/>
        <v>105</v>
      </c>
      <c r="AD655">
        <f t="shared" si="305"/>
        <v>123</v>
      </c>
      <c r="AE655">
        <f t="shared" si="306"/>
        <v>112</v>
      </c>
      <c r="AF655">
        <f t="shared" si="307"/>
        <v>80</v>
      </c>
      <c r="AG655">
        <f t="shared" si="308"/>
        <v>72</v>
      </c>
      <c r="AH655">
        <f t="shared" si="309"/>
        <v>58</v>
      </c>
      <c r="AI655">
        <f t="shared" si="310"/>
        <v>106</v>
      </c>
      <c r="AJ655">
        <f t="shared" si="311"/>
        <v>97</v>
      </c>
      <c r="AK655">
        <f t="shared" si="312"/>
        <v>65</v>
      </c>
      <c r="AL655">
        <f t="shared" si="313"/>
        <v>58</v>
      </c>
      <c r="AM655">
        <f t="shared" si="314"/>
        <v>45</v>
      </c>
      <c r="AN655">
        <f t="shared" si="315"/>
        <v>84</v>
      </c>
      <c r="AO655">
        <f t="shared" si="316"/>
        <v>77</v>
      </c>
      <c r="AP655">
        <f t="shared" si="317"/>
        <v>45</v>
      </c>
      <c r="AQ655">
        <f t="shared" si="318"/>
        <v>40</v>
      </c>
      <c r="AR655">
        <f t="shared" si="319"/>
        <v>27</v>
      </c>
      <c r="AS655">
        <f t="shared" si="320"/>
        <v>106</v>
      </c>
      <c r="AT655">
        <f t="shared" si="321"/>
        <v>97</v>
      </c>
      <c r="AU655">
        <f t="shared" si="322"/>
        <v>65</v>
      </c>
      <c r="AV655">
        <f t="shared" si="323"/>
        <v>58</v>
      </c>
      <c r="AW655">
        <f t="shared" si="324"/>
        <v>45</v>
      </c>
      <c r="AX655">
        <f t="shared" si="325"/>
        <v>117</v>
      </c>
      <c r="AY655">
        <f t="shared" si="326"/>
        <v>107</v>
      </c>
      <c r="AZ655">
        <f t="shared" si="327"/>
        <v>75</v>
      </c>
      <c r="BA655">
        <f t="shared" si="328"/>
        <v>67</v>
      </c>
      <c r="BB655">
        <f t="shared" si="329"/>
        <v>54</v>
      </c>
    </row>
    <row r="656" spans="1:54" x14ac:dyDescent="0.15">
      <c r="B656" t="s">
        <v>2342</v>
      </c>
      <c r="C656">
        <v>507</v>
      </c>
      <c r="D656">
        <v>0</v>
      </c>
      <c r="E656" t="s">
        <v>2343</v>
      </c>
      <c r="G656" t="s">
        <v>2343</v>
      </c>
      <c r="J656" t="s">
        <v>2344</v>
      </c>
      <c r="K656">
        <v>14.7</v>
      </c>
      <c r="L656">
        <v>0.9</v>
      </c>
      <c r="M656" t="s">
        <v>120</v>
      </c>
      <c r="O656" t="s">
        <v>155</v>
      </c>
      <c r="P656" t="s">
        <v>198</v>
      </c>
      <c r="Q656" t="s">
        <v>499</v>
      </c>
      <c r="R656">
        <v>8</v>
      </c>
      <c r="S656">
        <v>65</v>
      </c>
      <c r="T656">
        <v>80</v>
      </c>
      <c r="U656">
        <v>65</v>
      </c>
      <c r="V656">
        <v>35</v>
      </c>
      <c r="W656">
        <v>65</v>
      </c>
      <c r="X656">
        <v>60</v>
      </c>
      <c r="Y656">
        <f t="shared" si="300"/>
        <v>172</v>
      </c>
      <c r="Z656">
        <f t="shared" si="301"/>
        <v>172</v>
      </c>
      <c r="AA656">
        <f t="shared" si="302"/>
        <v>140</v>
      </c>
      <c r="AB656">
        <f t="shared" si="303"/>
        <v>140</v>
      </c>
      <c r="AC656">
        <f t="shared" si="304"/>
        <v>125</v>
      </c>
      <c r="AD656">
        <f t="shared" si="305"/>
        <v>145</v>
      </c>
      <c r="AE656">
        <f t="shared" si="306"/>
        <v>132</v>
      </c>
      <c r="AF656">
        <f t="shared" si="307"/>
        <v>100</v>
      </c>
      <c r="AG656">
        <f t="shared" si="308"/>
        <v>90</v>
      </c>
      <c r="AH656">
        <f t="shared" si="309"/>
        <v>76</v>
      </c>
      <c r="AI656">
        <f t="shared" si="310"/>
        <v>128</v>
      </c>
      <c r="AJ656">
        <f t="shared" si="311"/>
        <v>117</v>
      </c>
      <c r="AK656">
        <f t="shared" si="312"/>
        <v>85</v>
      </c>
      <c r="AL656">
        <f t="shared" si="313"/>
        <v>76</v>
      </c>
      <c r="AM656">
        <f t="shared" si="314"/>
        <v>63</v>
      </c>
      <c r="AN656">
        <f t="shared" si="315"/>
        <v>95</v>
      </c>
      <c r="AO656">
        <f t="shared" si="316"/>
        <v>87</v>
      </c>
      <c r="AP656">
        <f t="shared" si="317"/>
        <v>55</v>
      </c>
      <c r="AQ656">
        <f t="shared" si="318"/>
        <v>49</v>
      </c>
      <c r="AR656">
        <f t="shared" si="319"/>
        <v>36</v>
      </c>
      <c r="AS656">
        <f t="shared" si="320"/>
        <v>128</v>
      </c>
      <c r="AT656">
        <f t="shared" si="321"/>
        <v>117</v>
      </c>
      <c r="AU656">
        <f t="shared" si="322"/>
        <v>85</v>
      </c>
      <c r="AV656">
        <f t="shared" si="323"/>
        <v>76</v>
      </c>
      <c r="AW656">
        <f t="shared" si="324"/>
        <v>63</v>
      </c>
      <c r="AX656">
        <f t="shared" si="325"/>
        <v>123</v>
      </c>
      <c r="AY656">
        <f t="shared" si="326"/>
        <v>112</v>
      </c>
      <c r="AZ656">
        <f t="shared" si="327"/>
        <v>80</v>
      </c>
      <c r="BA656">
        <f t="shared" si="328"/>
        <v>72</v>
      </c>
      <c r="BB656">
        <f t="shared" si="329"/>
        <v>58</v>
      </c>
    </row>
    <row r="657" spans="1:54" x14ac:dyDescent="0.15">
      <c r="B657" t="s">
        <v>2345</v>
      </c>
      <c r="C657">
        <v>508</v>
      </c>
      <c r="D657">
        <v>0</v>
      </c>
      <c r="E657" t="s">
        <v>2346</v>
      </c>
      <c r="G657" t="s">
        <v>2346</v>
      </c>
      <c r="J657" t="s">
        <v>2347</v>
      </c>
      <c r="K657">
        <v>61</v>
      </c>
      <c r="L657">
        <v>1.2</v>
      </c>
      <c r="M657" t="s">
        <v>120</v>
      </c>
      <c r="O657" t="s">
        <v>155</v>
      </c>
      <c r="P657" t="s">
        <v>198</v>
      </c>
      <c r="Q657" t="s">
        <v>499</v>
      </c>
      <c r="R657">
        <v>8</v>
      </c>
      <c r="S657">
        <v>85</v>
      </c>
      <c r="T657">
        <v>110</v>
      </c>
      <c r="U657">
        <v>90</v>
      </c>
      <c r="V657">
        <v>45</v>
      </c>
      <c r="W657">
        <v>90</v>
      </c>
      <c r="X657">
        <v>80</v>
      </c>
      <c r="Y657">
        <f t="shared" si="300"/>
        <v>192</v>
      </c>
      <c r="Z657">
        <f t="shared" si="301"/>
        <v>192</v>
      </c>
      <c r="AA657">
        <f t="shared" si="302"/>
        <v>160</v>
      </c>
      <c r="AB657">
        <f t="shared" si="303"/>
        <v>160</v>
      </c>
      <c r="AC657">
        <f t="shared" si="304"/>
        <v>145</v>
      </c>
      <c r="AD657">
        <f t="shared" si="305"/>
        <v>178</v>
      </c>
      <c r="AE657">
        <f t="shared" si="306"/>
        <v>162</v>
      </c>
      <c r="AF657">
        <f t="shared" si="307"/>
        <v>130</v>
      </c>
      <c r="AG657">
        <f t="shared" si="308"/>
        <v>117</v>
      </c>
      <c r="AH657">
        <f t="shared" si="309"/>
        <v>103</v>
      </c>
      <c r="AI657">
        <f t="shared" si="310"/>
        <v>156</v>
      </c>
      <c r="AJ657">
        <f t="shared" si="311"/>
        <v>142</v>
      </c>
      <c r="AK657">
        <f t="shared" si="312"/>
        <v>110</v>
      </c>
      <c r="AL657">
        <f t="shared" si="313"/>
        <v>99</v>
      </c>
      <c r="AM657">
        <f t="shared" si="314"/>
        <v>85</v>
      </c>
      <c r="AN657">
        <f t="shared" si="315"/>
        <v>106</v>
      </c>
      <c r="AO657">
        <f t="shared" si="316"/>
        <v>97</v>
      </c>
      <c r="AP657">
        <f t="shared" si="317"/>
        <v>65</v>
      </c>
      <c r="AQ657">
        <f t="shared" si="318"/>
        <v>58</v>
      </c>
      <c r="AR657">
        <f t="shared" si="319"/>
        <v>45</v>
      </c>
      <c r="AS657">
        <f t="shared" si="320"/>
        <v>156</v>
      </c>
      <c r="AT657">
        <f t="shared" si="321"/>
        <v>142</v>
      </c>
      <c r="AU657">
        <f t="shared" si="322"/>
        <v>110</v>
      </c>
      <c r="AV657">
        <f t="shared" si="323"/>
        <v>99</v>
      </c>
      <c r="AW657">
        <f t="shared" si="324"/>
        <v>85</v>
      </c>
      <c r="AX657">
        <f t="shared" si="325"/>
        <v>145</v>
      </c>
      <c r="AY657">
        <f t="shared" si="326"/>
        <v>132</v>
      </c>
      <c r="AZ657">
        <f t="shared" si="327"/>
        <v>100</v>
      </c>
      <c r="BA657">
        <f t="shared" si="328"/>
        <v>90</v>
      </c>
      <c r="BB657">
        <f t="shared" si="329"/>
        <v>76</v>
      </c>
    </row>
    <row r="658" spans="1:54" x14ac:dyDescent="0.15">
      <c r="B658" t="s">
        <v>2348</v>
      </c>
      <c r="C658">
        <v>509</v>
      </c>
      <c r="D658">
        <v>0</v>
      </c>
      <c r="E658" t="s">
        <v>2349</v>
      </c>
      <c r="G658" t="s">
        <v>2349</v>
      </c>
      <c r="J658" t="s">
        <v>2350</v>
      </c>
      <c r="K658">
        <v>10.1</v>
      </c>
      <c r="L658">
        <v>0.4</v>
      </c>
      <c r="M658" t="s">
        <v>140</v>
      </c>
      <c r="O658" t="s">
        <v>336</v>
      </c>
      <c r="P658" t="s">
        <v>624</v>
      </c>
      <c r="Q658" t="s">
        <v>1027</v>
      </c>
      <c r="R658">
        <v>8</v>
      </c>
      <c r="S658">
        <v>41</v>
      </c>
      <c r="T658">
        <v>50</v>
      </c>
      <c r="U658">
        <v>37</v>
      </c>
      <c r="V658">
        <v>50</v>
      </c>
      <c r="W658">
        <v>37</v>
      </c>
      <c r="X658">
        <v>66</v>
      </c>
      <c r="Y658">
        <f t="shared" si="300"/>
        <v>148</v>
      </c>
      <c r="Z658">
        <f t="shared" si="301"/>
        <v>148</v>
      </c>
      <c r="AA658">
        <f t="shared" si="302"/>
        <v>116</v>
      </c>
      <c r="AB658">
        <f t="shared" si="303"/>
        <v>116</v>
      </c>
      <c r="AC658">
        <f t="shared" si="304"/>
        <v>101</v>
      </c>
      <c r="AD658">
        <f t="shared" si="305"/>
        <v>112</v>
      </c>
      <c r="AE658">
        <f t="shared" si="306"/>
        <v>102</v>
      </c>
      <c r="AF658">
        <f t="shared" si="307"/>
        <v>70</v>
      </c>
      <c r="AG658">
        <f t="shared" si="308"/>
        <v>63</v>
      </c>
      <c r="AH658">
        <f t="shared" si="309"/>
        <v>49</v>
      </c>
      <c r="AI658">
        <f t="shared" si="310"/>
        <v>97</v>
      </c>
      <c r="AJ658">
        <f t="shared" si="311"/>
        <v>89</v>
      </c>
      <c r="AK658">
        <f t="shared" si="312"/>
        <v>57</v>
      </c>
      <c r="AL658">
        <f t="shared" si="313"/>
        <v>51</v>
      </c>
      <c r="AM658">
        <f t="shared" si="314"/>
        <v>37</v>
      </c>
      <c r="AN658">
        <f t="shared" si="315"/>
        <v>112</v>
      </c>
      <c r="AO658">
        <f t="shared" si="316"/>
        <v>102</v>
      </c>
      <c r="AP658">
        <f t="shared" si="317"/>
        <v>70</v>
      </c>
      <c r="AQ658">
        <f t="shared" si="318"/>
        <v>63</v>
      </c>
      <c r="AR658">
        <f t="shared" si="319"/>
        <v>49</v>
      </c>
      <c r="AS658">
        <f t="shared" si="320"/>
        <v>97</v>
      </c>
      <c r="AT658">
        <f t="shared" si="321"/>
        <v>89</v>
      </c>
      <c r="AU658">
        <f t="shared" si="322"/>
        <v>57</v>
      </c>
      <c r="AV658">
        <f t="shared" si="323"/>
        <v>51</v>
      </c>
      <c r="AW658">
        <f t="shared" si="324"/>
        <v>37</v>
      </c>
      <c r="AX658">
        <f t="shared" si="325"/>
        <v>129</v>
      </c>
      <c r="AY658">
        <f t="shared" si="326"/>
        <v>118</v>
      </c>
      <c r="AZ658">
        <f t="shared" si="327"/>
        <v>86</v>
      </c>
      <c r="BA658">
        <f t="shared" si="328"/>
        <v>77</v>
      </c>
      <c r="BB658">
        <f t="shared" si="329"/>
        <v>63</v>
      </c>
    </row>
    <row r="659" spans="1:54" x14ac:dyDescent="0.15">
      <c r="B659" t="s">
        <v>2351</v>
      </c>
      <c r="C659">
        <v>510</v>
      </c>
      <c r="D659">
        <v>0</v>
      </c>
      <c r="E659" t="s">
        <v>2352</v>
      </c>
      <c r="G659" t="s">
        <v>2352</v>
      </c>
      <c r="J659" t="s">
        <v>809</v>
      </c>
      <c r="K659">
        <v>37.5</v>
      </c>
      <c r="L659">
        <v>1.1000000000000001</v>
      </c>
      <c r="M659" t="s">
        <v>140</v>
      </c>
      <c r="O659" t="s">
        <v>336</v>
      </c>
      <c r="P659" t="s">
        <v>624</v>
      </c>
      <c r="Q659" t="s">
        <v>1027</v>
      </c>
      <c r="R659">
        <v>8</v>
      </c>
      <c r="S659">
        <v>64</v>
      </c>
      <c r="T659">
        <v>88</v>
      </c>
      <c r="U659">
        <v>50</v>
      </c>
      <c r="V659">
        <v>88</v>
      </c>
      <c r="W659">
        <v>50</v>
      </c>
      <c r="X659">
        <v>106</v>
      </c>
      <c r="Y659">
        <f t="shared" si="300"/>
        <v>171</v>
      </c>
      <c r="Z659">
        <f t="shared" si="301"/>
        <v>171</v>
      </c>
      <c r="AA659">
        <f t="shared" si="302"/>
        <v>139</v>
      </c>
      <c r="AB659">
        <f t="shared" si="303"/>
        <v>139</v>
      </c>
      <c r="AC659">
        <f t="shared" si="304"/>
        <v>124</v>
      </c>
      <c r="AD659">
        <f t="shared" si="305"/>
        <v>154</v>
      </c>
      <c r="AE659">
        <f t="shared" si="306"/>
        <v>140</v>
      </c>
      <c r="AF659">
        <f t="shared" si="307"/>
        <v>108</v>
      </c>
      <c r="AG659">
        <f t="shared" si="308"/>
        <v>97</v>
      </c>
      <c r="AH659">
        <f t="shared" si="309"/>
        <v>83</v>
      </c>
      <c r="AI659">
        <f t="shared" si="310"/>
        <v>112</v>
      </c>
      <c r="AJ659">
        <f t="shared" si="311"/>
        <v>102</v>
      </c>
      <c r="AK659">
        <f t="shared" si="312"/>
        <v>70</v>
      </c>
      <c r="AL659">
        <f t="shared" si="313"/>
        <v>63</v>
      </c>
      <c r="AM659">
        <f t="shared" si="314"/>
        <v>49</v>
      </c>
      <c r="AN659">
        <f t="shared" si="315"/>
        <v>154</v>
      </c>
      <c r="AO659">
        <f t="shared" si="316"/>
        <v>140</v>
      </c>
      <c r="AP659">
        <f t="shared" si="317"/>
        <v>108</v>
      </c>
      <c r="AQ659">
        <f t="shared" si="318"/>
        <v>97</v>
      </c>
      <c r="AR659">
        <f t="shared" si="319"/>
        <v>83</v>
      </c>
      <c r="AS659">
        <f t="shared" si="320"/>
        <v>112</v>
      </c>
      <c r="AT659">
        <f t="shared" si="321"/>
        <v>102</v>
      </c>
      <c r="AU659">
        <f t="shared" si="322"/>
        <v>70</v>
      </c>
      <c r="AV659">
        <f t="shared" si="323"/>
        <v>63</v>
      </c>
      <c r="AW659">
        <f t="shared" si="324"/>
        <v>49</v>
      </c>
      <c r="AX659">
        <f t="shared" si="325"/>
        <v>173</v>
      </c>
      <c r="AY659">
        <f t="shared" si="326"/>
        <v>158</v>
      </c>
      <c r="AZ659">
        <f t="shared" si="327"/>
        <v>126</v>
      </c>
      <c r="BA659">
        <f t="shared" si="328"/>
        <v>113</v>
      </c>
      <c r="BB659">
        <f t="shared" si="329"/>
        <v>99</v>
      </c>
    </row>
    <row r="660" spans="1:54" x14ac:dyDescent="0.15">
      <c r="B660" t="s">
        <v>2353</v>
      </c>
      <c r="C660">
        <v>511</v>
      </c>
      <c r="D660">
        <v>0</v>
      </c>
      <c r="E660" t="s">
        <v>2354</v>
      </c>
      <c r="G660" t="s">
        <v>2354</v>
      </c>
      <c r="J660" t="s">
        <v>2355</v>
      </c>
      <c r="K660">
        <v>10.5</v>
      </c>
      <c r="L660">
        <v>0.6</v>
      </c>
      <c r="M660" t="s">
        <v>26</v>
      </c>
      <c r="O660" t="s">
        <v>141</v>
      </c>
      <c r="P660" t="s">
        <v>28</v>
      </c>
      <c r="R660">
        <v>7</v>
      </c>
      <c r="S660">
        <v>50</v>
      </c>
      <c r="T660">
        <v>53</v>
      </c>
      <c r="U660">
        <v>48</v>
      </c>
      <c r="V660">
        <v>53</v>
      </c>
      <c r="W660">
        <v>48</v>
      </c>
      <c r="X660">
        <v>64</v>
      </c>
      <c r="Y660">
        <f t="shared" si="300"/>
        <v>157</v>
      </c>
      <c r="Z660">
        <f t="shared" si="301"/>
        <v>157</v>
      </c>
      <c r="AA660">
        <f t="shared" si="302"/>
        <v>125</v>
      </c>
      <c r="AB660">
        <f t="shared" si="303"/>
        <v>125</v>
      </c>
      <c r="AC660">
        <f t="shared" si="304"/>
        <v>110</v>
      </c>
      <c r="AD660">
        <f t="shared" si="305"/>
        <v>115</v>
      </c>
      <c r="AE660">
        <f t="shared" si="306"/>
        <v>105</v>
      </c>
      <c r="AF660">
        <f t="shared" si="307"/>
        <v>73</v>
      </c>
      <c r="AG660">
        <f t="shared" si="308"/>
        <v>65</v>
      </c>
      <c r="AH660">
        <f t="shared" si="309"/>
        <v>52</v>
      </c>
      <c r="AI660">
        <f t="shared" si="310"/>
        <v>110</v>
      </c>
      <c r="AJ660">
        <f t="shared" si="311"/>
        <v>100</v>
      </c>
      <c r="AK660">
        <f t="shared" si="312"/>
        <v>68</v>
      </c>
      <c r="AL660">
        <f t="shared" si="313"/>
        <v>61</v>
      </c>
      <c r="AM660">
        <f t="shared" si="314"/>
        <v>47</v>
      </c>
      <c r="AN660">
        <f t="shared" si="315"/>
        <v>115</v>
      </c>
      <c r="AO660">
        <f t="shared" si="316"/>
        <v>105</v>
      </c>
      <c r="AP660">
        <f t="shared" si="317"/>
        <v>73</v>
      </c>
      <c r="AQ660">
        <f t="shared" si="318"/>
        <v>65</v>
      </c>
      <c r="AR660">
        <f t="shared" si="319"/>
        <v>52</v>
      </c>
      <c r="AS660">
        <f t="shared" si="320"/>
        <v>110</v>
      </c>
      <c r="AT660">
        <f t="shared" si="321"/>
        <v>100</v>
      </c>
      <c r="AU660">
        <f t="shared" si="322"/>
        <v>68</v>
      </c>
      <c r="AV660">
        <f t="shared" si="323"/>
        <v>61</v>
      </c>
      <c r="AW660">
        <f t="shared" si="324"/>
        <v>47</v>
      </c>
      <c r="AX660">
        <f t="shared" si="325"/>
        <v>127</v>
      </c>
      <c r="AY660">
        <f t="shared" si="326"/>
        <v>116</v>
      </c>
      <c r="AZ660">
        <f t="shared" si="327"/>
        <v>84</v>
      </c>
      <c r="BA660">
        <f t="shared" si="328"/>
        <v>75</v>
      </c>
      <c r="BB660">
        <f t="shared" si="329"/>
        <v>62</v>
      </c>
    </row>
    <row r="661" spans="1:54" x14ac:dyDescent="0.15">
      <c r="B661" t="s">
        <v>2356</v>
      </c>
      <c r="C661">
        <v>512</v>
      </c>
      <c r="D661">
        <v>0</v>
      </c>
      <c r="E661" t="s">
        <v>2357</v>
      </c>
      <c r="G661" t="s">
        <v>2357</v>
      </c>
      <c r="J661" t="s">
        <v>2358</v>
      </c>
      <c r="K661">
        <v>30.5</v>
      </c>
      <c r="L661">
        <v>1.1000000000000001</v>
      </c>
      <c r="M661" t="s">
        <v>26</v>
      </c>
      <c r="O661" t="s">
        <v>141</v>
      </c>
      <c r="P661" t="s">
        <v>28</v>
      </c>
      <c r="R661">
        <v>7</v>
      </c>
      <c r="S661">
        <v>75</v>
      </c>
      <c r="T661">
        <v>98</v>
      </c>
      <c r="U661">
        <v>63</v>
      </c>
      <c r="V661">
        <v>98</v>
      </c>
      <c r="W661">
        <v>63</v>
      </c>
      <c r="X661">
        <v>101</v>
      </c>
      <c r="Y661">
        <f t="shared" si="300"/>
        <v>182</v>
      </c>
      <c r="Z661">
        <f t="shared" si="301"/>
        <v>182</v>
      </c>
      <c r="AA661">
        <f t="shared" si="302"/>
        <v>150</v>
      </c>
      <c r="AB661">
        <f t="shared" si="303"/>
        <v>150</v>
      </c>
      <c r="AC661">
        <f t="shared" si="304"/>
        <v>135</v>
      </c>
      <c r="AD661">
        <f t="shared" si="305"/>
        <v>165</v>
      </c>
      <c r="AE661">
        <f t="shared" si="306"/>
        <v>150</v>
      </c>
      <c r="AF661">
        <f t="shared" si="307"/>
        <v>118</v>
      </c>
      <c r="AG661">
        <f t="shared" si="308"/>
        <v>106</v>
      </c>
      <c r="AH661">
        <f t="shared" si="309"/>
        <v>92</v>
      </c>
      <c r="AI661">
        <f t="shared" si="310"/>
        <v>126</v>
      </c>
      <c r="AJ661">
        <f t="shared" si="311"/>
        <v>115</v>
      </c>
      <c r="AK661">
        <f t="shared" si="312"/>
        <v>83</v>
      </c>
      <c r="AL661">
        <f t="shared" si="313"/>
        <v>74</v>
      </c>
      <c r="AM661">
        <f t="shared" si="314"/>
        <v>61</v>
      </c>
      <c r="AN661">
        <f t="shared" si="315"/>
        <v>165</v>
      </c>
      <c r="AO661">
        <f t="shared" si="316"/>
        <v>150</v>
      </c>
      <c r="AP661">
        <f t="shared" si="317"/>
        <v>118</v>
      </c>
      <c r="AQ661">
        <f t="shared" si="318"/>
        <v>106</v>
      </c>
      <c r="AR661">
        <f t="shared" si="319"/>
        <v>92</v>
      </c>
      <c r="AS661">
        <f t="shared" si="320"/>
        <v>126</v>
      </c>
      <c r="AT661">
        <f t="shared" si="321"/>
        <v>115</v>
      </c>
      <c r="AU661">
        <f t="shared" si="322"/>
        <v>83</v>
      </c>
      <c r="AV661">
        <f t="shared" si="323"/>
        <v>74</v>
      </c>
      <c r="AW661">
        <f t="shared" si="324"/>
        <v>61</v>
      </c>
      <c r="AX661">
        <f t="shared" si="325"/>
        <v>168</v>
      </c>
      <c r="AY661">
        <f t="shared" si="326"/>
        <v>153</v>
      </c>
      <c r="AZ661">
        <f t="shared" si="327"/>
        <v>121</v>
      </c>
      <c r="BA661">
        <f t="shared" si="328"/>
        <v>108</v>
      </c>
      <c r="BB661">
        <f t="shared" si="329"/>
        <v>95</v>
      </c>
    </row>
    <row r="662" spans="1:54" x14ac:dyDescent="0.15">
      <c r="B662" t="s">
        <v>2359</v>
      </c>
      <c r="C662">
        <v>513</v>
      </c>
      <c r="D662">
        <v>0</v>
      </c>
      <c r="E662" t="s">
        <v>2360</v>
      </c>
      <c r="G662" t="s">
        <v>2360</v>
      </c>
      <c r="J662" t="s">
        <v>2361</v>
      </c>
      <c r="K662">
        <v>11</v>
      </c>
      <c r="L662">
        <v>0.6</v>
      </c>
      <c r="M662" t="s">
        <v>47</v>
      </c>
      <c r="O662" t="s">
        <v>141</v>
      </c>
      <c r="P662" t="s">
        <v>48</v>
      </c>
      <c r="R662">
        <v>7</v>
      </c>
      <c r="S662">
        <v>50</v>
      </c>
      <c r="T662">
        <v>53</v>
      </c>
      <c r="U662">
        <v>48</v>
      </c>
      <c r="V662">
        <v>53</v>
      </c>
      <c r="W662">
        <v>48</v>
      </c>
      <c r="X662">
        <v>64</v>
      </c>
      <c r="Y662">
        <f t="shared" si="300"/>
        <v>157</v>
      </c>
      <c r="Z662">
        <f t="shared" si="301"/>
        <v>157</v>
      </c>
      <c r="AA662">
        <f t="shared" si="302"/>
        <v>125</v>
      </c>
      <c r="AB662">
        <f t="shared" si="303"/>
        <v>125</v>
      </c>
      <c r="AC662">
        <f t="shared" si="304"/>
        <v>110</v>
      </c>
      <c r="AD662">
        <f t="shared" si="305"/>
        <v>115</v>
      </c>
      <c r="AE662">
        <f t="shared" si="306"/>
        <v>105</v>
      </c>
      <c r="AF662">
        <f t="shared" si="307"/>
        <v>73</v>
      </c>
      <c r="AG662">
        <f t="shared" si="308"/>
        <v>65</v>
      </c>
      <c r="AH662">
        <f t="shared" si="309"/>
        <v>52</v>
      </c>
      <c r="AI662">
        <f t="shared" si="310"/>
        <v>110</v>
      </c>
      <c r="AJ662">
        <f t="shared" si="311"/>
        <v>100</v>
      </c>
      <c r="AK662">
        <f t="shared" si="312"/>
        <v>68</v>
      </c>
      <c r="AL662">
        <f t="shared" si="313"/>
        <v>61</v>
      </c>
      <c r="AM662">
        <f t="shared" si="314"/>
        <v>47</v>
      </c>
      <c r="AN662">
        <f t="shared" si="315"/>
        <v>115</v>
      </c>
      <c r="AO662">
        <f t="shared" si="316"/>
        <v>105</v>
      </c>
      <c r="AP662">
        <f t="shared" si="317"/>
        <v>73</v>
      </c>
      <c r="AQ662">
        <f t="shared" si="318"/>
        <v>65</v>
      </c>
      <c r="AR662">
        <f t="shared" si="319"/>
        <v>52</v>
      </c>
      <c r="AS662">
        <f t="shared" si="320"/>
        <v>110</v>
      </c>
      <c r="AT662">
        <f t="shared" si="321"/>
        <v>100</v>
      </c>
      <c r="AU662">
        <f t="shared" si="322"/>
        <v>68</v>
      </c>
      <c r="AV662">
        <f t="shared" si="323"/>
        <v>61</v>
      </c>
      <c r="AW662">
        <f t="shared" si="324"/>
        <v>47</v>
      </c>
      <c r="AX662">
        <f t="shared" si="325"/>
        <v>127</v>
      </c>
      <c r="AY662">
        <f t="shared" si="326"/>
        <v>116</v>
      </c>
      <c r="AZ662">
        <f t="shared" si="327"/>
        <v>84</v>
      </c>
      <c r="BA662">
        <f t="shared" si="328"/>
        <v>75</v>
      </c>
      <c r="BB662">
        <f t="shared" si="329"/>
        <v>62</v>
      </c>
    </row>
    <row r="663" spans="1:54" x14ac:dyDescent="0.15">
      <c r="B663" t="s">
        <v>2362</v>
      </c>
      <c r="C663">
        <v>514</v>
      </c>
      <c r="D663">
        <v>0</v>
      </c>
      <c r="E663" t="s">
        <v>2363</v>
      </c>
      <c r="G663" t="s">
        <v>2363</v>
      </c>
      <c r="J663" t="s">
        <v>2364</v>
      </c>
      <c r="K663">
        <v>28</v>
      </c>
      <c r="L663">
        <v>1</v>
      </c>
      <c r="M663" t="s">
        <v>47</v>
      </c>
      <c r="O663" t="s">
        <v>141</v>
      </c>
      <c r="P663" t="s">
        <v>48</v>
      </c>
      <c r="R663">
        <v>7</v>
      </c>
      <c r="S663">
        <v>75</v>
      </c>
      <c r="T663">
        <v>98</v>
      </c>
      <c r="U663">
        <v>63</v>
      </c>
      <c r="V663">
        <v>98</v>
      </c>
      <c r="W663">
        <v>63</v>
      </c>
      <c r="X663">
        <v>101</v>
      </c>
      <c r="Y663">
        <f t="shared" si="300"/>
        <v>182</v>
      </c>
      <c r="Z663">
        <f t="shared" si="301"/>
        <v>182</v>
      </c>
      <c r="AA663">
        <f t="shared" si="302"/>
        <v>150</v>
      </c>
      <c r="AB663">
        <f t="shared" si="303"/>
        <v>150</v>
      </c>
      <c r="AC663">
        <f t="shared" si="304"/>
        <v>135</v>
      </c>
      <c r="AD663">
        <f t="shared" si="305"/>
        <v>165</v>
      </c>
      <c r="AE663">
        <f t="shared" si="306"/>
        <v>150</v>
      </c>
      <c r="AF663">
        <f t="shared" si="307"/>
        <v>118</v>
      </c>
      <c r="AG663">
        <f t="shared" si="308"/>
        <v>106</v>
      </c>
      <c r="AH663">
        <f t="shared" si="309"/>
        <v>92</v>
      </c>
      <c r="AI663">
        <f t="shared" si="310"/>
        <v>126</v>
      </c>
      <c r="AJ663">
        <f t="shared" si="311"/>
        <v>115</v>
      </c>
      <c r="AK663">
        <f t="shared" si="312"/>
        <v>83</v>
      </c>
      <c r="AL663">
        <f t="shared" si="313"/>
        <v>74</v>
      </c>
      <c r="AM663">
        <f t="shared" si="314"/>
        <v>61</v>
      </c>
      <c r="AN663">
        <f t="shared" si="315"/>
        <v>165</v>
      </c>
      <c r="AO663">
        <f t="shared" si="316"/>
        <v>150</v>
      </c>
      <c r="AP663">
        <f t="shared" si="317"/>
        <v>118</v>
      </c>
      <c r="AQ663">
        <f t="shared" si="318"/>
        <v>106</v>
      </c>
      <c r="AR663">
        <f t="shared" si="319"/>
        <v>92</v>
      </c>
      <c r="AS663">
        <f t="shared" si="320"/>
        <v>126</v>
      </c>
      <c r="AT663">
        <f t="shared" si="321"/>
        <v>115</v>
      </c>
      <c r="AU663">
        <f t="shared" si="322"/>
        <v>83</v>
      </c>
      <c r="AV663">
        <f t="shared" si="323"/>
        <v>74</v>
      </c>
      <c r="AW663">
        <f t="shared" si="324"/>
        <v>61</v>
      </c>
      <c r="AX663">
        <f t="shared" si="325"/>
        <v>168</v>
      </c>
      <c r="AY663">
        <f t="shared" si="326"/>
        <v>153</v>
      </c>
      <c r="AZ663">
        <f t="shared" si="327"/>
        <v>121</v>
      </c>
      <c r="BA663">
        <f t="shared" si="328"/>
        <v>108</v>
      </c>
      <c r="BB663">
        <f t="shared" si="329"/>
        <v>95</v>
      </c>
    </row>
    <row r="664" spans="1:54" x14ac:dyDescent="0.15">
      <c r="B664" t="s">
        <v>2365</v>
      </c>
      <c r="C664">
        <v>515</v>
      </c>
      <c r="D664">
        <v>0</v>
      </c>
      <c r="E664" t="s">
        <v>2366</v>
      </c>
      <c r="G664" t="s">
        <v>2366</v>
      </c>
      <c r="J664" t="s">
        <v>2367</v>
      </c>
      <c r="K664">
        <v>13.5</v>
      </c>
      <c r="L664">
        <v>0.6</v>
      </c>
      <c r="M664" t="s">
        <v>71</v>
      </c>
      <c r="O664" t="s">
        <v>141</v>
      </c>
      <c r="P664" t="s">
        <v>72</v>
      </c>
      <c r="R664">
        <v>7</v>
      </c>
      <c r="S664">
        <v>50</v>
      </c>
      <c r="T664">
        <v>53</v>
      </c>
      <c r="U664">
        <v>48</v>
      </c>
      <c r="V664">
        <v>53</v>
      </c>
      <c r="W664">
        <v>48</v>
      </c>
      <c r="X664">
        <v>64</v>
      </c>
      <c r="Y664">
        <f t="shared" si="300"/>
        <v>157</v>
      </c>
      <c r="Z664">
        <f t="shared" si="301"/>
        <v>157</v>
      </c>
      <c r="AA664">
        <f t="shared" si="302"/>
        <v>125</v>
      </c>
      <c r="AB664">
        <f t="shared" si="303"/>
        <v>125</v>
      </c>
      <c r="AC664">
        <f t="shared" si="304"/>
        <v>110</v>
      </c>
      <c r="AD664">
        <f t="shared" si="305"/>
        <v>115</v>
      </c>
      <c r="AE664">
        <f t="shared" si="306"/>
        <v>105</v>
      </c>
      <c r="AF664">
        <f t="shared" si="307"/>
        <v>73</v>
      </c>
      <c r="AG664">
        <f t="shared" si="308"/>
        <v>65</v>
      </c>
      <c r="AH664">
        <f t="shared" si="309"/>
        <v>52</v>
      </c>
      <c r="AI664">
        <f t="shared" si="310"/>
        <v>110</v>
      </c>
      <c r="AJ664">
        <f t="shared" si="311"/>
        <v>100</v>
      </c>
      <c r="AK664">
        <f t="shared" si="312"/>
        <v>68</v>
      </c>
      <c r="AL664">
        <f t="shared" si="313"/>
        <v>61</v>
      </c>
      <c r="AM664">
        <f t="shared" si="314"/>
        <v>47</v>
      </c>
      <c r="AN664">
        <f t="shared" si="315"/>
        <v>115</v>
      </c>
      <c r="AO664">
        <f t="shared" si="316"/>
        <v>105</v>
      </c>
      <c r="AP664">
        <f t="shared" si="317"/>
        <v>73</v>
      </c>
      <c r="AQ664">
        <f t="shared" si="318"/>
        <v>65</v>
      </c>
      <c r="AR664">
        <f t="shared" si="319"/>
        <v>52</v>
      </c>
      <c r="AS664">
        <f t="shared" si="320"/>
        <v>110</v>
      </c>
      <c r="AT664">
        <f t="shared" si="321"/>
        <v>100</v>
      </c>
      <c r="AU664">
        <f t="shared" si="322"/>
        <v>68</v>
      </c>
      <c r="AV664">
        <f t="shared" si="323"/>
        <v>61</v>
      </c>
      <c r="AW664">
        <f t="shared" si="324"/>
        <v>47</v>
      </c>
      <c r="AX664">
        <f t="shared" si="325"/>
        <v>127</v>
      </c>
      <c r="AY664">
        <f t="shared" si="326"/>
        <v>116</v>
      </c>
      <c r="AZ664">
        <f t="shared" si="327"/>
        <v>84</v>
      </c>
      <c r="BA664">
        <f t="shared" si="328"/>
        <v>75</v>
      </c>
      <c r="BB664">
        <f t="shared" si="329"/>
        <v>62</v>
      </c>
    </row>
    <row r="665" spans="1:54" x14ac:dyDescent="0.15">
      <c r="B665" t="s">
        <v>2368</v>
      </c>
      <c r="C665">
        <v>516</v>
      </c>
      <c r="D665">
        <v>0</v>
      </c>
      <c r="E665" t="s">
        <v>2369</v>
      </c>
      <c r="G665" t="s">
        <v>2369</v>
      </c>
      <c r="J665" t="s">
        <v>2370</v>
      </c>
      <c r="K665">
        <v>29</v>
      </c>
      <c r="L665">
        <v>1</v>
      </c>
      <c r="M665" t="s">
        <v>71</v>
      </c>
      <c r="O665" t="s">
        <v>141</v>
      </c>
      <c r="P665" t="s">
        <v>72</v>
      </c>
      <c r="R665">
        <v>7</v>
      </c>
      <c r="S665">
        <v>75</v>
      </c>
      <c r="T665">
        <v>98</v>
      </c>
      <c r="U665">
        <v>63</v>
      </c>
      <c r="V665">
        <v>98</v>
      </c>
      <c r="W665">
        <v>63</v>
      </c>
      <c r="X665">
        <v>101</v>
      </c>
      <c r="Y665">
        <f t="shared" si="300"/>
        <v>182</v>
      </c>
      <c r="Z665">
        <f t="shared" si="301"/>
        <v>182</v>
      </c>
      <c r="AA665">
        <f t="shared" si="302"/>
        <v>150</v>
      </c>
      <c r="AB665">
        <f t="shared" si="303"/>
        <v>150</v>
      </c>
      <c r="AC665">
        <f t="shared" si="304"/>
        <v>135</v>
      </c>
      <c r="AD665">
        <f t="shared" si="305"/>
        <v>165</v>
      </c>
      <c r="AE665">
        <f t="shared" si="306"/>
        <v>150</v>
      </c>
      <c r="AF665">
        <f t="shared" si="307"/>
        <v>118</v>
      </c>
      <c r="AG665">
        <f t="shared" si="308"/>
        <v>106</v>
      </c>
      <c r="AH665">
        <f t="shared" si="309"/>
        <v>92</v>
      </c>
      <c r="AI665">
        <f t="shared" si="310"/>
        <v>126</v>
      </c>
      <c r="AJ665">
        <f t="shared" si="311"/>
        <v>115</v>
      </c>
      <c r="AK665">
        <f t="shared" si="312"/>
        <v>83</v>
      </c>
      <c r="AL665">
        <f t="shared" si="313"/>
        <v>74</v>
      </c>
      <c r="AM665">
        <f t="shared" si="314"/>
        <v>61</v>
      </c>
      <c r="AN665">
        <f t="shared" si="315"/>
        <v>165</v>
      </c>
      <c r="AO665">
        <f t="shared" si="316"/>
        <v>150</v>
      </c>
      <c r="AP665">
        <f t="shared" si="317"/>
        <v>118</v>
      </c>
      <c r="AQ665">
        <f t="shared" si="318"/>
        <v>106</v>
      </c>
      <c r="AR665">
        <f t="shared" si="319"/>
        <v>92</v>
      </c>
      <c r="AS665">
        <f t="shared" si="320"/>
        <v>126</v>
      </c>
      <c r="AT665">
        <f t="shared" si="321"/>
        <v>115</v>
      </c>
      <c r="AU665">
        <f t="shared" si="322"/>
        <v>83</v>
      </c>
      <c r="AV665">
        <f t="shared" si="323"/>
        <v>74</v>
      </c>
      <c r="AW665">
        <f t="shared" si="324"/>
        <v>61</v>
      </c>
      <c r="AX665">
        <f t="shared" si="325"/>
        <v>168</v>
      </c>
      <c r="AY665">
        <f t="shared" si="326"/>
        <v>153</v>
      </c>
      <c r="AZ665">
        <f t="shared" si="327"/>
        <v>121</v>
      </c>
      <c r="BA665">
        <f t="shared" si="328"/>
        <v>108</v>
      </c>
      <c r="BB665">
        <f t="shared" si="329"/>
        <v>95</v>
      </c>
    </row>
    <row r="666" spans="1:54" x14ac:dyDescent="0.15">
      <c r="B666" t="s">
        <v>2371</v>
      </c>
      <c r="C666">
        <v>517</v>
      </c>
      <c r="D666">
        <v>0</v>
      </c>
      <c r="E666" t="s">
        <v>2372</v>
      </c>
      <c r="G666" t="s">
        <v>2372</v>
      </c>
      <c r="J666" t="s">
        <v>2373</v>
      </c>
      <c r="K666">
        <v>23.3</v>
      </c>
      <c r="L666">
        <v>0.6</v>
      </c>
      <c r="M666" t="s">
        <v>191</v>
      </c>
      <c r="O666" t="s">
        <v>569</v>
      </c>
      <c r="P666" t="s">
        <v>393</v>
      </c>
      <c r="Q666" t="s">
        <v>1048</v>
      </c>
      <c r="R666">
        <v>8</v>
      </c>
      <c r="S666">
        <v>76</v>
      </c>
      <c r="T666">
        <v>25</v>
      </c>
      <c r="U666">
        <v>45</v>
      </c>
      <c r="V666">
        <v>67</v>
      </c>
      <c r="W666">
        <v>55</v>
      </c>
      <c r="X666">
        <v>24</v>
      </c>
      <c r="Y666">
        <f t="shared" si="300"/>
        <v>183</v>
      </c>
      <c r="Z666">
        <f t="shared" si="301"/>
        <v>183</v>
      </c>
      <c r="AA666">
        <f t="shared" si="302"/>
        <v>151</v>
      </c>
      <c r="AB666">
        <f t="shared" si="303"/>
        <v>151</v>
      </c>
      <c r="AC666">
        <f t="shared" si="304"/>
        <v>136</v>
      </c>
      <c r="AD666">
        <f t="shared" si="305"/>
        <v>84</v>
      </c>
      <c r="AE666">
        <f t="shared" si="306"/>
        <v>77</v>
      </c>
      <c r="AF666">
        <f t="shared" si="307"/>
        <v>45</v>
      </c>
      <c r="AG666">
        <f t="shared" si="308"/>
        <v>40</v>
      </c>
      <c r="AH666">
        <f t="shared" si="309"/>
        <v>27</v>
      </c>
      <c r="AI666">
        <f t="shared" si="310"/>
        <v>106</v>
      </c>
      <c r="AJ666">
        <f t="shared" si="311"/>
        <v>97</v>
      </c>
      <c r="AK666">
        <f t="shared" si="312"/>
        <v>65</v>
      </c>
      <c r="AL666">
        <f t="shared" si="313"/>
        <v>58</v>
      </c>
      <c r="AM666">
        <f t="shared" si="314"/>
        <v>45</v>
      </c>
      <c r="AN666">
        <f t="shared" si="315"/>
        <v>130</v>
      </c>
      <c r="AO666">
        <f t="shared" si="316"/>
        <v>119</v>
      </c>
      <c r="AP666">
        <f t="shared" si="317"/>
        <v>87</v>
      </c>
      <c r="AQ666">
        <f t="shared" si="318"/>
        <v>78</v>
      </c>
      <c r="AR666">
        <f t="shared" si="319"/>
        <v>64</v>
      </c>
      <c r="AS666">
        <f t="shared" si="320"/>
        <v>117</v>
      </c>
      <c r="AT666">
        <f t="shared" si="321"/>
        <v>107</v>
      </c>
      <c r="AU666">
        <f t="shared" si="322"/>
        <v>75</v>
      </c>
      <c r="AV666">
        <f t="shared" si="323"/>
        <v>67</v>
      </c>
      <c r="AW666">
        <f t="shared" si="324"/>
        <v>54</v>
      </c>
      <c r="AX666">
        <f t="shared" si="325"/>
        <v>83</v>
      </c>
      <c r="AY666">
        <f t="shared" si="326"/>
        <v>76</v>
      </c>
      <c r="AZ666">
        <f t="shared" si="327"/>
        <v>44</v>
      </c>
      <c r="BA666">
        <f t="shared" si="328"/>
        <v>39</v>
      </c>
      <c r="BB666">
        <f t="shared" si="329"/>
        <v>26</v>
      </c>
    </row>
    <row r="667" spans="1:54" x14ac:dyDescent="0.15">
      <c r="B667" t="s">
        <v>2374</v>
      </c>
      <c r="C667">
        <v>518</v>
      </c>
      <c r="D667">
        <v>0</v>
      </c>
      <c r="E667" t="s">
        <v>2375</v>
      </c>
      <c r="G667" t="s">
        <v>2375</v>
      </c>
      <c r="J667" t="s">
        <v>2376</v>
      </c>
      <c r="K667">
        <v>60.5</v>
      </c>
      <c r="L667">
        <v>1.1000000000000001</v>
      </c>
      <c r="M667" t="s">
        <v>191</v>
      </c>
      <c r="O667" t="s">
        <v>569</v>
      </c>
      <c r="P667" t="s">
        <v>393</v>
      </c>
      <c r="Q667" t="s">
        <v>1048</v>
      </c>
      <c r="R667">
        <v>8</v>
      </c>
      <c r="S667">
        <v>116</v>
      </c>
      <c r="T667">
        <v>55</v>
      </c>
      <c r="U667">
        <v>85</v>
      </c>
      <c r="V667">
        <v>107</v>
      </c>
      <c r="W667">
        <v>95</v>
      </c>
      <c r="X667">
        <v>29</v>
      </c>
      <c r="Y667">
        <f t="shared" si="300"/>
        <v>223</v>
      </c>
      <c r="Z667">
        <f t="shared" si="301"/>
        <v>223</v>
      </c>
      <c r="AA667">
        <f t="shared" si="302"/>
        <v>191</v>
      </c>
      <c r="AB667">
        <f t="shared" si="303"/>
        <v>191</v>
      </c>
      <c r="AC667">
        <f t="shared" si="304"/>
        <v>176</v>
      </c>
      <c r="AD667">
        <f t="shared" si="305"/>
        <v>117</v>
      </c>
      <c r="AE667">
        <f t="shared" si="306"/>
        <v>107</v>
      </c>
      <c r="AF667">
        <f t="shared" si="307"/>
        <v>75</v>
      </c>
      <c r="AG667">
        <f t="shared" si="308"/>
        <v>67</v>
      </c>
      <c r="AH667">
        <f t="shared" si="309"/>
        <v>54</v>
      </c>
      <c r="AI667">
        <f t="shared" si="310"/>
        <v>150</v>
      </c>
      <c r="AJ667">
        <f t="shared" si="311"/>
        <v>137</v>
      </c>
      <c r="AK667">
        <f t="shared" si="312"/>
        <v>105</v>
      </c>
      <c r="AL667">
        <f t="shared" si="313"/>
        <v>94</v>
      </c>
      <c r="AM667">
        <f t="shared" si="314"/>
        <v>81</v>
      </c>
      <c r="AN667">
        <f t="shared" si="315"/>
        <v>174</v>
      </c>
      <c r="AO667">
        <f t="shared" si="316"/>
        <v>159</v>
      </c>
      <c r="AP667">
        <f t="shared" si="317"/>
        <v>127</v>
      </c>
      <c r="AQ667">
        <f t="shared" si="318"/>
        <v>114</v>
      </c>
      <c r="AR667">
        <f t="shared" si="319"/>
        <v>100</v>
      </c>
      <c r="AS667">
        <f t="shared" si="320"/>
        <v>161</v>
      </c>
      <c r="AT667">
        <f t="shared" si="321"/>
        <v>147</v>
      </c>
      <c r="AU667">
        <f t="shared" si="322"/>
        <v>115</v>
      </c>
      <c r="AV667">
        <f t="shared" si="323"/>
        <v>103</v>
      </c>
      <c r="AW667">
        <f t="shared" si="324"/>
        <v>90</v>
      </c>
      <c r="AX667">
        <f t="shared" si="325"/>
        <v>89</v>
      </c>
      <c r="AY667">
        <f t="shared" si="326"/>
        <v>81</v>
      </c>
      <c r="AZ667">
        <f t="shared" si="327"/>
        <v>49</v>
      </c>
      <c r="BA667">
        <f t="shared" si="328"/>
        <v>44</v>
      </c>
      <c r="BB667">
        <f t="shared" si="329"/>
        <v>30</v>
      </c>
    </row>
    <row r="668" spans="1:54" x14ac:dyDescent="0.15">
      <c r="B668" t="s">
        <v>2377</v>
      </c>
      <c r="C668">
        <v>519</v>
      </c>
      <c r="D668">
        <v>0</v>
      </c>
      <c r="E668" t="s">
        <v>2378</v>
      </c>
      <c r="G668" t="s">
        <v>2378</v>
      </c>
      <c r="J668" t="s">
        <v>2379</v>
      </c>
      <c r="K668">
        <v>2.1</v>
      </c>
      <c r="L668">
        <v>0.3</v>
      </c>
      <c r="M668" t="s">
        <v>120</v>
      </c>
      <c r="N668" t="s">
        <v>57</v>
      </c>
      <c r="O668" t="s">
        <v>123</v>
      </c>
      <c r="P668" t="s">
        <v>934</v>
      </c>
      <c r="Q668" t="s">
        <v>216</v>
      </c>
      <c r="R668">
        <v>8</v>
      </c>
      <c r="S668">
        <v>50</v>
      </c>
      <c r="T668">
        <v>55</v>
      </c>
      <c r="U668">
        <v>50</v>
      </c>
      <c r="V668">
        <v>36</v>
      </c>
      <c r="W668">
        <v>30</v>
      </c>
      <c r="X668">
        <v>43</v>
      </c>
      <c r="Y668">
        <f t="shared" si="300"/>
        <v>157</v>
      </c>
      <c r="Z668">
        <f t="shared" si="301"/>
        <v>157</v>
      </c>
      <c r="AA668">
        <f t="shared" si="302"/>
        <v>125</v>
      </c>
      <c r="AB668">
        <f t="shared" si="303"/>
        <v>125</v>
      </c>
      <c r="AC668">
        <f t="shared" si="304"/>
        <v>110</v>
      </c>
      <c r="AD668">
        <f t="shared" si="305"/>
        <v>117</v>
      </c>
      <c r="AE668">
        <f t="shared" si="306"/>
        <v>107</v>
      </c>
      <c r="AF668">
        <f t="shared" si="307"/>
        <v>75</v>
      </c>
      <c r="AG668">
        <f t="shared" si="308"/>
        <v>67</v>
      </c>
      <c r="AH668">
        <f t="shared" si="309"/>
        <v>54</v>
      </c>
      <c r="AI668">
        <f t="shared" si="310"/>
        <v>112</v>
      </c>
      <c r="AJ668">
        <f t="shared" si="311"/>
        <v>102</v>
      </c>
      <c r="AK668">
        <f t="shared" si="312"/>
        <v>70</v>
      </c>
      <c r="AL668">
        <f t="shared" si="313"/>
        <v>63</v>
      </c>
      <c r="AM668">
        <f t="shared" si="314"/>
        <v>49</v>
      </c>
      <c r="AN668">
        <f t="shared" si="315"/>
        <v>96</v>
      </c>
      <c r="AO668">
        <f t="shared" si="316"/>
        <v>88</v>
      </c>
      <c r="AP668">
        <f t="shared" si="317"/>
        <v>56</v>
      </c>
      <c r="AQ668">
        <f t="shared" si="318"/>
        <v>50</v>
      </c>
      <c r="AR668">
        <f t="shared" si="319"/>
        <v>36</v>
      </c>
      <c r="AS668">
        <f t="shared" si="320"/>
        <v>90</v>
      </c>
      <c r="AT668">
        <f t="shared" si="321"/>
        <v>82</v>
      </c>
      <c r="AU668">
        <f t="shared" si="322"/>
        <v>50</v>
      </c>
      <c r="AV668">
        <f t="shared" si="323"/>
        <v>45</v>
      </c>
      <c r="AW668">
        <f t="shared" si="324"/>
        <v>31</v>
      </c>
      <c r="AX668">
        <f t="shared" si="325"/>
        <v>104</v>
      </c>
      <c r="AY668">
        <f t="shared" si="326"/>
        <v>95</v>
      </c>
      <c r="AZ668">
        <f t="shared" si="327"/>
        <v>63</v>
      </c>
      <c r="BA668">
        <f t="shared" si="328"/>
        <v>56</v>
      </c>
      <c r="BB668">
        <f t="shared" si="329"/>
        <v>43</v>
      </c>
    </row>
    <row r="669" spans="1:54" x14ac:dyDescent="0.15">
      <c r="B669" t="s">
        <v>2380</v>
      </c>
      <c r="C669">
        <v>520</v>
      </c>
      <c r="D669">
        <v>0</v>
      </c>
      <c r="E669" t="s">
        <v>2381</v>
      </c>
      <c r="G669" t="s">
        <v>2381</v>
      </c>
      <c r="J669" t="s">
        <v>2382</v>
      </c>
      <c r="K669">
        <v>15</v>
      </c>
      <c r="L669">
        <v>0.6</v>
      </c>
      <c r="M669" t="s">
        <v>120</v>
      </c>
      <c r="N669" t="s">
        <v>57</v>
      </c>
      <c r="O669" t="s">
        <v>123</v>
      </c>
      <c r="P669" t="s">
        <v>934</v>
      </c>
      <c r="Q669" t="s">
        <v>216</v>
      </c>
      <c r="R669">
        <v>8</v>
      </c>
      <c r="S669">
        <v>62</v>
      </c>
      <c r="T669">
        <v>77</v>
      </c>
      <c r="U669">
        <v>62</v>
      </c>
      <c r="V669">
        <v>50</v>
      </c>
      <c r="W669">
        <v>42</v>
      </c>
      <c r="X669">
        <v>65</v>
      </c>
      <c r="Y669">
        <f t="shared" si="300"/>
        <v>169</v>
      </c>
      <c r="Z669">
        <f t="shared" si="301"/>
        <v>169</v>
      </c>
      <c r="AA669">
        <f t="shared" si="302"/>
        <v>137</v>
      </c>
      <c r="AB669">
        <f t="shared" si="303"/>
        <v>137</v>
      </c>
      <c r="AC669">
        <f t="shared" si="304"/>
        <v>122</v>
      </c>
      <c r="AD669">
        <f t="shared" si="305"/>
        <v>141</v>
      </c>
      <c r="AE669">
        <f t="shared" si="306"/>
        <v>129</v>
      </c>
      <c r="AF669">
        <f t="shared" si="307"/>
        <v>97</v>
      </c>
      <c r="AG669">
        <f t="shared" si="308"/>
        <v>87</v>
      </c>
      <c r="AH669">
        <f t="shared" si="309"/>
        <v>73</v>
      </c>
      <c r="AI669">
        <f t="shared" si="310"/>
        <v>125</v>
      </c>
      <c r="AJ669">
        <f t="shared" si="311"/>
        <v>114</v>
      </c>
      <c r="AK669">
        <f t="shared" si="312"/>
        <v>82</v>
      </c>
      <c r="AL669">
        <f t="shared" si="313"/>
        <v>73</v>
      </c>
      <c r="AM669">
        <f t="shared" si="314"/>
        <v>60</v>
      </c>
      <c r="AN669">
        <f t="shared" si="315"/>
        <v>112</v>
      </c>
      <c r="AO669">
        <f t="shared" si="316"/>
        <v>102</v>
      </c>
      <c r="AP669">
        <f t="shared" si="317"/>
        <v>70</v>
      </c>
      <c r="AQ669">
        <f t="shared" si="318"/>
        <v>63</v>
      </c>
      <c r="AR669">
        <f t="shared" si="319"/>
        <v>49</v>
      </c>
      <c r="AS669">
        <f t="shared" si="320"/>
        <v>103</v>
      </c>
      <c r="AT669">
        <f t="shared" si="321"/>
        <v>94</v>
      </c>
      <c r="AU669">
        <f t="shared" si="322"/>
        <v>62</v>
      </c>
      <c r="AV669">
        <f t="shared" si="323"/>
        <v>55</v>
      </c>
      <c r="AW669">
        <f t="shared" si="324"/>
        <v>42</v>
      </c>
      <c r="AX669">
        <f t="shared" si="325"/>
        <v>128</v>
      </c>
      <c r="AY669">
        <f t="shared" si="326"/>
        <v>117</v>
      </c>
      <c r="AZ669">
        <f t="shared" si="327"/>
        <v>85</v>
      </c>
      <c r="BA669">
        <f t="shared" si="328"/>
        <v>76</v>
      </c>
      <c r="BB669">
        <f t="shared" si="329"/>
        <v>63</v>
      </c>
    </row>
    <row r="670" spans="1:54" x14ac:dyDescent="0.15">
      <c r="B670" t="s">
        <v>2383</v>
      </c>
      <c r="C670">
        <v>521</v>
      </c>
      <c r="D670">
        <v>0</v>
      </c>
      <c r="E670" t="s">
        <v>2384</v>
      </c>
      <c r="G670" t="s">
        <v>2384</v>
      </c>
      <c r="J670" t="s">
        <v>2385</v>
      </c>
      <c r="K670">
        <v>29</v>
      </c>
      <c r="L670">
        <v>1.2</v>
      </c>
      <c r="M670" t="s">
        <v>120</v>
      </c>
      <c r="N670" t="s">
        <v>57</v>
      </c>
      <c r="O670" t="s">
        <v>123</v>
      </c>
      <c r="P670" t="s">
        <v>934</v>
      </c>
      <c r="Q670" t="s">
        <v>216</v>
      </c>
      <c r="R670">
        <v>8</v>
      </c>
      <c r="S670">
        <v>80</v>
      </c>
      <c r="T670">
        <v>115</v>
      </c>
      <c r="U670">
        <v>80</v>
      </c>
      <c r="V670">
        <v>65</v>
      </c>
      <c r="W670">
        <v>55</v>
      </c>
      <c r="X670">
        <v>93</v>
      </c>
      <c r="Y670">
        <f t="shared" si="300"/>
        <v>187</v>
      </c>
      <c r="Z670">
        <f t="shared" si="301"/>
        <v>187</v>
      </c>
      <c r="AA670">
        <f t="shared" si="302"/>
        <v>155</v>
      </c>
      <c r="AB670">
        <f t="shared" si="303"/>
        <v>155</v>
      </c>
      <c r="AC670">
        <f t="shared" si="304"/>
        <v>140</v>
      </c>
      <c r="AD670">
        <f t="shared" si="305"/>
        <v>183</v>
      </c>
      <c r="AE670">
        <f t="shared" si="306"/>
        <v>167</v>
      </c>
      <c r="AF670">
        <f t="shared" si="307"/>
        <v>135</v>
      </c>
      <c r="AG670">
        <f t="shared" si="308"/>
        <v>121</v>
      </c>
      <c r="AH670">
        <f t="shared" si="309"/>
        <v>108</v>
      </c>
      <c r="AI670">
        <f t="shared" si="310"/>
        <v>145</v>
      </c>
      <c r="AJ670">
        <f t="shared" si="311"/>
        <v>132</v>
      </c>
      <c r="AK670">
        <f t="shared" si="312"/>
        <v>100</v>
      </c>
      <c r="AL670">
        <f t="shared" si="313"/>
        <v>90</v>
      </c>
      <c r="AM670">
        <f t="shared" si="314"/>
        <v>76</v>
      </c>
      <c r="AN670">
        <f t="shared" si="315"/>
        <v>128</v>
      </c>
      <c r="AO670">
        <f t="shared" si="316"/>
        <v>117</v>
      </c>
      <c r="AP670">
        <f t="shared" si="317"/>
        <v>85</v>
      </c>
      <c r="AQ670">
        <f t="shared" si="318"/>
        <v>76</v>
      </c>
      <c r="AR670">
        <f t="shared" si="319"/>
        <v>63</v>
      </c>
      <c r="AS670">
        <f t="shared" si="320"/>
        <v>117</v>
      </c>
      <c r="AT670">
        <f t="shared" si="321"/>
        <v>107</v>
      </c>
      <c r="AU670">
        <f t="shared" si="322"/>
        <v>75</v>
      </c>
      <c r="AV670">
        <f t="shared" si="323"/>
        <v>67</v>
      </c>
      <c r="AW670">
        <f t="shared" si="324"/>
        <v>54</v>
      </c>
      <c r="AX670">
        <f t="shared" si="325"/>
        <v>159</v>
      </c>
      <c r="AY670">
        <f t="shared" si="326"/>
        <v>145</v>
      </c>
      <c r="AZ670">
        <f t="shared" si="327"/>
        <v>113</v>
      </c>
      <c r="BA670">
        <f t="shared" si="328"/>
        <v>101</v>
      </c>
      <c r="BB670">
        <f t="shared" si="329"/>
        <v>88</v>
      </c>
    </row>
    <row r="671" spans="1:54" x14ac:dyDescent="0.15">
      <c r="A671">
        <v>448</v>
      </c>
      <c r="B671" t="s">
        <v>2386</v>
      </c>
      <c r="C671">
        <v>522</v>
      </c>
      <c r="D671">
        <v>0</v>
      </c>
      <c r="E671" t="s">
        <v>2387</v>
      </c>
      <c r="G671" t="s">
        <v>2387</v>
      </c>
      <c r="H671" t="s">
        <v>2388</v>
      </c>
      <c r="J671" t="s">
        <v>2389</v>
      </c>
      <c r="K671">
        <v>29.8</v>
      </c>
      <c r="L671">
        <v>0.8</v>
      </c>
      <c r="M671" t="s">
        <v>164</v>
      </c>
      <c r="O671" t="s">
        <v>166</v>
      </c>
      <c r="P671" t="s">
        <v>2114</v>
      </c>
      <c r="Q671" t="s">
        <v>965</v>
      </c>
      <c r="R671">
        <v>9</v>
      </c>
      <c r="S671">
        <v>45</v>
      </c>
      <c r="T671">
        <v>60</v>
      </c>
      <c r="U671">
        <v>32</v>
      </c>
      <c r="V671">
        <v>50</v>
      </c>
      <c r="W671">
        <v>32</v>
      </c>
      <c r="X671">
        <v>76</v>
      </c>
      <c r="Y671">
        <f t="shared" si="300"/>
        <v>152</v>
      </c>
      <c r="Z671">
        <f t="shared" si="301"/>
        <v>152</v>
      </c>
      <c r="AA671">
        <f t="shared" si="302"/>
        <v>120</v>
      </c>
      <c r="AB671">
        <f t="shared" si="303"/>
        <v>120</v>
      </c>
      <c r="AC671">
        <f t="shared" si="304"/>
        <v>105</v>
      </c>
      <c r="AD671">
        <f t="shared" si="305"/>
        <v>123</v>
      </c>
      <c r="AE671">
        <f t="shared" si="306"/>
        <v>112</v>
      </c>
      <c r="AF671">
        <f t="shared" si="307"/>
        <v>80</v>
      </c>
      <c r="AG671">
        <f t="shared" si="308"/>
        <v>72</v>
      </c>
      <c r="AH671">
        <f t="shared" si="309"/>
        <v>58</v>
      </c>
      <c r="AI671">
        <f t="shared" si="310"/>
        <v>92</v>
      </c>
      <c r="AJ671">
        <f t="shared" si="311"/>
        <v>84</v>
      </c>
      <c r="AK671">
        <f t="shared" si="312"/>
        <v>52</v>
      </c>
      <c r="AL671">
        <f t="shared" si="313"/>
        <v>46</v>
      </c>
      <c r="AM671">
        <f t="shared" si="314"/>
        <v>33</v>
      </c>
      <c r="AN671">
        <f t="shared" si="315"/>
        <v>112</v>
      </c>
      <c r="AO671">
        <f t="shared" si="316"/>
        <v>102</v>
      </c>
      <c r="AP671">
        <f t="shared" si="317"/>
        <v>70</v>
      </c>
      <c r="AQ671">
        <f t="shared" si="318"/>
        <v>63</v>
      </c>
      <c r="AR671">
        <f t="shared" si="319"/>
        <v>49</v>
      </c>
      <c r="AS671">
        <f t="shared" si="320"/>
        <v>92</v>
      </c>
      <c r="AT671">
        <f t="shared" si="321"/>
        <v>84</v>
      </c>
      <c r="AU671">
        <f t="shared" si="322"/>
        <v>52</v>
      </c>
      <c r="AV671">
        <f t="shared" si="323"/>
        <v>46</v>
      </c>
      <c r="AW671">
        <f t="shared" si="324"/>
        <v>33</v>
      </c>
      <c r="AX671">
        <f t="shared" si="325"/>
        <v>140</v>
      </c>
      <c r="AY671">
        <f t="shared" si="326"/>
        <v>128</v>
      </c>
      <c r="AZ671">
        <f t="shared" si="327"/>
        <v>96</v>
      </c>
      <c r="BA671">
        <f t="shared" si="328"/>
        <v>86</v>
      </c>
      <c r="BB671">
        <f t="shared" si="329"/>
        <v>72</v>
      </c>
    </row>
    <row r="672" spans="1:54" x14ac:dyDescent="0.15">
      <c r="A672">
        <v>449</v>
      </c>
      <c r="B672" t="s">
        <v>2390</v>
      </c>
      <c r="C672">
        <v>523</v>
      </c>
      <c r="D672">
        <v>0</v>
      </c>
      <c r="E672" t="s">
        <v>2391</v>
      </c>
      <c r="G672" t="s">
        <v>2391</v>
      </c>
      <c r="H672" t="s">
        <v>2392</v>
      </c>
      <c r="J672" t="s">
        <v>2113</v>
      </c>
      <c r="K672">
        <v>79.5</v>
      </c>
      <c r="L672">
        <v>1.6</v>
      </c>
      <c r="M672" t="s">
        <v>164</v>
      </c>
      <c r="O672" t="s">
        <v>166</v>
      </c>
      <c r="P672" t="s">
        <v>2114</v>
      </c>
      <c r="Q672" t="s">
        <v>965</v>
      </c>
      <c r="R672">
        <v>9</v>
      </c>
      <c r="S672">
        <v>75</v>
      </c>
      <c r="T672">
        <v>100</v>
      </c>
      <c r="U672">
        <v>63</v>
      </c>
      <c r="V672">
        <v>80</v>
      </c>
      <c r="W672">
        <v>63</v>
      </c>
      <c r="X672">
        <v>116</v>
      </c>
      <c r="Y672">
        <f t="shared" si="300"/>
        <v>182</v>
      </c>
      <c r="Z672">
        <f t="shared" si="301"/>
        <v>182</v>
      </c>
      <c r="AA672">
        <f t="shared" si="302"/>
        <v>150</v>
      </c>
      <c r="AB672">
        <f t="shared" si="303"/>
        <v>150</v>
      </c>
      <c r="AC672">
        <f t="shared" si="304"/>
        <v>135</v>
      </c>
      <c r="AD672">
        <f t="shared" si="305"/>
        <v>167</v>
      </c>
      <c r="AE672">
        <f t="shared" si="306"/>
        <v>152</v>
      </c>
      <c r="AF672">
        <f t="shared" si="307"/>
        <v>120</v>
      </c>
      <c r="AG672">
        <f t="shared" si="308"/>
        <v>108</v>
      </c>
      <c r="AH672">
        <f t="shared" si="309"/>
        <v>94</v>
      </c>
      <c r="AI672">
        <f t="shared" si="310"/>
        <v>126</v>
      </c>
      <c r="AJ672">
        <f t="shared" si="311"/>
        <v>115</v>
      </c>
      <c r="AK672">
        <f t="shared" si="312"/>
        <v>83</v>
      </c>
      <c r="AL672">
        <f t="shared" si="313"/>
        <v>74</v>
      </c>
      <c r="AM672">
        <f t="shared" si="314"/>
        <v>61</v>
      </c>
      <c r="AN672">
        <f t="shared" si="315"/>
        <v>145</v>
      </c>
      <c r="AO672">
        <f t="shared" si="316"/>
        <v>132</v>
      </c>
      <c r="AP672">
        <f t="shared" si="317"/>
        <v>100</v>
      </c>
      <c r="AQ672">
        <f t="shared" si="318"/>
        <v>90</v>
      </c>
      <c r="AR672">
        <f t="shared" si="319"/>
        <v>76</v>
      </c>
      <c r="AS672">
        <f t="shared" si="320"/>
        <v>126</v>
      </c>
      <c r="AT672">
        <f t="shared" si="321"/>
        <v>115</v>
      </c>
      <c r="AU672">
        <f t="shared" si="322"/>
        <v>83</v>
      </c>
      <c r="AV672">
        <f t="shared" si="323"/>
        <v>74</v>
      </c>
      <c r="AW672">
        <f t="shared" si="324"/>
        <v>61</v>
      </c>
      <c r="AX672">
        <f t="shared" si="325"/>
        <v>184</v>
      </c>
      <c r="AY672">
        <f t="shared" si="326"/>
        <v>168</v>
      </c>
      <c r="AZ672">
        <f t="shared" si="327"/>
        <v>136</v>
      </c>
      <c r="BA672">
        <f t="shared" si="328"/>
        <v>122</v>
      </c>
      <c r="BB672">
        <f t="shared" si="329"/>
        <v>108</v>
      </c>
    </row>
    <row r="673" spans="1:54" x14ac:dyDescent="0.15">
      <c r="B673" t="s">
        <v>2393</v>
      </c>
      <c r="C673">
        <v>524</v>
      </c>
      <c r="D673">
        <v>0</v>
      </c>
      <c r="E673" t="s">
        <v>2394</v>
      </c>
      <c r="G673" t="s">
        <v>2394</v>
      </c>
      <c r="J673" t="s">
        <v>2395</v>
      </c>
      <c r="K673">
        <v>18</v>
      </c>
      <c r="L673">
        <v>0.4</v>
      </c>
      <c r="M673" t="s">
        <v>371</v>
      </c>
      <c r="O673" t="s">
        <v>435</v>
      </c>
      <c r="P673" t="s">
        <v>563</v>
      </c>
      <c r="Q673" t="s">
        <v>306</v>
      </c>
      <c r="R673">
        <v>8</v>
      </c>
      <c r="S673">
        <v>55</v>
      </c>
      <c r="T673">
        <v>75</v>
      </c>
      <c r="U673">
        <v>85</v>
      </c>
      <c r="V673">
        <v>25</v>
      </c>
      <c r="W673">
        <v>25</v>
      </c>
      <c r="X673">
        <v>15</v>
      </c>
      <c r="Y673">
        <f t="shared" si="300"/>
        <v>162</v>
      </c>
      <c r="Z673">
        <f t="shared" si="301"/>
        <v>162</v>
      </c>
      <c r="AA673">
        <f t="shared" si="302"/>
        <v>130</v>
      </c>
      <c r="AB673">
        <f t="shared" si="303"/>
        <v>130</v>
      </c>
      <c r="AC673">
        <f t="shared" si="304"/>
        <v>115</v>
      </c>
      <c r="AD673">
        <f t="shared" si="305"/>
        <v>139</v>
      </c>
      <c r="AE673">
        <f t="shared" si="306"/>
        <v>127</v>
      </c>
      <c r="AF673">
        <f t="shared" si="307"/>
        <v>95</v>
      </c>
      <c r="AG673">
        <f t="shared" si="308"/>
        <v>85</v>
      </c>
      <c r="AH673">
        <f t="shared" si="309"/>
        <v>72</v>
      </c>
      <c r="AI673">
        <f t="shared" si="310"/>
        <v>150</v>
      </c>
      <c r="AJ673">
        <f t="shared" si="311"/>
        <v>137</v>
      </c>
      <c r="AK673">
        <f t="shared" si="312"/>
        <v>105</v>
      </c>
      <c r="AL673">
        <f t="shared" si="313"/>
        <v>94</v>
      </c>
      <c r="AM673">
        <f t="shared" si="314"/>
        <v>81</v>
      </c>
      <c r="AN673">
        <f t="shared" si="315"/>
        <v>84</v>
      </c>
      <c r="AO673">
        <f t="shared" si="316"/>
        <v>77</v>
      </c>
      <c r="AP673">
        <f t="shared" si="317"/>
        <v>45</v>
      </c>
      <c r="AQ673">
        <f t="shared" si="318"/>
        <v>40</v>
      </c>
      <c r="AR673">
        <f t="shared" si="319"/>
        <v>27</v>
      </c>
      <c r="AS673">
        <f t="shared" si="320"/>
        <v>84</v>
      </c>
      <c r="AT673">
        <f t="shared" si="321"/>
        <v>77</v>
      </c>
      <c r="AU673">
        <f t="shared" si="322"/>
        <v>45</v>
      </c>
      <c r="AV673">
        <f t="shared" si="323"/>
        <v>40</v>
      </c>
      <c r="AW673">
        <f t="shared" si="324"/>
        <v>27</v>
      </c>
      <c r="AX673">
        <f t="shared" si="325"/>
        <v>73</v>
      </c>
      <c r="AY673">
        <f t="shared" si="326"/>
        <v>67</v>
      </c>
      <c r="AZ673">
        <f t="shared" si="327"/>
        <v>35</v>
      </c>
      <c r="BA673">
        <f t="shared" si="328"/>
        <v>31</v>
      </c>
      <c r="BB673">
        <f t="shared" si="329"/>
        <v>18</v>
      </c>
    </row>
    <row r="674" spans="1:54" x14ac:dyDescent="0.15">
      <c r="B674" t="s">
        <v>2396</v>
      </c>
      <c r="C674">
        <v>525</v>
      </c>
      <c r="D674">
        <v>0</v>
      </c>
      <c r="E674" t="s">
        <v>2397</v>
      </c>
      <c r="G674" t="s">
        <v>2397</v>
      </c>
      <c r="J674" t="s">
        <v>2398</v>
      </c>
      <c r="K674">
        <v>102</v>
      </c>
      <c r="L674">
        <v>0.9</v>
      </c>
      <c r="M674" t="s">
        <v>371</v>
      </c>
      <c r="O674" t="s">
        <v>435</v>
      </c>
      <c r="P674" t="s">
        <v>563</v>
      </c>
      <c r="Q674" t="s">
        <v>306</v>
      </c>
      <c r="R674">
        <v>8</v>
      </c>
      <c r="S674">
        <v>70</v>
      </c>
      <c r="T674">
        <v>105</v>
      </c>
      <c r="U674">
        <v>105</v>
      </c>
      <c r="V674">
        <v>50</v>
      </c>
      <c r="W674">
        <v>40</v>
      </c>
      <c r="X674">
        <v>20</v>
      </c>
      <c r="Y674">
        <f t="shared" si="300"/>
        <v>177</v>
      </c>
      <c r="Z674">
        <f t="shared" si="301"/>
        <v>177</v>
      </c>
      <c r="AA674">
        <f t="shared" si="302"/>
        <v>145</v>
      </c>
      <c r="AB674">
        <f t="shared" si="303"/>
        <v>145</v>
      </c>
      <c r="AC674">
        <f t="shared" si="304"/>
        <v>130</v>
      </c>
      <c r="AD674">
        <f t="shared" si="305"/>
        <v>172</v>
      </c>
      <c r="AE674">
        <f t="shared" si="306"/>
        <v>157</v>
      </c>
      <c r="AF674">
        <f t="shared" si="307"/>
        <v>125</v>
      </c>
      <c r="AG674">
        <f t="shared" si="308"/>
        <v>112</v>
      </c>
      <c r="AH674">
        <f t="shared" si="309"/>
        <v>99</v>
      </c>
      <c r="AI674">
        <f t="shared" si="310"/>
        <v>172</v>
      </c>
      <c r="AJ674">
        <f t="shared" si="311"/>
        <v>157</v>
      </c>
      <c r="AK674">
        <f t="shared" si="312"/>
        <v>125</v>
      </c>
      <c r="AL674">
        <f t="shared" si="313"/>
        <v>112</v>
      </c>
      <c r="AM674">
        <f t="shared" si="314"/>
        <v>99</v>
      </c>
      <c r="AN674">
        <f t="shared" si="315"/>
        <v>112</v>
      </c>
      <c r="AO674">
        <f t="shared" si="316"/>
        <v>102</v>
      </c>
      <c r="AP674">
        <f t="shared" si="317"/>
        <v>70</v>
      </c>
      <c r="AQ674">
        <f t="shared" si="318"/>
        <v>63</v>
      </c>
      <c r="AR674">
        <f t="shared" si="319"/>
        <v>49</v>
      </c>
      <c r="AS674">
        <f t="shared" si="320"/>
        <v>101</v>
      </c>
      <c r="AT674">
        <f t="shared" si="321"/>
        <v>92</v>
      </c>
      <c r="AU674">
        <f t="shared" si="322"/>
        <v>60</v>
      </c>
      <c r="AV674">
        <f t="shared" si="323"/>
        <v>54</v>
      </c>
      <c r="AW674">
        <f t="shared" si="324"/>
        <v>40</v>
      </c>
      <c r="AX674">
        <f t="shared" si="325"/>
        <v>79</v>
      </c>
      <c r="AY674">
        <f t="shared" si="326"/>
        <v>72</v>
      </c>
      <c r="AZ674">
        <f t="shared" si="327"/>
        <v>40</v>
      </c>
      <c r="BA674">
        <f t="shared" si="328"/>
        <v>36</v>
      </c>
      <c r="BB674">
        <f t="shared" si="329"/>
        <v>22</v>
      </c>
    </row>
    <row r="675" spans="1:54" x14ac:dyDescent="0.15">
      <c r="B675" t="s">
        <v>2399</v>
      </c>
      <c r="C675">
        <v>526</v>
      </c>
      <c r="D675">
        <v>0</v>
      </c>
      <c r="E675" t="s">
        <v>2400</v>
      </c>
      <c r="G675" t="s">
        <v>2400</v>
      </c>
      <c r="J675" t="s">
        <v>2401</v>
      </c>
      <c r="K675">
        <v>260</v>
      </c>
      <c r="L675">
        <v>1.7</v>
      </c>
      <c r="M675" t="s">
        <v>371</v>
      </c>
      <c r="O675" t="s">
        <v>435</v>
      </c>
      <c r="P675" t="s">
        <v>1235</v>
      </c>
      <c r="Q675" t="s">
        <v>306</v>
      </c>
      <c r="R675">
        <v>8</v>
      </c>
      <c r="S675">
        <v>85</v>
      </c>
      <c r="T675">
        <v>135</v>
      </c>
      <c r="U675">
        <v>130</v>
      </c>
      <c r="V675">
        <v>60</v>
      </c>
      <c r="W675">
        <v>80</v>
      </c>
      <c r="X675">
        <v>25</v>
      </c>
      <c r="Y675">
        <f t="shared" si="300"/>
        <v>192</v>
      </c>
      <c r="Z675">
        <f t="shared" si="301"/>
        <v>192</v>
      </c>
      <c r="AA675">
        <f t="shared" si="302"/>
        <v>160</v>
      </c>
      <c r="AB675">
        <f t="shared" si="303"/>
        <v>160</v>
      </c>
      <c r="AC675">
        <f t="shared" si="304"/>
        <v>145</v>
      </c>
      <c r="AD675">
        <f t="shared" si="305"/>
        <v>205</v>
      </c>
      <c r="AE675">
        <f t="shared" si="306"/>
        <v>187</v>
      </c>
      <c r="AF675">
        <f t="shared" si="307"/>
        <v>155</v>
      </c>
      <c r="AG675">
        <f t="shared" si="308"/>
        <v>139</v>
      </c>
      <c r="AH675">
        <f t="shared" si="309"/>
        <v>126</v>
      </c>
      <c r="AI675">
        <f t="shared" si="310"/>
        <v>200</v>
      </c>
      <c r="AJ675">
        <f t="shared" si="311"/>
        <v>182</v>
      </c>
      <c r="AK675">
        <f t="shared" si="312"/>
        <v>150</v>
      </c>
      <c r="AL675">
        <f t="shared" si="313"/>
        <v>135</v>
      </c>
      <c r="AM675">
        <f t="shared" si="314"/>
        <v>121</v>
      </c>
      <c r="AN675">
        <f t="shared" si="315"/>
        <v>123</v>
      </c>
      <c r="AO675">
        <f t="shared" si="316"/>
        <v>112</v>
      </c>
      <c r="AP675">
        <f t="shared" si="317"/>
        <v>80</v>
      </c>
      <c r="AQ675">
        <f t="shared" si="318"/>
        <v>72</v>
      </c>
      <c r="AR675">
        <f t="shared" si="319"/>
        <v>58</v>
      </c>
      <c r="AS675">
        <f t="shared" si="320"/>
        <v>145</v>
      </c>
      <c r="AT675">
        <f t="shared" si="321"/>
        <v>132</v>
      </c>
      <c r="AU675">
        <f t="shared" si="322"/>
        <v>100</v>
      </c>
      <c r="AV675">
        <f t="shared" si="323"/>
        <v>90</v>
      </c>
      <c r="AW675">
        <f t="shared" si="324"/>
        <v>76</v>
      </c>
      <c r="AX675">
        <f t="shared" si="325"/>
        <v>84</v>
      </c>
      <c r="AY675">
        <f t="shared" si="326"/>
        <v>77</v>
      </c>
      <c r="AZ675">
        <f t="shared" si="327"/>
        <v>45</v>
      </c>
      <c r="BA675">
        <f t="shared" si="328"/>
        <v>40</v>
      </c>
      <c r="BB675">
        <f t="shared" si="329"/>
        <v>27</v>
      </c>
    </row>
    <row r="676" spans="1:54" x14ac:dyDescent="0.15">
      <c r="B676" t="s">
        <v>2402</v>
      </c>
      <c r="C676">
        <v>527</v>
      </c>
      <c r="D676">
        <v>0</v>
      </c>
      <c r="E676" t="s">
        <v>2403</v>
      </c>
      <c r="G676" t="s">
        <v>2403</v>
      </c>
      <c r="J676" t="s">
        <v>267</v>
      </c>
      <c r="K676">
        <v>2.1</v>
      </c>
      <c r="L676">
        <v>0.4</v>
      </c>
      <c r="M676" t="s">
        <v>191</v>
      </c>
      <c r="N676" t="s">
        <v>57</v>
      </c>
      <c r="O676" t="s">
        <v>240</v>
      </c>
      <c r="P676" t="s">
        <v>1968</v>
      </c>
      <c r="Q676" t="s">
        <v>1524</v>
      </c>
      <c r="R676">
        <v>8</v>
      </c>
      <c r="S676">
        <v>65</v>
      </c>
      <c r="T676">
        <v>45</v>
      </c>
      <c r="U676">
        <v>43</v>
      </c>
      <c r="V676">
        <v>55</v>
      </c>
      <c r="W676">
        <v>43</v>
      </c>
      <c r="X676">
        <v>72</v>
      </c>
      <c r="Y676">
        <f t="shared" si="300"/>
        <v>172</v>
      </c>
      <c r="Z676">
        <f t="shared" si="301"/>
        <v>172</v>
      </c>
      <c r="AA676">
        <f t="shared" si="302"/>
        <v>140</v>
      </c>
      <c r="AB676">
        <f t="shared" si="303"/>
        <v>140</v>
      </c>
      <c r="AC676">
        <f t="shared" si="304"/>
        <v>125</v>
      </c>
      <c r="AD676">
        <f t="shared" si="305"/>
        <v>106</v>
      </c>
      <c r="AE676">
        <f t="shared" si="306"/>
        <v>97</v>
      </c>
      <c r="AF676">
        <f t="shared" si="307"/>
        <v>65</v>
      </c>
      <c r="AG676">
        <f t="shared" si="308"/>
        <v>58</v>
      </c>
      <c r="AH676">
        <f t="shared" si="309"/>
        <v>45</v>
      </c>
      <c r="AI676">
        <f t="shared" si="310"/>
        <v>104</v>
      </c>
      <c r="AJ676">
        <f t="shared" si="311"/>
        <v>95</v>
      </c>
      <c r="AK676">
        <f t="shared" si="312"/>
        <v>63</v>
      </c>
      <c r="AL676">
        <f t="shared" si="313"/>
        <v>56</v>
      </c>
      <c r="AM676">
        <f t="shared" si="314"/>
        <v>43</v>
      </c>
      <c r="AN676">
        <f t="shared" si="315"/>
        <v>117</v>
      </c>
      <c r="AO676">
        <f t="shared" si="316"/>
        <v>107</v>
      </c>
      <c r="AP676">
        <f t="shared" si="317"/>
        <v>75</v>
      </c>
      <c r="AQ676">
        <f t="shared" si="318"/>
        <v>67</v>
      </c>
      <c r="AR676">
        <f t="shared" si="319"/>
        <v>54</v>
      </c>
      <c r="AS676">
        <f t="shared" si="320"/>
        <v>104</v>
      </c>
      <c r="AT676">
        <f t="shared" si="321"/>
        <v>95</v>
      </c>
      <c r="AU676">
        <f t="shared" si="322"/>
        <v>63</v>
      </c>
      <c r="AV676">
        <f t="shared" si="323"/>
        <v>56</v>
      </c>
      <c r="AW676">
        <f t="shared" si="324"/>
        <v>43</v>
      </c>
      <c r="AX676">
        <f t="shared" si="325"/>
        <v>136</v>
      </c>
      <c r="AY676">
        <f t="shared" si="326"/>
        <v>124</v>
      </c>
      <c r="AZ676">
        <f t="shared" si="327"/>
        <v>92</v>
      </c>
      <c r="BA676">
        <f t="shared" si="328"/>
        <v>82</v>
      </c>
      <c r="BB676">
        <f t="shared" si="329"/>
        <v>69</v>
      </c>
    </row>
    <row r="677" spans="1:54" x14ac:dyDescent="0.15">
      <c r="B677" t="s">
        <v>2404</v>
      </c>
      <c r="C677">
        <v>528</v>
      </c>
      <c r="D677">
        <v>0</v>
      </c>
      <c r="E677" t="s">
        <v>2405</v>
      </c>
      <c r="G677" t="s">
        <v>2405</v>
      </c>
      <c r="J677" t="s">
        <v>2406</v>
      </c>
      <c r="K677">
        <v>10.5</v>
      </c>
      <c r="L677">
        <v>0.9</v>
      </c>
      <c r="M677" t="s">
        <v>191</v>
      </c>
      <c r="N677" t="s">
        <v>57</v>
      </c>
      <c r="O677" t="s">
        <v>240</v>
      </c>
      <c r="P677" t="s">
        <v>1968</v>
      </c>
      <c r="Q677" t="s">
        <v>1524</v>
      </c>
      <c r="R677">
        <v>8</v>
      </c>
      <c r="S677">
        <v>67</v>
      </c>
      <c r="T677">
        <v>57</v>
      </c>
      <c r="U677">
        <v>55</v>
      </c>
      <c r="V677">
        <v>77</v>
      </c>
      <c r="W677">
        <v>55</v>
      </c>
      <c r="X677">
        <v>114</v>
      </c>
      <c r="Y677">
        <f t="shared" si="300"/>
        <v>174</v>
      </c>
      <c r="Z677">
        <f t="shared" si="301"/>
        <v>174</v>
      </c>
      <c r="AA677">
        <f t="shared" si="302"/>
        <v>142</v>
      </c>
      <c r="AB677">
        <f t="shared" si="303"/>
        <v>142</v>
      </c>
      <c r="AC677">
        <f t="shared" si="304"/>
        <v>127</v>
      </c>
      <c r="AD677">
        <f t="shared" si="305"/>
        <v>119</v>
      </c>
      <c r="AE677">
        <f t="shared" si="306"/>
        <v>109</v>
      </c>
      <c r="AF677">
        <f t="shared" si="307"/>
        <v>77</v>
      </c>
      <c r="AG677">
        <f t="shared" si="308"/>
        <v>69</v>
      </c>
      <c r="AH677">
        <f t="shared" si="309"/>
        <v>55</v>
      </c>
      <c r="AI677">
        <f t="shared" si="310"/>
        <v>117</v>
      </c>
      <c r="AJ677">
        <f t="shared" si="311"/>
        <v>107</v>
      </c>
      <c r="AK677">
        <f t="shared" si="312"/>
        <v>75</v>
      </c>
      <c r="AL677">
        <f t="shared" si="313"/>
        <v>67</v>
      </c>
      <c r="AM677">
        <f t="shared" si="314"/>
        <v>54</v>
      </c>
      <c r="AN677">
        <f t="shared" si="315"/>
        <v>141</v>
      </c>
      <c r="AO677">
        <f t="shared" si="316"/>
        <v>129</v>
      </c>
      <c r="AP677">
        <f t="shared" si="317"/>
        <v>97</v>
      </c>
      <c r="AQ677">
        <f t="shared" si="318"/>
        <v>87</v>
      </c>
      <c r="AR677">
        <f t="shared" si="319"/>
        <v>73</v>
      </c>
      <c r="AS677">
        <f t="shared" si="320"/>
        <v>117</v>
      </c>
      <c r="AT677">
        <f t="shared" si="321"/>
        <v>107</v>
      </c>
      <c r="AU677">
        <f t="shared" si="322"/>
        <v>75</v>
      </c>
      <c r="AV677">
        <f t="shared" si="323"/>
        <v>67</v>
      </c>
      <c r="AW677">
        <f t="shared" si="324"/>
        <v>54</v>
      </c>
      <c r="AX677">
        <f t="shared" si="325"/>
        <v>182</v>
      </c>
      <c r="AY677">
        <f t="shared" si="326"/>
        <v>166</v>
      </c>
      <c r="AZ677">
        <f t="shared" si="327"/>
        <v>134</v>
      </c>
      <c r="BA677">
        <f t="shared" si="328"/>
        <v>120</v>
      </c>
      <c r="BB677">
        <f t="shared" si="329"/>
        <v>107</v>
      </c>
    </row>
    <row r="678" spans="1:54" x14ac:dyDescent="0.15">
      <c r="A678">
        <v>450</v>
      </c>
      <c r="B678" t="s">
        <v>2407</v>
      </c>
      <c r="C678">
        <v>529</v>
      </c>
      <c r="D678">
        <v>0</v>
      </c>
      <c r="E678" t="s">
        <v>2408</v>
      </c>
      <c r="G678" t="s">
        <v>2408</v>
      </c>
      <c r="H678" t="s">
        <v>2409</v>
      </c>
      <c r="J678" t="s">
        <v>304</v>
      </c>
      <c r="K678">
        <v>8.5</v>
      </c>
      <c r="L678">
        <v>0.3</v>
      </c>
      <c r="M678" t="s">
        <v>196</v>
      </c>
      <c r="O678" t="s">
        <v>198</v>
      </c>
      <c r="P678" t="s">
        <v>306</v>
      </c>
      <c r="Q678" t="s">
        <v>713</v>
      </c>
      <c r="R678">
        <v>9</v>
      </c>
      <c r="S678">
        <v>60</v>
      </c>
      <c r="T678">
        <v>85</v>
      </c>
      <c r="U678">
        <v>40</v>
      </c>
      <c r="V678">
        <v>30</v>
      </c>
      <c r="W678">
        <v>45</v>
      </c>
      <c r="X678">
        <v>68</v>
      </c>
      <c r="Y678">
        <f t="shared" si="300"/>
        <v>167</v>
      </c>
      <c r="Z678">
        <f t="shared" si="301"/>
        <v>167</v>
      </c>
      <c r="AA678">
        <f t="shared" si="302"/>
        <v>135</v>
      </c>
      <c r="AB678">
        <f t="shared" si="303"/>
        <v>135</v>
      </c>
      <c r="AC678">
        <f t="shared" si="304"/>
        <v>120</v>
      </c>
      <c r="AD678">
        <f t="shared" si="305"/>
        <v>150</v>
      </c>
      <c r="AE678">
        <f t="shared" si="306"/>
        <v>137</v>
      </c>
      <c r="AF678">
        <f t="shared" si="307"/>
        <v>105</v>
      </c>
      <c r="AG678">
        <f t="shared" si="308"/>
        <v>94</v>
      </c>
      <c r="AH678">
        <f t="shared" si="309"/>
        <v>81</v>
      </c>
      <c r="AI678">
        <f t="shared" si="310"/>
        <v>101</v>
      </c>
      <c r="AJ678">
        <f t="shared" si="311"/>
        <v>92</v>
      </c>
      <c r="AK678">
        <f t="shared" si="312"/>
        <v>60</v>
      </c>
      <c r="AL678">
        <f t="shared" si="313"/>
        <v>54</v>
      </c>
      <c r="AM678">
        <f t="shared" si="314"/>
        <v>40</v>
      </c>
      <c r="AN678">
        <f t="shared" si="315"/>
        <v>90</v>
      </c>
      <c r="AO678">
        <f t="shared" si="316"/>
        <v>82</v>
      </c>
      <c r="AP678">
        <f t="shared" si="317"/>
        <v>50</v>
      </c>
      <c r="AQ678">
        <f t="shared" si="318"/>
        <v>45</v>
      </c>
      <c r="AR678">
        <f t="shared" si="319"/>
        <v>31</v>
      </c>
      <c r="AS678">
        <f t="shared" si="320"/>
        <v>106</v>
      </c>
      <c r="AT678">
        <f t="shared" si="321"/>
        <v>97</v>
      </c>
      <c r="AU678">
        <f t="shared" si="322"/>
        <v>65</v>
      </c>
      <c r="AV678">
        <f t="shared" si="323"/>
        <v>58</v>
      </c>
      <c r="AW678">
        <f t="shared" si="324"/>
        <v>45</v>
      </c>
      <c r="AX678">
        <f t="shared" si="325"/>
        <v>132</v>
      </c>
      <c r="AY678">
        <f t="shared" si="326"/>
        <v>120</v>
      </c>
      <c r="AZ678">
        <f t="shared" si="327"/>
        <v>88</v>
      </c>
      <c r="BA678">
        <f t="shared" si="328"/>
        <v>79</v>
      </c>
      <c r="BB678">
        <f t="shared" si="329"/>
        <v>65</v>
      </c>
    </row>
    <row r="679" spans="1:54" x14ac:dyDescent="0.15">
      <c r="A679">
        <v>451</v>
      </c>
      <c r="B679" t="s">
        <v>2410</v>
      </c>
      <c r="C679">
        <v>530</v>
      </c>
      <c r="D679">
        <v>0</v>
      </c>
      <c r="E679" t="s">
        <v>2411</v>
      </c>
      <c r="G679" t="s">
        <v>2411</v>
      </c>
      <c r="H679" t="s">
        <v>2412</v>
      </c>
      <c r="J679" t="s">
        <v>2413</v>
      </c>
      <c r="K679">
        <v>40.4</v>
      </c>
      <c r="L679">
        <v>0.7</v>
      </c>
      <c r="M679" t="s">
        <v>196</v>
      </c>
      <c r="N679" t="s">
        <v>203</v>
      </c>
      <c r="O679" t="s">
        <v>198</v>
      </c>
      <c r="P679" t="s">
        <v>306</v>
      </c>
      <c r="Q679" t="s">
        <v>713</v>
      </c>
      <c r="R679">
        <v>9</v>
      </c>
      <c r="S679">
        <v>110</v>
      </c>
      <c r="T679">
        <v>135</v>
      </c>
      <c r="U679">
        <v>60</v>
      </c>
      <c r="V679">
        <v>50</v>
      </c>
      <c r="W679">
        <v>65</v>
      </c>
      <c r="X679">
        <v>88</v>
      </c>
      <c r="Y679">
        <f t="shared" si="300"/>
        <v>217</v>
      </c>
      <c r="Z679">
        <f t="shared" si="301"/>
        <v>217</v>
      </c>
      <c r="AA679">
        <f t="shared" si="302"/>
        <v>185</v>
      </c>
      <c r="AB679">
        <f t="shared" si="303"/>
        <v>185</v>
      </c>
      <c r="AC679">
        <f t="shared" si="304"/>
        <v>170</v>
      </c>
      <c r="AD679">
        <f t="shared" si="305"/>
        <v>205</v>
      </c>
      <c r="AE679">
        <f t="shared" si="306"/>
        <v>187</v>
      </c>
      <c r="AF679">
        <f t="shared" si="307"/>
        <v>155</v>
      </c>
      <c r="AG679">
        <f t="shared" si="308"/>
        <v>139</v>
      </c>
      <c r="AH679">
        <f t="shared" si="309"/>
        <v>126</v>
      </c>
      <c r="AI679">
        <f t="shared" si="310"/>
        <v>123</v>
      </c>
      <c r="AJ679">
        <f t="shared" si="311"/>
        <v>112</v>
      </c>
      <c r="AK679">
        <f t="shared" si="312"/>
        <v>80</v>
      </c>
      <c r="AL679">
        <f t="shared" si="313"/>
        <v>72</v>
      </c>
      <c r="AM679">
        <f t="shared" si="314"/>
        <v>58</v>
      </c>
      <c r="AN679">
        <f t="shared" si="315"/>
        <v>112</v>
      </c>
      <c r="AO679">
        <f t="shared" si="316"/>
        <v>102</v>
      </c>
      <c r="AP679">
        <f t="shared" si="317"/>
        <v>70</v>
      </c>
      <c r="AQ679">
        <f t="shared" si="318"/>
        <v>63</v>
      </c>
      <c r="AR679">
        <f t="shared" si="319"/>
        <v>49</v>
      </c>
      <c r="AS679">
        <f t="shared" si="320"/>
        <v>128</v>
      </c>
      <c r="AT679">
        <f t="shared" si="321"/>
        <v>117</v>
      </c>
      <c r="AU679">
        <f t="shared" si="322"/>
        <v>85</v>
      </c>
      <c r="AV679">
        <f t="shared" si="323"/>
        <v>76</v>
      </c>
      <c r="AW679">
        <f t="shared" si="324"/>
        <v>63</v>
      </c>
      <c r="AX679">
        <f t="shared" si="325"/>
        <v>154</v>
      </c>
      <c r="AY679">
        <f t="shared" si="326"/>
        <v>140</v>
      </c>
      <c r="AZ679">
        <f t="shared" si="327"/>
        <v>108</v>
      </c>
      <c r="BA679">
        <f t="shared" si="328"/>
        <v>97</v>
      </c>
      <c r="BB679">
        <f t="shared" si="329"/>
        <v>83</v>
      </c>
    </row>
    <row r="680" spans="1:54" x14ac:dyDescent="0.15">
      <c r="B680" t="s">
        <v>2414</v>
      </c>
      <c r="C680">
        <v>531</v>
      </c>
      <c r="D680">
        <v>0</v>
      </c>
      <c r="E680" t="s">
        <v>2415</v>
      </c>
      <c r="G680" t="s">
        <v>2415</v>
      </c>
      <c r="J680" t="s">
        <v>2416</v>
      </c>
      <c r="K680">
        <v>31</v>
      </c>
      <c r="L680">
        <v>1.1000000000000001</v>
      </c>
      <c r="M680" t="s">
        <v>120</v>
      </c>
      <c r="O680" t="s">
        <v>656</v>
      </c>
      <c r="P680" t="s">
        <v>471</v>
      </c>
      <c r="Q680" t="s">
        <v>1968</v>
      </c>
      <c r="R680">
        <v>8</v>
      </c>
      <c r="S680">
        <v>103</v>
      </c>
      <c r="T680">
        <v>60</v>
      </c>
      <c r="U680">
        <v>86</v>
      </c>
      <c r="V680">
        <v>60</v>
      </c>
      <c r="W680">
        <v>86</v>
      </c>
      <c r="X680">
        <v>50</v>
      </c>
      <c r="Y680">
        <f t="shared" si="300"/>
        <v>210</v>
      </c>
      <c r="Z680">
        <f t="shared" si="301"/>
        <v>210</v>
      </c>
      <c r="AA680">
        <f t="shared" si="302"/>
        <v>178</v>
      </c>
      <c r="AB680">
        <f t="shared" si="303"/>
        <v>178</v>
      </c>
      <c r="AC680">
        <f t="shared" si="304"/>
        <v>163</v>
      </c>
      <c r="AD680">
        <f t="shared" si="305"/>
        <v>123</v>
      </c>
      <c r="AE680">
        <f t="shared" si="306"/>
        <v>112</v>
      </c>
      <c r="AF680">
        <f t="shared" si="307"/>
        <v>80</v>
      </c>
      <c r="AG680">
        <f t="shared" si="308"/>
        <v>72</v>
      </c>
      <c r="AH680">
        <f t="shared" si="309"/>
        <v>58</v>
      </c>
      <c r="AI680">
        <f t="shared" si="310"/>
        <v>151</v>
      </c>
      <c r="AJ680">
        <f t="shared" si="311"/>
        <v>138</v>
      </c>
      <c r="AK680">
        <f t="shared" si="312"/>
        <v>106</v>
      </c>
      <c r="AL680">
        <f t="shared" si="313"/>
        <v>95</v>
      </c>
      <c r="AM680">
        <f t="shared" si="314"/>
        <v>81</v>
      </c>
      <c r="AN680">
        <f t="shared" si="315"/>
        <v>123</v>
      </c>
      <c r="AO680">
        <f t="shared" si="316"/>
        <v>112</v>
      </c>
      <c r="AP680">
        <f t="shared" si="317"/>
        <v>80</v>
      </c>
      <c r="AQ680">
        <f t="shared" si="318"/>
        <v>72</v>
      </c>
      <c r="AR680">
        <f t="shared" si="319"/>
        <v>58</v>
      </c>
      <c r="AS680">
        <f t="shared" si="320"/>
        <v>151</v>
      </c>
      <c r="AT680">
        <f t="shared" si="321"/>
        <v>138</v>
      </c>
      <c r="AU680">
        <f t="shared" si="322"/>
        <v>106</v>
      </c>
      <c r="AV680">
        <f t="shared" si="323"/>
        <v>95</v>
      </c>
      <c r="AW680">
        <f t="shared" si="324"/>
        <v>81</v>
      </c>
      <c r="AX680">
        <f t="shared" si="325"/>
        <v>112</v>
      </c>
      <c r="AY680">
        <f t="shared" si="326"/>
        <v>102</v>
      </c>
      <c r="AZ680">
        <f t="shared" si="327"/>
        <v>70</v>
      </c>
      <c r="BA680">
        <f t="shared" si="328"/>
        <v>63</v>
      </c>
      <c r="BB680">
        <f t="shared" si="329"/>
        <v>49</v>
      </c>
    </row>
    <row r="681" spans="1:54" x14ac:dyDescent="0.15">
      <c r="B681" t="s">
        <v>2417</v>
      </c>
      <c r="C681">
        <v>531</v>
      </c>
      <c r="D681">
        <v>1</v>
      </c>
      <c r="E681" t="s">
        <v>2415</v>
      </c>
      <c r="F681" t="s">
        <v>2418</v>
      </c>
      <c r="G681" t="s">
        <v>2418</v>
      </c>
      <c r="J681" t="s">
        <v>2416</v>
      </c>
      <c r="K681">
        <v>32</v>
      </c>
      <c r="L681">
        <v>1.5</v>
      </c>
      <c r="M681" t="s">
        <v>120</v>
      </c>
      <c r="N681" t="s">
        <v>233</v>
      </c>
      <c r="O681" t="s">
        <v>656</v>
      </c>
      <c r="P681" t="s">
        <v>1968</v>
      </c>
      <c r="R681">
        <v>7</v>
      </c>
      <c r="S681">
        <v>103</v>
      </c>
      <c r="T681">
        <v>60</v>
      </c>
      <c r="U681">
        <v>86</v>
      </c>
      <c r="V681">
        <v>60</v>
      </c>
      <c r="W681">
        <v>86</v>
      </c>
      <c r="X681">
        <v>50</v>
      </c>
      <c r="Y681">
        <f t="shared" si="300"/>
        <v>210</v>
      </c>
      <c r="Z681">
        <f t="shared" si="301"/>
        <v>210</v>
      </c>
      <c r="AA681">
        <f t="shared" si="302"/>
        <v>178</v>
      </c>
      <c r="AB681">
        <f t="shared" si="303"/>
        <v>178</v>
      </c>
      <c r="AC681">
        <f t="shared" si="304"/>
        <v>163</v>
      </c>
      <c r="AD681">
        <f t="shared" si="305"/>
        <v>123</v>
      </c>
      <c r="AE681">
        <f t="shared" si="306"/>
        <v>112</v>
      </c>
      <c r="AF681">
        <f t="shared" si="307"/>
        <v>80</v>
      </c>
      <c r="AG681">
        <f t="shared" si="308"/>
        <v>72</v>
      </c>
      <c r="AH681">
        <f t="shared" si="309"/>
        <v>58</v>
      </c>
      <c r="AI681">
        <f t="shared" si="310"/>
        <v>151</v>
      </c>
      <c r="AJ681">
        <f t="shared" si="311"/>
        <v>138</v>
      </c>
      <c r="AK681">
        <f t="shared" si="312"/>
        <v>106</v>
      </c>
      <c r="AL681">
        <f t="shared" si="313"/>
        <v>95</v>
      </c>
      <c r="AM681">
        <f t="shared" si="314"/>
        <v>81</v>
      </c>
      <c r="AN681">
        <f t="shared" si="315"/>
        <v>123</v>
      </c>
      <c r="AO681">
        <f t="shared" si="316"/>
        <v>112</v>
      </c>
      <c r="AP681">
        <f t="shared" si="317"/>
        <v>80</v>
      </c>
      <c r="AQ681">
        <f t="shared" si="318"/>
        <v>72</v>
      </c>
      <c r="AR681">
        <f t="shared" si="319"/>
        <v>58</v>
      </c>
      <c r="AS681">
        <f t="shared" si="320"/>
        <v>151</v>
      </c>
      <c r="AT681">
        <f t="shared" si="321"/>
        <v>138</v>
      </c>
      <c r="AU681">
        <f t="shared" si="322"/>
        <v>106</v>
      </c>
      <c r="AV681">
        <f t="shared" si="323"/>
        <v>95</v>
      </c>
      <c r="AW681">
        <f t="shared" si="324"/>
        <v>81</v>
      </c>
      <c r="AX681">
        <f t="shared" si="325"/>
        <v>112</v>
      </c>
      <c r="AY681">
        <f t="shared" si="326"/>
        <v>102</v>
      </c>
      <c r="AZ681">
        <f t="shared" si="327"/>
        <v>70</v>
      </c>
      <c r="BA681">
        <f t="shared" si="328"/>
        <v>63</v>
      </c>
      <c r="BB681">
        <f t="shared" si="329"/>
        <v>49</v>
      </c>
    </row>
    <row r="682" spans="1:54" x14ac:dyDescent="0.15">
      <c r="A682">
        <v>452</v>
      </c>
      <c r="B682" t="s">
        <v>2419</v>
      </c>
      <c r="C682">
        <v>532</v>
      </c>
      <c r="D682">
        <v>0</v>
      </c>
      <c r="E682" t="s">
        <v>2420</v>
      </c>
      <c r="G682" t="s">
        <v>2420</v>
      </c>
      <c r="H682" t="s">
        <v>2421</v>
      </c>
      <c r="J682" t="s">
        <v>2422</v>
      </c>
      <c r="K682">
        <v>12.5</v>
      </c>
      <c r="L682">
        <v>0.6</v>
      </c>
      <c r="M682" t="s">
        <v>354</v>
      </c>
      <c r="O682" t="s">
        <v>135</v>
      </c>
      <c r="P682" t="s">
        <v>222</v>
      </c>
      <c r="Q682" t="s">
        <v>629</v>
      </c>
      <c r="R682">
        <v>9</v>
      </c>
      <c r="S682">
        <v>75</v>
      </c>
      <c r="T682">
        <v>80</v>
      </c>
      <c r="U682">
        <v>55</v>
      </c>
      <c r="V682">
        <v>25</v>
      </c>
      <c r="W682">
        <v>35</v>
      </c>
      <c r="X682">
        <v>35</v>
      </c>
      <c r="Y682">
        <f t="shared" si="300"/>
        <v>182</v>
      </c>
      <c r="Z682">
        <f t="shared" si="301"/>
        <v>182</v>
      </c>
      <c r="AA682">
        <f t="shared" si="302"/>
        <v>150</v>
      </c>
      <c r="AB682">
        <f t="shared" si="303"/>
        <v>150</v>
      </c>
      <c r="AC682">
        <f t="shared" si="304"/>
        <v>135</v>
      </c>
      <c r="AD682">
        <f t="shared" si="305"/>
        <v>145</v>
      </c>
      <c r="AE682">
        <f t="shared" si="306"/>
        <v>132</v>
      </c>
      <c r="AF682">
        <f t="shared" si="307"/>
        <v>100</v>
      </c>
      <c r="AG682">
        <f t="shared" si="308"/>
        <v>90</v>
      </c>
      <c r="AH682">
        <f t="shared" si="309"/>
        <v>76</v>
      </c>
      <c r="AI682">
        <f t="shared" si="310"/>
        <v>117</v>
      </c>
      <c r="AJ682">
        <f t="shared" si="311"/>
        <v>107</v>
      </c>
      <c r="AK682">
        <f t="shared" si="312"/>
        <v>75</v>
      </c>
      <c r="AL682">
        <f t="shared" si="313"/>
        <v>67</v>
      </c>
      <c r="AM682">
        <f t="shared" si="314"/>
        <v>54</v>
      </c>
      <c r="AN682">
        <f t="shared" si="315"/>
        <v>84</v>
      </c>
      <c r="AO682">
        <f t="shared" si="316"/>
        <v>77</v>
      </c>
      <c r="AP682">
        <f t="shared" si="317"/>
        <v>45</v>
      </c>
      <c r="AQ682">
        <f t="shared" si="318"/>
        <v>40</v>
      </c>
      <c r="AR682">
        <f t="shared" si="319"/>
        <v>27</v>
      </c>
      <c r="AS682">
        <f t="shared" si="320"/>
        <v>95</v>
      </c>
      <c r="AT682">
        <f t="shared" si="321"/>
        <v>87</v>
      </c>
      <c r="AU682">
        <f t="shared" si="322"/>
        <v>55</v>
      </c>
      <c r="AV682">
        <f t="shared" si="323"/>
        <v>49</v>
      </c>
      <c r="AW682">
        <f t="shared" si="324"/>
        <v>36</v>
      </c>
      <c r="AX682">
        <f t="shared" si="325"/>
        <v>95</v>
      </c>
      <c r="AY682">
        <f t="shared" si="326"/>
        <v>87</v>
      </c>
      <c r="AZ682">
        <f t="shared" si="327"/>
        <v>55</v>
      </c>
      <c r="BA682">
        <f t="shared" si="328"/>
        <v>49</v>
      </c>
      <c r="BB682">
        <f t="shared" si="329"/>
        <v>36</v>
      </c>
    </row>
    <row r="683" spans="1:54" x14ac:dyDescent="0.15">
      <c r="A683">
        <v>453</v>
      </c>
      <c r="B683" t="s">
        <v>2423</v>
      </c>
      <c r="C683">
        <v>533</v>
      </c>
      <c r="D683">
        <v>0</v>
      </c>
      <c r="E683" t="s">
        <v>2424</v>
      </c>
      <c r="G683" t="s">
        <v>2424</v>
      </c>
      <c r="H683" t="s">
        <v>2425</v>
      </c>
      <c r="J683" t="s">
        <v>2422</v>
      </c>
      <c r="K683">
        <v>40</v>
      </c>
      <c r="L683">
        <v>1.2</v>
      </c>
      <c r="M683" t="s">
        <v>354</v>
      </c>
      <c r="O683" t="s">
        <v>135</v>
      </c>
      <c r="P683" t="s">
        <v>222</v>
      </c>
      <c r="Q683" t="s">
        <v>629</v>
      </c>
      <c r="R683">
        <v>9</v>
      </c>
      <c r="S683">
        <v>85</v>
      </c>
      <c r="T683">
        <v>105</v>
      </c>
      <c r="U683">
        <v>85</v>
      </c>
      <c r="V683">
        <v>40</v>
      </c>
      <c r="W683">
        <v>50</v>
      </c>
      <c r="X683">
        <v>40</v>
      </c>
      <c r="Y683">
        <f t="shared" si="300"/>
        <v>192</v>
      </c>
      <c r="Z683">
        <f t="shared" si="301"/>
        <v>192</v>
      </c>
      <c r="AA683">
        <f t="shared" si="302"/>
        <v>160</v>
      </c>
      <c r="AB683">
        <f t="shared" si="303"/>
        <v>160</v>
      </c>
      <c r="AC683">
        <f t="shared" si="304"/>
        <v>145</v>
      </c>
      <c r="AD683">
        <f t="shared" si="305"/>
        <v>172</v>
      </c>
      <c r="AE683">
        <f t="shared" si="306"/>
        <v>157</v>
      </c>
      <c r="AF683">
        <f t="shared" si="307"/>
        <v>125</v>
      </c>
      <c r="AG683">
        <f t="shared" si="308"/>
        <v>112</v>
      </c>
      <c r="AH683">
        <f t="shared" si="309"/>
        <v>99</v>
      </c>
      <c r="AI683">
        <f t="shared" si="310"/>
        <v>150</v>
      </c>
      <c r="AJ683">
        <f t="shared" si="311"/>
        <v>137</v>
      </c>
      <c r="AK683">
        <f t="shared" si="312"/>
        <v>105</v>
      </c>
      <c r="AL683">
        <f t="shared" si="313"/>
        <v>94</v>
      </c>
      <c r="AM683">
        <f t="shared" si="314"/>
        <v>81</v>
      </c>
      <c r="AN683">
        <f t="shared" si="315"/>
        <v>101</v>
      </c>
      <c r="AO683">
        <f t="shared" si="316"/>
        <v>92</v>
      </c>
      <c r="AP683">
        <f t="shared" si="317"/>
        <v>60</v>
      </c>
      <c r="AQ683">
        <f t="shared" si="318"/>
        <v>54</v>
      </c>
      <c r="AR683">
        <f t="shared" si="319"/>
        <v>40</v>
      </c>
      <c r="AS683">
        <f t="shared" si="320"/>
        <v>112</v>
      </c>
      <c r="AT683">
        <f t="shared" si="321"/>
        <v>102</v>
      </c>
      <c r="AU683">
        <f t="shared" si="322"/>
        <v>70</v>
      </c>
      <c r="AV683">
        <f t="shared" si="323"/>
        <v>63</v>
      </c>
      <c r="AW683">
        <f t="shared" si="324"/>
        <v>49</v>
      </c>
      <c r="AX683">
        <f t="shared" si="325"/>
        <v>101</v>
      </c>
      <c r="AY683">
        <f t="shared" si="326"/>
        <v>92</v>
      </c>
      <c r="AZ683">
        <f t="shared" si="327"/>
        <v>60</v>
      </c>
      <c r="BA683">
        <f t="shared" si="328"/>
        <v>54</v>
      </c>
      <c r="BB683">
        <f t="shared" si="329"/>
        <v>40</v>
      </c>
    </row>
    <row r="684" spans="1:54" x14ac:dyDescent="0.15">
      <c r="A684">
        <v>454</v>
      </c>
      <c r="B684" t="s">
        <v>2426</v>
      </c>
      <c r="C684">
        <v>534</v>
      </c>
      <c r="D684">
        <v>0</v>
      </c>
      <c r="E684" t="s">
        <v>2427</v>
      </c>
      <c r="G684" t="s">
        <v>2427</v>
      </c>
      <c r="H684" t="s">
        <v>2428</v>
      </c>
      <c r="J684" t="s">
        <v>2422</v>
      </c>
      <c r="K684">
        <v>87</v>
      </c>
      <c r="L684">
        <v>1.4</v>
      </c>
      <c r="M684" t="s">
        <v>354</v>
      </c>
      <c r="O684" t="s">
        <v>135</v>
      </c>
      <c r="P684" t="s">
        <v>222</v>
      </c>
      <c r="Q684" t="s">
        <v>629</v>
      </c>
      <c r="R684">
        <v>9</v>
      </c>
      <c r="S684">
        <v>105</v>
      </c>
      <c r="T684">
        <v>140</v>
      </c>
      <c r="U684">
        <v>95</v>
      </c>
      <c r="V684">
        <v>55</v>
      </c>
      <c r="W684">
        <v>65</v>
      </c>
      <c r="X684">
        <v>45</v>
      </c>
      <c r="Y684">
        <f t="shared" si="300"/>
        <v>212</v>
      </c>
      <c r="Z684">
        <f t="shared" si="301"/>
        <v>212</v>
      </c>
      <c r="AA684">
        <f t="shared" si="302"/>
        <v>180</v>
      </c>
      <c r="AB684">
        <f t="shared" si="303"/>
        <v>180</v>
      </c>
      <c r="AC684">
        <f t="shared" si="304"/>
        <v>165</v>
      </c>
      <c r="AD684">
        <f t="shared" si="305"/>
        <v>211</v>
      </c>
      <c r="AE684">
        <f t="shared" si="306"/>
        <v>192</v>
      </c>
      <c r="AF684">
        <f t="shared" si="307"/>
        <v>160</v>
      </c>
      <c r="AG684">
        <f t="shared" si="308"/>
        <v>144</v>
      </c>
      <c r="AH684">
        <f t="shared" si="309"/>
        <v>130</v>
      </c>
      <c r="AI684">
        <f t="shared" si="310"/>
        <v>161</v>
      </c>
      <c r="AJ684">
        <f t="shared" si="311"/>
        <v>147</v>
      </c>
      <c r="AK684">
        <f t="shared" si="312"/>
        <v>115</v>
      </c>
      <c r="AL684">
        <f t="shared" si="313"/>
        <v>103</v>
      </c>
      <c r="AM684">
        <f t="shared" si="314"/>
        <v>90</v>
      </c>
      <c r="AN684">
        <f t="shared" si="315"/>
        <v>117</v>
      </c>
      <c r="AO684">
        <f t="shared" si="316"/>
        <v>107</v>
      </c>
      <c r="AP684">
        <f t="shared" si="317"/>
        <v>75</v>
      </c>
      <c r="AQ684">
        <f t="shared" si="318"/>
        <v>67</v>
      </c>
      <c r="AR684">
        <f t="shared" si="319"/>
        <v>54</v>
      </c>
      <c r="AS684">
        <f t="shared" si="320"/>
        <v>128</v>
      </c>
      <c r="AT684">
        <f t="shared" si="321"/>
        <v>117</v>
      </c>
      <c r="AU684">
        <f t="shared" si="322"/>
        <v>85</v>
      </c>
      <c r="AV684">
        <f t="shared" si="323"/>
        <v>76</v>
      </c>
      <c r="AW684">
        <f t="shared" si="324"/>
        <v>63</v>
      </c>
      <c r="AX684">
        <f t="shared" si="325"/>
        <v>106</v>
      </c>
      <c r="AY684">
        <f t="shared" si="326"/>
        <v>97</v>
      </c>
      <c r="AZ684">
        <f t="shared" si="327"/>
        <v>65</v>
      </c>
      <c r="BA684">
        <f t="shared" si="328"/>
        <v>58</v>
      </c>
      <c r="BB684">
        <f t="shared" si="329"/>
        <v>45</v>
      </c>
    </row>
    <row r="685" spans="1:54" x14ac:dyDescent="0.15">
      <c r="B685" t="s">
        <v>2429</v>
      </c>
      <c r="C685">
        <v>535</v>
      </c>
      <c r="D685">
        <v>0</v>
      </c>
      <c r="E685" t="s">
        <v>2430</v>
      </c>
      <c r="G685" t="s">
        <v>2430</v>
      </c>
      <c r="J685" t="s">
        <v>382</v>
      </c>
      <c r="K685">
        <v>4.5</v>
      </c>
      <c r="L685">
        <v>0.5</v>
      </c>
      <c r="M685" t="s">
        <v>71</v>
      </c>
      <c r="O685" t="s">
        <v>346</v>
      </c>
      <c r="P685" t="s">
        <v>513</v>
      </c>
      <c r="Q685" t="s">
        <v>383</v>
      </c>
      <c r="R685">
        <v>8</v>
      </c>
      <c r="S685">
        <v>50</v>
      </c>
      <c r="T685">
        <v>50</v>
      </c>
      <c r="U685">
        <v>40</v>
      </c>
      <c r="V685">
        <v>50</v>
      </c>
      <c r="W685">
        <v>40</v>
      </c>
      <c r="X685">
        <v>64</v>
      </c>
      <c r="Y685">
        <f t="shared" si="300"/>
        <v>157</v>
      </c>
      <c r="Z685">
        <f t="shared" si="301"/>
        <v>157</v>
      </c>
      <c r="AA685">
        <f t="shared" si="302"/>
        <v>125</v>
      </c>
      <c r="AB685">
        <f t="shared" si="303"/>
        <v>125</v>
      </c>
      <c r="AC685">
        <f t="shared" si="304"/>
        <v>110</v>
      </c>
      <c r="AD685">
        <f t="shared" si="305"/>
        <v>112</v>
      </c>
      <c r="AE685">
        <f t="shared" si="306"/>
        <v>102</v>
      </c>
      <c r="AF685">
        <f t="shared" si="307"/>
        <v>70</v>
      </c>
      <c r="AG685">
        <f t="shared" si="308"/>
        <v>63</v>
      </c>
      <c r="AH685">
        <f t="shared" si="309"/>
        <v>49</v>
      </c>
      <c r="AI685">
        <f t="shared" si="310"/>
        <v>101</v>
      </c>
      <c r="AJ685">
        <f t="shared" si="311"/>
        <v>92</v>
      </c>
      <c r="AK685">
        <f t="shared" si="312"/>
        <v>60</v>
      </c>
      <c r="AL685">
        <f t="shared" si="313"/>
        <v>54</v>
      </c>
      <c r="AM685">
        <f t="shared" si="314"/>
        <v>40</v>
      </c>
      <c r="AN685">
        <f t="shared" si="315"/>
        <v>112</v>
      </c>
      <c r="AO685">
        <f t="shared" si="316"/>
        <v>102</v>
      </c>
      <c r="AP685">
        <f t="shared" si="317"/>
        <v>70</v>
      </c>
      <c r="AQ685">
        <f t="shared" si="318"/>
        <v>63</v>
      </c>
      <c r="AR685">
        <f t="shared" si="319"/>
        <v>49</v>
      </c>
      <c r="AS685">
        <f t="shared" si="320"/>
        <v>101</v>
      </c>
      <c r="AT685">
        <f t="shared" si="321"/>
        <v>92</v>
      </c>
      <c r="AU685">
        <f t="shared" si="322"/>
        <v>60</v>
      </c>
      <c r="AV685">
        <f t="shared" si="323"/>
        <v>54</v>
      </c>
      <c r="AW685">
        <f t="shared" si="324"/>
        <v>40</v>
      </c>
      <c r="AX685">
        <f t="shared" si="325"/>
        <v>127</v>
      </c>
      <c r="AY685">
        <f t="shared" si="326"/>
        <v>116</v>
      </c>
      <c r="AZ685">
        <f t="shared" si="327"/>
        <v>84</v>
      </c>
      <c r="BA685">
        <f t="shared" si="328"/>
        <v>75</v>
      </c>
      <c r="BB685">
        <f t="shared" si="329"/>
        <v>62</v>
      </c>
    </row>
    <row r="686" spans="1:54" x14ac:dyDescent="0.15">
      <c r="B686" t="s">
        <v>2431</v>
      </c>
      <c r="C686">
        <v>536</v>
      </c>
      <c r="D686">
        <v>0</v>
      </c>
      <c r="E686" t="s">
        <v>2432</v>
      </c>
      <c r="G686" t="s">
        <v>2432</v>
      </c>
      <c r="J686" t="s">
        <v>1555</v>
      </c>
      <c r="K686">
        <v>17</v>
      </c>
      <c r="L686">
        <v>0.8</v>
      </c>
      <c r="M686" t="s">
        <v>71</v>
      </c>
      <c r="N686" t="s">
        <v>196</v>
      </c>
      <c r="O686" t="s">
        <v>346</v>
      </c>
      <c r="P686" t="s">
        <v>513</v>
      </c>
      <c r="Q686" t="s">
        <v>383</v>
      </c>
      <c r="R686">
        <v>8</v>
      </c>
      <c r="S686">
        <v>75</v>
      </c>
      <c r="T686">
        <v>65</v>
      </c>
      <c r="U686">
        <v>55</v>
      </c>
      <c r="V686">
        <v>65</v>
      </c>
      <c r="W686">
        <v>55</v>
      </c>
      <c r="X686">
        <v>69</v>
      </c>
      <c r="Y686">
        <f t="shared" si="300"/>
        <v>182</v>
      </c>
      <c r="Z686">
        <f t="shared" si="301"/>
        <v>182</v>
      </c>
      <c r="AA686">
        <f t="shared" si="302"/>
        <v>150</v>
      </c>
      <c r="AB686">
        <f t="shared" si="303"/>
        <v>150</v>
      </c>
      <c r="AC686">
        <f t="shared" si="304"/>
        <v>135</v>
      </c>
      <c r="AD686">
        <f t="shared" si="305"/>
        <v>128</v>
      </c>
      <c r="AE686">
        <f t="shared" si="306"/>
        <v>117</v>
      </c>
      <c r="AF686">
        <f t="shared" si="307"/>
        <v>85</v>
      </c>
      <c r="AG686">
        <f t="shared" si="308"/>
        <v>76</v>
      </c>
      <c r="AH686">
        <f t="shared" si="309"/>
        <v>63</v>
      </c>
      <c r="AI686">
        <f t="shared" si="310"/>
        <v>117</v>
      </c>
      <c r="AJ686">
        <f t="shared" si="311"/>
        <v>107</v>
      </c>
      <c r="AK686">
        <f t="shared" si="312"/>
        <v>75</v>
      </c>
      <c r="AL686">
        <f t="shared" si="313"/>
        <v>67</v>
      </c>
      <c r="AM686">
        <f t="shared" si="314"/>
        <v>54</v>
      </c>
      <c r="AN686">
        <f t="shared" si="315"/>
        <v>128</v>
      </c>
      <c r="AO686">
        <f t="shared" si="316"/>
        <v>117</v>
      </c>
      <c r="AP686">
        <f t="shared" si="317"/>
        <v>85</v>
      </c>
      <c r="AQ686">
        <f t="shared" si="318"/>
        <v>76</v>
      </c>
      <c r="AR686">
        <f t="shared" si="319"/>
        <v>63</v>
      </c>
      <c r="AS686">
        <f t="shared" si="320"/>
        <v>117</v>
      </c>
      <c r="AT686">
        <f t="shared" si="321"/>
        <v>107</v>
      </c>
      <c r="AU686">
        <f t="shared" si="322"/>
        <v>75</v>
      </c>
      <c r="AV686">
        <f t="shared" si="323"/>
        <v>67</v>
      </c>
      <c r="AW686">
        <f t="shared" si="324"/>
        <v>54</v>
      </c>
      <c r="AX686">
        <f t="shared" si="325"/>
        <v>133</v>
      </c>
      <c r="AY686">
        <f t="shared" si="326"/>
        <v>121</v>
      </c>
      <c r="AZ686">
        <f t="shared" si="327"/>
        <v>89</v>
      </c>
      <c r="BA686">
        <f t="shared" si="328"/>
        <v>80</v>
      </c>
      <c r="BB686">
        <f t="shared" si="329"/>
        <v>66</v>
      </c>
    </row>
    <row r="687" spans="1:54" x14ac:dyDescent="0.15">
      <c r="B687" t="s">
        <v>2433</v>
      </c>
      <c r="C687">
        <v>537</v>
      </c>
      <c r="D687">
        <v>0</v>
      </c>
      <c r="E687" t="s">
        <v>2434</v>
      </c>
      <c r="G687" t="s">
        <v>2434</v>
      </c>
      <c r="J687" t="s">
        <v>1555</v>
      </c>
      <c r="K687">
        <v>62</v>
      </c>
      <c r="L687">
        <v>1.5</v>
      </c>
      <c r="M687" t="s">
        <v>71</v>
      </c>
      <c r="N687" t="s">
        <v>196</v>
      </c>
      <c r="O687" t="s">
        <v>346</v>
      </c>
      <c r="P687" t="s">
        <v>523</v>
      </c>
      <c r="Q687" t="s">
        <v>383</v>
      </c>
      <c r="R687">
        <v>8</v>
      </c>
      <c r="S687">
        <v>105</v>
      </c>
      <c r="T687">
        <v>95</v>
      </c>
      <c r="U687">
        <v>75</v>
      </c>
      <c r="V687">
        <v>85</v>
      </c>
      <c r="W687">
        <v>75</v>
      </c>
      <c r="X687">
        <v>74</v>
      </c>
      <c r="Y687">
        <f t="shared" si="300"/>
        <v>212</v>
      </c>
      <c r="Z687">
        <f t="shared" si="301"/>
        <v>212</v>
      </c>
      <c r="AA687">
        <f t="shared" si="302"/>
        <v>180</v>
      </c>
      <c r="AB687">
        <f t="shared" si="303"/>
        <v>180</v>
      </c>
      <c r="AC687">
        <f t="shared" si="304"/>
        <v>165</v>
      </c>
      <c r="AD687">
        <f t="shared" si="305"/>
        <v>161</v>
      </c>
      <c r="AE687">
        <f t="shared" si="306"/>
        <v>147</v>
      </c>
      <c r="AF687">
        <f t="shared" si="307"/>
        <v>115</v>
      </c>
      <c r="AG687">
        <f t="shared" si="308"/>
        <v>103</v>
      </c>
      <c r="AH687">
        <f t="shared" si="309"/>
        <v>90</v>
      </c>
      <c r="AI687">
        <f t="shared" si="310"/>
        <v>139</v>
      </c>
      <c r="AJ687">
        <f t="shared" si="311"/>
        <v>127</v>
      </c>
      <c r="AK687">
        <f t="shared" si="312"/>
        <v>95</v>
      </c>
      <c r="AL687">
        <f t="shared" si="313"/>
        <v>85</v>
      </c>
      <c r="AM687">
        <f t="shared" si="314"/>
        <v>72</v>
      </c>
      <c r="AN687">
        <f t="shared" si="315"/>
        <v>150</v>
      </c>
      <c r="AO687">
        <f t="shared" si="316"/>
        <v>137</v>
      </c>
      <c r="AP687">
        <f t="shared" si="317"/>
        <v>105</v>
      </c>
      <c r="AQ687">
        <f t="shared" si="318"/>
        <v>94</v>
      </c>
      <c r="AR687">
        <f t="shared" si="319"/>
        <v>81</v>
      </c>
      <c r="AS687">
        <f t="shared" si="320"/>
        <v>139</v>
      </c>
      <c r="AT687">
        <f t="shared" si="321"/>
        <v>127</v>
      </c>
      <c r="AU687">
        <f t="shared" si="322"/>
        <v>95</v>
      </c>
      <c r="AV687">
        <f t="shared" si="323"/>
        <v>85</v>
      </c>
      <c r="AW687">
        <f t="shared" si="324"/>
        <v>72</v>
      </c>
      <c r="AX687">
        <f t="shared" si="325"/>
        <v>138</v>
      </c>
      <c r="AY687">
        <f t="shared" si="326"/>
        <v>126</v>
      </c>
      <c r="AZ687">
        <f t="shared" si="327"/>
        <v>94</v>
      </c>
      <c r="BA687">
        <f t="shared" si="328"/>
        <v>84</v>
      </c>
      <c r="BB687">
        <f t="shared" si="329"/>
        <v>71</v>
      </c>
    </row>
    <row r="688" spans="1:54" x14ac:dyDescent="0.15">
      <c r="B688" t="s">
        <v>2435</v>
      </c>
      <c r="C688">
        <v>538</v>
      </c>
      <c r="D688">
        <v>0</v>
      </c>
      <c r="E688" t="s">
        <v>2436</v>
      </c>
      <c r="G688" t="s">
        <v>2436</v>
      </c>
      <c r="J688" t="s">
        <v>2437</v>
      </c>
      <c r="K688">
        <v>55.5</v>
      </c>
      <c r="L688">
        <v>1.3</v>
      </c>
      <c r="M688" t="s">
        <v>354</v>
      </c>
      <c r="O688" t="s">
        <v>135</v>
      </c>
      <c r="P688" t="s">
        <v>268</v>
      </c>
      <c r="Q688" t="s">
        <v>713</v>
      </c>
      <c r="R688">
        <v>8</v>
      </c>
      <c r="S688">
        <v>120</v>
      </c>
      <c r="T688">
        <v>100</v>
      </c>
      <c r="U688">
        <v>85</v>
      </c>
      <c r="V688">
        <v>30</v>
      </c>
      <c r="W688">
        <v>85</v>
      </c>
      <c r="X688">
        <v>45</v>
      </c>
      <c r="Y688">
        <f t="shared" si="300"/>
        <v>227</v>
      </c>
      <c r="Z688">
        <f t="shared" si="301"/>
        <v>227</v>
      </c>
      <c r="AA688">
        <f t="shared" si="302"/>
        <v>195</v>
      </c>
      <c r="AB688">
        <f t="shared" si="303"/>
        <v>195</v>
      </c>
      <c r="AC688">
        <f t="shared" si="304"/>
        <v>180</v>
      </c>
      <c r="AD688">
        <f t="shared" si="305"/>
        <v>167</v>
      </c>
      <c r="AE688">
        <f t="shared" si="306"/>
        <v>152</v>
      </c>
      <c r="AF688">
        <f t="shared" si="307"/>
        <v>120</v>
      </c>
      <c r="AG688">
        <f t="shared" si="308"/>
        <v>108</v>
      </c>
      <c r="AH688">
        <f t="shared" si="309"/>
        <v>94</v>
      </c>
      <c r="AI688">
        <f t="shared" si="310"/>
        <v>150</v>
      </c>
      <c r="AJ688">
        <f t="shared" si="311"/>
        <v>137</v>
      </c>
      <c r="AK688">
        <f t="shared" si="312"/>
        <v>105</v>
      </c>
      <c r="AL688">
        <f t="shared" si="313"/>
        <v>94</v>
      </c>
      <c r="AM688">
        <f t="shared" si="314"/>
        <v>81</v>
      </c>
      <c r="AN688">
        <f t="shared" si="315"/>
        <v>90</v>
      </c>
      <c r="AO688">
        <f t="shared" si="316"/>
        <v>82</v>
      </c>
      <c r="AP688">
        <f t="shared" si="317"/>
        <v>50</v>
      </c>
      <c r="AQ688">
        <f t="shared" si="318"/>
        <v>45</v>
      </c>
      <c r="AR688">
        <f t="shared" si="319"/>
        <v>31</v>
      </c>
      <c r="AS688">
        <f t="shared" si="320"/>
        <v>150</v>
      </c>
      <c r="AT688">
        <f t="shared" si="321"/>
        <v>137</v>
      </c>
      <c r="AU688">
        <f t="shared" si="322"/>
        <v>105</v>
      </c>
      <c r="AV688">
        <f t="shared" si="323"/>
        <v>94</v>
      </c>
      <c r="AW688">
        <f t="shared" si="324"/>
        <v>81</v>
      </c>
      <c r="AX688">
        <f t="shared" si="325"/>
        <v>106</v>
      </c>
      <c r="AY688">
        <f t="shared" si="326"/>
        <v>97</v>
      </c>
      <c r="AZ688">
        <f t="shared" si="327"/>
        <v>65</v>
      </c>
      <c r="BA688">
        <f t="shared" si="328"/>
        <v>58</v>
      </c>
      <c r="BB688">
        <f t="shared" si="329"/>
        <v>45</v>
      </c>
    </row>
    <row r="689" spans="1:54" x14ac:dyDescent="0.15">
      <c r="B689" t="s">
        <v>2438</v>
      </c>
      <c r="C689">
        <v>539</v>
      </c>
      <c r="D689">
        <v>0</v>
      </c>
      <c r="E689" t="s">
        <v>2439</v>
      </c>
      <c r="G689" t="s">
        <v>2439</v>
      </c>
      <c r="J689" t="s">
        <v>2440</v>
      </c>
      <c r="K689">
        <v>51</v>
      </c>
      <c r="L689">
        <v>1.4</v>
      </c>
      <c r="M689" t="s">
        <v>354</v>
      </c>
      <c r="O689" t="s">
        <v>435</v>
      </c>
      <c r="P689" t="s">
        <v>268</v>
      </c>
      <c r="Q689" t="s">
        <v>713</v>
      </c>
      <c r="R689">
        <v>8</v>
      </c>
      <c r="S689">
        <v>75</v>
      </c>
      <c r="T689">
        <v>125</v>
      </c>
      <c r="U689">
        <v>75</v>
      </c>
      <c r="V689">
        <v>30</v>
      </c>
      <c r="W689">
        <v>75</v>
      </c>
      <c r="X689">
        <v>85</v>
      </c>
      <c r="Y689">
        <f t="shared" si="300"/>
        <v>182</v>
      </c>
      <c r="Z689">
        <f t="shared" si="301"/>
        <v>182</v>
      </c>
      <c r="AA689">
        <f t="shared" si="302"/>
        <v>150</v>
      </c>
      <c r="AB689">
        <f t="shared" si="303"/>
        <v>150</v>
      </c>
      <c r="AC689">
        <f t="shared" si="304"/>
        <v>135</v>
      </c>
      <c r="AD689">
        <f t="shared" si="305"/>
        <v>194</v>
      </c>
      <c r="AE689">
        <f t="shared" si="306"/>
        <v>177</v>
      </c>
      <c r="AF689">
        <f t="shared" si="307"/>
        <v>145</v>
      </c>
      <c r="AG689">
        <f t="shared" si="308"/>
        <v>130</v>
      </c>
      <c r="AH689">
        <f t="shared" si="309"/>
        <v>117</v>
      </c>
      <c r="AI689">
        <f t="shared" si="310"/>
        <v>139</v>
      </c>
      <c r="AJ689">
        <f t="shared" si="311"/>
        <v>127</v>
      </c>
      <c r="AK689">
        <f t="shared" si="312"/>
        <v>95</v>
      </c>
      <c r="AL689">
        <f t="shared" si="313"/>
        <v>85</v>
      </c>
      <c r="AM689">
        <f t="shared" si="314"/>
        <v>72</v>
      </c>
      <c r="AN689">
        <f t="shared" si="315"/>
        <v>90</v>
      </c>
      <c r="AO689">
        <f t="shared" si="316"/>
        <v>82</v>
      </c>
      <c r="AP689">
        <f t="shared" si="317"/>
        <v>50</v>
      </c>
      <c r="AQ689">
        <f t="shared" si="318"/>
        <v>45</v>
      </c>
      <c r="AR689">
        <f t="shared" si="319"/>
        <v>31</v>
      </c>
      <c r="AS689">
        <f t="shared" si="320"/>
        <v>139</v>
      </c>
      <c r="AT689">
        <f t="shared" si="321"/>
        <v>127</v>
      </c>
      <c r="AU689">
        <f t="shared" si="322"/>
        <v>95</v>
      </c>
      <c r="AV689">
        <f t="shared" si="323"/>
        <v>85</v>
      </c>
      <c r="AW689">
        <f t="shared" si="324"/>
        <v>72</v>
      </c>
      <c r="AX689">
        <f t="shared" si="325"/>
        <v>150</v>
      </c>
      <c r="AY689">
        <f t="shared" si="326"/>
        <v>137</v>
      </c>
      <c r="AZ689">
        <f t="shared" si="327"/>
        <v>105</v>
      </c>
      <c r="BA689">
        <f t="shared" si="328"/>
        <v>94</v>
      </c>
      <c r="BB689">
        <f t="shared" si="329"/>
        <v>81</v>
      </c>
    </row>
    <row r="690" spans="1:54" x14ac:dyDescent="0.15">
      <c r="A690">
        <v>455</v>
      </c>
      <c r="B690" t="s">
        <v>2441</v>
      </c>
      <c r="C690">
        <v>540</v>
      </c>
      <c r="D690">
        <v>0</v>
      </c>
      <c r="E690" t="s">
        <v>2442</v>
      </c>
      <c r="G690" t="s">
        <v>2442</v>
      </c>
      <c r="H690" t="s">
        <v>2443</v>
      </c>
      <c r="J690" t="s">
        <v>2444</v>
      </c>
      <c r="K690">
        <v>2.5</v>
      </c>
      <c r="L690">
        <v>0.3</v>
      </c>
      <c r="M690" t="s">
        <v>90</v>
      </c>
      <c r="N690" t="s">
        <v>26</v>
      </c>
      <c r="O690" t="s">
        <v>112</v>
      </c>
      <c r="P690" t="s">
        <v>29</v>
      </c>
      <c r="Q690" t="s">
        <v>538</v>
      </c>
      <c r="R690">
        <v>9</v>
      </c>
      <c r="S690">
        <v>45</v>
      </c>
      <c r="T690">
        <v>53</v>
      </c>
      <c r="U690">
        <v>70</v>
      </c>
      <c r="V690">
        <v>40</v>
      </c>
      <c r="W690">
        <v>60</v>
      </c>
      <c r="X690">
        <v>42</v>
      </c>
      <c r="Y690">
        <f t="shared" si="300"/>
        <v>152</v>
      </c>
      <c r="Z690">
        <f t="shared" si="301"/>
        <v>152</v>
      </c>
      <c r="AA690">
        <f t="shared" si="302"/>
        <v>120</v>
      </c>
      <c r="AB690">
        <f t="shared" si="303"/>
        <v>120</v>
      </c>
      <c r="AC690">
        <f t="shared" si="304"/>
        <v>105</v>
      </c>
      <c r="AD690">
        <f t="shared" si="305"/>
        <v>115</v>
      </c>
      <c r="AE690">
        <f t="shared" si="306"/>
        <v>105</v>
      </c>
      <c r="AF690">
        <f t="shared" si="307"/>
        <v>73</v>
      </c>
      <c r="AG690">
        <f t="shared" si="308"/>
        <v>65</v>
      </c>
      <c r="AH690">
        <f t="shared" si="309"/>
        <v>52</v>
      </c>
      <c r="AI690">
        <f t="shared" si="310"/>
        <v>134</v>
      </c>
      <c r="AJ690">
        <f t="shared" si="311"/>
        <v>122</v>
      </c>
      <c r="AK690">
        <f t="shared" si="312"/>
        <v>90</v>
      </c>
      <c r="AL690">
        <f t="shared" si="313"/>
        <v>81</v>
      </c>
      <c r="AM690">
        <f t="shared" si="314"/>
        <v>67</v>
      </c>
      <c r="AN690">
        <f t="shared" si="315"/>
        <v>101</v>
      </c>
      <c r="AO690">
        <f t="shared" si="316"/>
        <v>92</v>
      </c>
      <c r="AP690">
        <f t="shared" si="317"/>
        <v>60</v>
      </c>
      <c r="AQ690">
        <f t="shared" si="318"/>
        <v>54</v>
      </c>
      <c r="AR690">
        <f t="shared" si="319"/>
        <v>40</v>
      </c>
      <c r="AS690">
        <f t="shared" si="320"/>
        <v>123</v>
      </c>
      <c r="AT690">
        <f t="shared" si="321"/>
        <v>112</v>
      </c>
      <c r="AU690">
        <f t="shared" si="322"/>
        <v>80</v>
      </c>
      <c r="AV690">
        <f t="shared" si="323"/>
        <v>72</v>
      </c>
      <c r="AW690">
        <f t="shared" si="324"/>
        <v>58</v>
      </c>
      <c r="AX690">
        <f t="shared" si="325"/>
        <v>103</v>
      </c>
      <c r="AY690">
        <f t="shared" si="326"/>
        <v>94</v>
      </c>
      <c r="AZ690">
        <f t="shared" si="327"/>
        <v>62</v>
      </c>
      <c r="BA690">
        <f t="shared" si="328"/>
        <v>55</v>
      </c>
      <c r="BB690">
        <f t="shared" si="329"/>
        <v>42</v>
      </c>
    </row>
    <row r="691" spans="1:54" x14ac:dyDescent="0.15">
      <c r="A691">
        <v>456</v>
      </c>
      <c r="B691" t="s">
        <v>2445</v>
      </c>
      <c r="C691">
        <v>541</v>
      </c>
      <c r="D691">
        <v>0</v>
      </c>
      <c r="E691" t="s">
        <v>2446</v>
      </c>
      <c r="G691" t="s">
        <v>2446</v>
      </c>
      <c r="H691" t="s">
        <v>2447</v>
      </c>
      <c r="J691" t="s">
        <v>2448</v>
      </c>
      <c r="K691">
        <v>7.3</v>
      </c>
      <c r="L691">
        <v>0.5</v>
      </c>
      <c r="M691" t="s">
        <v>90</v>
      </c>
      <c r="N691" t="s">
        <v>26</v>
      </c>
      <c r="O691" t="s">
        <v>660</v>
      </c>
      <c r="P691" t="s">
        <v>29</v>
      </c>
      <c r="Q691" t="s">
        <v>538</v>
      </c>
      <c r="R691">
        <v>9</v>
      </c>
      <c r="S691">
        <v>55</v>
      </c>
      <c r="T691">
        <v>63</v>
      </c>
      <c r="U691">
        <v>90</v>
      </c>
      <c r="V691">
        <v>50</v>
      </c>
      <c r="W691">
        <v>80</v>
      </c>
      <c r="X691">
        <v>42</v>
      </c>
      <c r="Y691">
        <f t="shared" si="300"/>
        <v>162</v>
      </c>
      <c r="Z691">
        <f t="shared" si="301"/>
        <v>162</v>
      </c>
      <c r="AA691">
        <f t="shared" si="302"/>
        <v>130</v>
      </c>
      <c r="AB691">
        <f t="shared" si="303"/>
        <v>130</v>
      </c>
      <c r="AC691">
        <f t="shared" si="304"/>
        <v>115</v>
      </c>
      <c r="AD691">
        <f t="shared" si="305"/>
        <v>126</v>
      </c>
      <c r="AE691">
        <f t="shared" si="306"/>
        <v>115</v>
      </c>
      <c r="AF691">
        <f t="shared" si="307"/>
        <v>83</v>
      </c>
      <c r="AG691">
        <f t="shared" si="308"/>
        <v>74</v>
      </c>
      <c r="AH691">
        <f t="shared" si="309"/>
        <v>61</v>
      </c>
      <c r="AI691">
        <f t="shared" si="310"/>
        <v>156</v>
      </c>
      <c r="AJ691">
        <f t="shared" si="311"/>
        <v>142</v>
      </c>
      <c r="AK691">
        <f t="shared" si="312"/>
        <v>110</v>
      </c>
      <c r="AL691">
        <f t="shared" si="313"/>
        <v>99</v>
      </c>
      <c r="AM691">
        <f t="shared" si="314"/>
        <v>85</v>
      </c>
      <c r="AN691">
        <f t="shared" si="315"/>
        <v>112</v>
      </c>
      <c r="AO691">
        <f t="shared" si="316"/>
        <v>102</v>
      </c>
      <c r="AP691">
        <f t="shared" si="317"/>
        <v>70</v>
      </c>
      <c r="AQ691">
        <f t="shared" si="318"/>
        <v>63</v>
      </c>
      <c r="AR691">
        <f t="shared" si="319"/>
        <v>49</v>
      </c>
      <c r="AS691">
        <f t="shared" si="320"/>
        <v>145</v>
      </c>
      <c r="AT691">
        <f t="shared" si="321"/>
        <v>132</v>
      </c>
      <c r="AU691">
        <f t="shared" si="322"/>
        <v>100</v>
      </c>
      <c r="AV691">
        <f t="shared" si="323"/>
        <v>90</v>
      </c>
      <c r="AW691">
        <f t="shared" si="324"/>
        <v>76</v>
      </c>
      <c r="AX691">
        <f t="shared" si="325"/>
        <v>103</v>
      </c>
      <c r="AY691">
        <f t="shared" si="326"/>
        <v>94</v>
      </c>
      <c r="AZ691">
        <f t="shared" si="327"/>
        <v>62</v>
      </c>
      <c r="BA691">
        <f t="shared" si="328"/>
        <v>55</v>
      </c>
      <c r="BB691">
        <f t="shared" si="329"/>
        <v>42</v>
      </c>
    </row>
    <row r="692" spans="1:54" x14ac:dyDescent="0.15">
      <c r="A692">
        <v>457</v>
      </c>
      <c r="B692" t="s">
        <v>2449</v>
      </c>
      <c r="C692">
        <v>542</v>
      </c>
      <c r="D692">
        <v>0</v>
      </c>
      <c r="E692" t="s">
        <v>2450</v>
      </c>
      <c r="G692" t="s">
        <v>2450</v>
      </c>
      <c r="H692" t="s">
        <v>2451</v>
      </c>
      <c r="J692" t="s">
        <v>2452</v>
      </c>
      <c r="K692">
        <v>20.5</v>
      </c>
      <c r="L692">
        <v>1.2</v>
      </c>
      <c r="M692" t="s">
        <v>90</v>
      </c>
      <c r="N692" t="s">
        <v>26</v>
      </c>
      <c r="O692" t="s">
        <v>112</v>
      </c>
      <c r="P692" t="s">
        <v>29</v>
      </c>
      <c r="Q692" t="s">
        <v>538</v>
      </c>
      <c r="R692">
        <v>9</v>
      </c>
      <c r="S692">
        <v>75</v>
      </c>
      <c r="T692">
        <v>103</v>
      </c>
      <c r="U692">
        <v>80</v>
      </c>
      <c r="V692">
        <v>70</v>
      </c>
      <c r="W692">
        <v>80</v>
      </c>
      <c r="X692">
        <v>92</v>
      </c>
      <c r="Y692">
        <f t="shared" si="300"/>
        <v>182</v>
      </c>
      <c r="Z692">
        <f t="shared" si="301"/>
        <v>182</v>
      </c>
      <c r="AA692">
        <f t="shared" si="302"/>
        <v>150</v>
      </c>
      <c r="AB692">
        <f t="shared" si="303"/>
        <v>150</v>
      </c>
      <c r="AC692">
        <f t="shared" si="304"/>
        <v>135</v>
      </c>
      <c r="AD692">
        <f t="shared" si="305"/>
        <v>170</v>
      </c>
      <c r="AE692">
        <f t="shared" si="306"/>
        <v>155</v>
      </c>
      <c r="AF692">
        <f t="shared" si="307"/>
        <v>123</v>
      </c>
      <c r="AG692">
        <f t="shared" si="308"/>
        <v>110</v>
      </c>
      <c r="AH692">
        <f t="shared" si="309"/>
        <v>97</v>
      </c>
      <c r="AI692">
        <f t="shared" si="310"/>
        <v>145</v>
      </c>
      <c r="AJ692">
        <f t="shared" si="311"/>
        <v>132</v>
      </c>
      <c r="AK692">
        <f t="shared" si="312"/>
        <v>100</v>
      </c>
      <c r="AL692">
        <f t="shared" si="313"/>
        <v>90</v>
      </c>
      <c r="AM692">
        <f t="shared" si="314"/>
        <v>76</v>
      </c>
      <c r="AN692">
        <f t="shared" si="315"/>
        <v>134</v>
      </c>
      <c r="AO692">
        <f t="shared" si="316"/>
        <v>122</v>
      </c>
      <c r="AP692">
        <f t="shared" si="317"/>
        <v>90</v>
      </c>
      <c r="AQ692">
        <f t="shared" si="318"/>
        <v>81</v>
      </c>
      <c r="AR692">
        <f t="shared" si="319"/>
        <v>67</v>
      </c>
      <c r="AS692">
        <f t="shared" si="320"/>
        <v>145</v>
      </c>
      <c r="AT692">
        <f t="shared" si="321"/>
        <v>132</v>
      </c>
      <c r="AU692">
        <f t="shared" si="322"/>
        <v>100</v>
      </c>
      <c r="AV692">
        <f t="shared" si="323"/>
        <v>90</v>
      </c>
      <c r="AW692">
        <f t="shared" si="324"/>
        <v>76</v>
      </c>
      <c r="AX692">
        <f t="shared" si="325"/>
        <v>158</v>
      </c>
      <c r="AY692">
        <f t="shared" si="326"/>
        <v>144</v>
      </c>
      <c r="AZ692">
        <f t="shared" si="327"/>
        <v>112</v>
      </c>
      <c r="BA692">
        <f t="shared" si="328"/>
        <v>100</v>
      </c>
      <c r="BB692">
        <f t="shared" si="329"/>
        <v>87</v>
      </c>
    </row>
    <row r="693" spans="1:54" x14ac:dyDescent="0.15">
      <c r="B693" t="s">
        <v>2453</v>
      </c>
      <c r="C693">
        <v>543</v>
      </c>
      <c r="D693">
        <v>0</v>
      </c>
      <c r="E693" t="s">
        <v>2454</v>
      </c>
      <c r="G693" t="s">
        <v>2454</v>
      </c>
      <c r="J693" t="s">
        <v>2455</v>
      </c>
      <c r="K693">
        <v>5.3</v>
      </c>
      <c r="L693">
        <v>0.4</v>
      </c>
      <c r="M693" t="s">
        <v>90</v>
      </c>
      <c r="N693" t="s">
        <v>27</v>
      </c>
      <c r="O693" t="s">
        <v>215</v>
      </c>
      <c r="P693" t="s">
        <v>112</v>
      </c>
      <c r="Q693" t="s">
        <v>1004</v>
      </c>
      <c r="R693">
        <v>8</v>
      </c>
      <c r="S693">
        <v>30</v>
      </c>
      <c r="T693">
        <v>45</v>
      </c>
      <c r="U693">
        <v>59</v>
      </c>
      <c r="V693">
        <v>30</v>
      </c>
      <c r="W693">
        <v>39</v>
      </c>
      <c r="X693">
        <v>57</v>
      </c>
      <c r="Y693">
        <f t="shared" si="300"/>
        <v>137</v>
      </c>
      <c r="Z693">
        <f t="shared" si="301"/>
        <v>137</v>
      </c>
      <c r="AA693">
        <f t="shared" si="302"/>
        <v>105</v>
      </c>
      <c r="AB693">
        <f t="shared" si="303"/>
        <v>105</v>
      </c>
      <c r="AC693">
        <f t="shared" si="304"/>
        <v>90</v>
      </c>
      <c r="AD693">
        <f t="shared" si="305"/>
        <v>106</v>
      </c>
      <c r="AE693">
        <f t="shared" si="306"/>
        <v>97</v>
      </c>
      <c r="AF693">
        <f t="shared" si="307"/>
        <v>65</v>
      </c>
      <c r="AG693">
        <f t="shared" si="308"/>
        <v>58</v>
      </c>
      <c r="AH693">
        <f t="shared" si="309"/>
        <v>45</v>
      </c>
      <c r="AI693">
        <f t="shared" si="310"/>
        <v>122</v>
      </c>
      <c r="AJ693">
        <f t="shared" si="311"/>
        <v>111</v>
      </c>
      <c r="AK693">
        <f t="shared" si="312"/>
        <v>79</v>
      </c>
      <c r="AL693">
        <f t="shared" si="313"/>
        <v>71</v>
      </c>
      <c r="AM693">
        <f t="shared" si="314"/>
        <v>57</v>
      </c>
      <c r="AN693">
        <f t="shared" si="315"/>
        <v>90</v>
      </c>
      <c r="AO693">
        <f t="shared" si="316"/>
        <v>82</v>
      </c>
      <c r="AP693">
        <f t="shared" si="317"/>
        <v>50</v>
      </c>
      <c r="AQ693">
        <f t="shared" si="318"/>
        <v>45</v>
      </c>
      <c r="AR693">
        <f t="shared" si="319"/>
        <v>31</v>
      </c>
      <c r="AS693">
        <f t="shared" si="320"/>
        <v>100</v>
      </c>
      <c r="AT693">
        <f t="shared" si="321"/>
        <v>91</v>
      </c>
      <c r="AU693">
        <f t="shared" si="322"/>
        <v>59</v>
      </c>
      <c r="AV693">
        <f t="shared" si="323"/>
        <v>53</v>
      </c>
      <c r="AW693">
        <f t="shared" si="324"/>
        <v>39</v>
      </c>
      <c r="AX693">
        <f t="shared" si="325"/>
        <v>119</v>
      </c>
      <c r="AY693">
        <f t="shared" si="326"/>
        <v>109</v>
      </c>
      <c r="AZ693">
        <f t="shared" si="327"/>
        <v>77</v>
      </c>
      <c r="BA693">
        <f t="shared" si="328"/>
        <v>69</v>
      </c>
      <c r="BB693">
        <f t="shared" si="329"/>
        <v>55</v>
      </c>
    </row>
    <row r="694" spans="1:54" x14ac:dyDescent="0.15">
      <c r="B694" t="s">
        <v>2456</v>
      </c>
      <c r="C694">
        <v>544</v>
      </c>
      <c r="D694">
        <v>0</v>
      </c>
      <c r="E694" t="s">
        <v>2457</v>
      </c>
      <c r="G694" t="s">
        <v>2457</v>
      </c>
      <c r="J694" t="s">
        <v>2458</v>
      </c>
      <c r="K694">
        <v>58.5</v>
      </c>
      <c r="L694">
        <v>1.2</v>
      </c>
      <c r="M694" t="s">
        <v>90</v>
      </c>
      <c r="N694" t="s">
        <v>27</v>
      </c>
      <c r="O694" t="s">
        <v>215</v>
      </c>
      <c r="P694" t="s">
        <v>112</v>
      </c>
      <c r="Q694" t="s">
        <v>1004</v>
      </c>
      <c r="R694">
        <v>8</v>
      </c>
      <c r="S694">
        <v>40</v>
      </c>
      <c r="T694">
        <v>55</v>
      </c>
      <c r="U694">
        <v>99</v>
      </c>
      <c r="V694">
        <v>40</v>
      </c>
      <c r="W694">
        <v>79</v>
      </c>
      <c r="X694">
        <v>47</v>
      </c>
      <c r="Y694">
        <f t="shared" si="300"/>
        <v>147</v>
      </c>
      <c r="Z694">
        <f t="shared" si="301"/>
        <v>147</v>
      </c>
      <c r="AA694">
        <f t="shared" si="302"/>
        <v>115</v>
      </c>
      <c r="AB694">
        <f t="shared" si="303"/>
        <v>115</v>
      </c>
      <c r="AC694">
        <f t="shared" si="304"/>
        <v>100</v>
      </c>
      <c r="AD694">
        <f t="shared" si="305"/>
        <v>117</v>
      </c>
      <c r="AE694">
        <f t="shared" si="306"/>
        <v>107</v>
      </c>
      <c r="AF694">
        <f t="shared" si="307"/>
        <v>75</v>
      </c>
      <c r="AG694">
        <f t="shared" si="308"/>
        <v>67</v>
      </c>
      <c r="AH694">
        <f t="shared" si="309"/>
        <v>54</v>
      </c>
      <c r="AI694">
        <f t="shared" si="310"/>
        <v>166</v>
      </c>
      <c r="AJ694">
        <f t="shared" si="311"/>
        <v>151</v>
      </c>
      <c r="AK694">
        <f t="shared" si="312"/>
        <v>119</v>
      </c>
      <c r="AL694">
        <f t="shared" si="313"/>
        <v>107</v>
      </c>
      <c r="AM694">
        <f t="shared" si="314"/>
        <v>93</v>
      </c>
      <c r="AN694">
        <f t="shared" si="315"/>
        <v>101</v>
      </c>
      <c r="AO694">
        <f t="shared" si="316"/>
        <v>92</v>
      </c>
      <c r="AP694">
        <f t="shared" si="317"/>
        <v>60</v>
      </c>
      <c r="AQ694">
        <f t="shared" si="318"/>
        <v>54</v>
      </c>
      <c r="AR694">
        <f t="shared" si="319"/>
        <v>40</v>
      </c>
      <c r="AS694">
        <f t="shared" si="320"/>
        <v>144</v>
      </c>
      <c r="AT694">
        <f t="shared" si="321"/>
        <v>131</v>
      </c>
      <c r="AU694">
        <f t="shared" si="322"/>
        <v>99</v>
      </c>
      <c r="AV694">
        <f t="shared" si="323"/>
        <v>89</v>
      </c>
      <c r="AW694">
        <f t="shared" si="324"/>
        <v>75</v>
      </c>
      <c r="AX694">
        <f t="shared" si="325"/>
        <v>108</v>
      </c>
      <c r="AY694">
        <f t="shared" si="326"/>
        <v>99</v>
      </c>
      <c r="AZ694">
        <f t="shared" si="327"/>
        <v>67</v>
      </c>
      <c r="BA694">
        <f t="shared" si="328"/>
        <v>60</v>
      </c>
      <c r="BB694">
        <f t="shared" si="329"/>
        <v>46</v>
      </c>
    </row>
    <row r="695" spans="1:54" x14ac:dyDescent="0.15">
      <c r="B695" t="s">
        <v>2459</v>
      </c>
      <c r="C695">
        <v>545</v>
      </c>
      <c r="D695">
        <v>0</v>
      </c>
      <c r="E695" t="s">
        <v>2460</v>
      </c>
      <c r="G695" t="s">
        <v>2460</v>
      </c>
      <c r="J695" t="s">
        <v>2461</v>
      </c>
      <c r="K695">
        <v>200.5</v>
      </c>
      <c r="L695">
        <v>2.5</v>
      </c>
      <c r="M695" t="s">
        <v>90</v>
      </c>
      <c r="N695" t="s">
        <v>27</v>
      </c>
      <c r="O695" t="s">
        <v>215</v>
      </c>
      <c r="P695" t="s">
        <v>112</v>
      </c>
      <c r="Q695" t="s">
        <v>1004</v>
      </c>
      <c r="R695">
        <v>8</v>
      </c>
      <c r="S695">
        <v>60</v>
      </c>
      <c r="T695">
        <v>100</v>
      </c>
      <c r="U695">
        <v>89</v>
      </c>
      <c r="V695">
        <v>55</v>
      </c>
      <c r="W695">
        <v>69</v>
      </c>
      <c r="X695">
        <v>112</v>
      </c>
      <c r="Y695">
        <f t="shared" si="300"/>
        <v>167</v>
      </c>
      <c r="Z695">
        <f t="shared" si="301"/>
        <v>167</v>
      </c>
      <c r="AA695">
        <f t="shared" si="302"/>
        <v>135</v>
      </c>
      <c r="AB695">
        <f t="shared" si="303"/>
        <v>135</v>
      </c>
      <c r="AC695">
        <f t="shared" si="304"/>
        <v>120</v>
      </c>
      <c r="AD695">
        <f t="shared" si="305"/>
        <v>167</v>
      </c>
      <c r="AE695">
        <f t="shared" si="306"/>
        <v>152</v>
      </c>
      <c r="AF695">
        <f t="shared" si="307"/>
        <v>120</v>
      </c>
      <c r="AG695">
        <f t="shared" si="308"/>
        <v>108</v>
      </c>
      <c r="AH695">
        <f t="shared" si="309"/>
        <v>94</v>
      </c>
      <c r="AI695">
        <f t="shared" si="310"/>
        <v>155</v>
      </c>
      <c r="AJ695">
        <f t="shared" si="311"/>
        <v>141</v>
      </c>
      <c r="AK695">
        <f t="shared" si="312"/>
        <v>109</v>
      </c>
      <c r="AL695">
        <f t="shared" si="313"/>
        <v>98</v>
      </c>
      <c r="AM695">
        <f t="shared" si="314"/>
        <v>84</v>
      </c>
      <c r="AN695">
        <f t="shared" si="315"/>
        <v>117</v>
      </c>
      <c r="AO695">
        <f t="shared" si="316"/>
        <v>107</v>
      </c>
      <c r="AP695">
        <f t="shared" si="317"/>
        <v>75</v>
      </c>
      <c r="AQ695">
        <f t="shared" si="318"/>
        <v>67</v>
      </c>
      <c r="AR695">
        <f t="shared" si="319"/>
        <v>54</v>
      </c>
      <c r="AS695">
        <f t="shared" si="320"/>
        <v>133</v>
      </c>
      <c r="AT695">
        <f t="shared" si="321"/>
        <v>121</v>
      </c>
      <c r="AU695">
        <f t="shared" si="322"/>
        <v>89</v>
      </c>
      <c r="AV695">
        <f t="shared" si="323"/>
        <v>80</v>
      </c>
      <c r="AW695">
        <f t="shared" si="324"/>
        <v>66</v>
      </c>
      <c r="AX695">
        <f t="shared" si="325"/>
        <v>180</v>
      </c>
      <c r="AY695">
        <f t="shared" si="326"/>
        <v>164</v>
      </c>
      <c r="AZ695">
        <f t="shared" si="327"/>
        <v>132</v>
      </c>
      <c r="BA695">
        <f t="shared" si="328"/>
        <v>118</v>
      </c>
      <c r="BB695">
        <f t="shared" si="329"/>
        <v>105</v>
      </c>
    </row>
    <row r="696" spans="1:54" x14ac:dyDescent="0.15">
      <c r="A696">
        <v>458</v>
      </c>
      <c r="B696" t="s">
        <v>2462</v>
      </c>
      <c r="C696">
        <v>546</v>
      </c>
      <c r="D696">
        <v>0</v>
      </c>
      <c r="E696" t="s">
        <v>2463</v>
      </c>
      <c r="G696" t="s">
        <v>2463</v>
      </c>
      <c r="H696" t="s">
        <v>2464</v>
      </c>
      <c r="J696" t="s">
        <v>2465</v>
      </c>
      <c r="K696">
        <v>0.6</v>
      </c>
      <c r="L696">
        <v>0.3</v>
      </c>
      <c r="M696" t="s">
        <v>26</v>
      </c>
      <c r="N696" t="s">
        <v>233</v>
      </c>
      <c r="O696" t="s">
        <v>1027</v>
      </c>
      <c r="P696" t="s">
        <v>269</v>
      </c>
      <c r="Q696" t="s">
        <v>29</v>
      </c>
      <c r="R696">
        <v>9</v>
      </c>
      <c r="S696">
        <v>40</v>
      </c>
      <c r="T696">
        <v>27</v>
      </c>
      <c r="U696">
        <v>60</v>
      </c>
      <c r="V696">
        <v>37</v>
      </c>
      <c r="W696">
        <v>50</v>
      </c>
      <c r="X696">
        <v>66</v>
      </c>
      <c r="Y696">
        <f t="shared" si="300"/>
        <v>147</v>
      </c>
      <c r="Z696">
        <f t="shared" si="301"/>
        <v>147</v>
      </c>
      <c r="AA696">
        <f t="shared" si="302"/>
        <v>115</v>
      </c>
      <c r="AB696">
        <f t="shared" si="303"/>
        <v>115</v>
      </c>
      <c r="AC696">
        <f t="shared" si="304"/>
        <v>100</v>
      </c>
      <c r="AD696">
        <f t="shared" si="305"/>
        <v>86</v>
      </c>
      <c r="AE696">
        <f t="shared" si="306"/>
        <v>79</v>
      </c>
      <c r="AF696">
        <f t="shared" si="307"/>
        <v>47</v>
      </c>
      <c r="AG696">
        <f t="shared" si="308"/>
        <v>42</v>
      </c>
      <c r="AH696">
        <f t="shared" si="309"/>
        <v>28</v>
      </c>
      <c r="AI696">
        <f t="shared" si="310"/>
        <v>123</v>
      </c>
      <c r="AJ696">
        <f t="shared" si="311"/>
        <v>112</v>
      </c>
      <c r="AK696">
        <f t="shared" si="312"/>
        <v>80</v>
      </c>
      <c r="AL696">
        <f t="shared" si="313"/>
        <v>72</v>
      </c>
      <c r="AM696">
        <f t="shared" si="314"/>
        <v>58</v>
      </c>
      <c r="AN696">
        <f t="shared" si="315"/>
        <v>97</v>
      </c>
      <c r="AO696">
        <f t="shared" si="316"/>
        <v>89</v>
      </c>
      <c r="AP696">
        <f t="shared" si="317"/>
        <v>57</v>
      </c>
      <c r="AQ696">
        <f t="shared" si="318"/>
        <v>51</v>
      </c>
      <c r="AR696">
        <f t="shared" si="319"/>
        <v>37</v>
      </c>
      <c r="AS696">
        <f t="shared" si="320"/>
        <v>112</v>
      </c>
      <c r="AT696">
        <f t="shared" si="321"/>
        <v>102</v>
      </c>
      <c r="AU696">
        <f t="shared" si="322"/>
        <v>70</v>
      </c>
      <c r="AV696">
        <f t="shared" si="323"/>
        <v>63</v>
      </c>
      <c r="AW696">
        <f t="shared" si="324"/>
        <v>49</v>
      </c>
      <c r="AX696">
        <f t="shared" si="325"/>
        <v>129</v>
      </c>
      <c r="AY696">
        <f t="shared" si="326"/>
        <v>118</v>
      </c>
      <c r="AZ696">
        <f t="shared" si="327"/>
        <v>86</v>
      </c>
      <c r="BA696">
        <f t="shared" si="328"/>
        <v>77</v>
      </c>
      <c r="BB696">
        <f t="shared" si="329"/>
        <v>63</v>
      </c>
    </row>
    <row r="697" spans="1:54" x14ac:dyDescent="0.15">
      <c r="A697">
        <v>459</v>
      </c>
      <c r="B697" t="s">
        <v>2466</v>
      </c>
      <c r="C697">
        <v>547</v>
      </c>
      <c r="D697">
        <v>0</v>
      </c>
      <c r="E697" t="s">
        <v>2467</v>
      </c>
      <c r="G697" t="s">
        <v>2467</v>
      </c>
      <c r="H697" t="s">
        <v>2468</v>
      </c>
      <c r="J697" t="s">
        <v>2469</v>
      </c>
      <c r="K697">
        <v>6.6</v>
      </c>
      <c r="L697">
        <v>0.7</v>
      </c>
      <c r="M697" t="s">
        <v>26</v>
      </c>
      <c r="N697" t="s">
        <v>233</v>
      </c>
      <c r="O697" t="s">
        <v>1027</v>
      </c>
      <c r="P697" t="s">
        <v>269</v>
      </c>
      <c r="Q697" t="s">
        <v>29</v>
      </c>
      <c r="R697">
        <v>9</v>
      </c>
      <c r="S697">
        <v>60</v>
      </c>
      <c r="T697">
        <v>67</v>
      </c>
      <c r="U697">
        <v>85</v>
      </c>
      <c r="V697">
        <v>77</v>
      </c>
      <c r="W697">
        <v>75</v>
      </c>
      <c r="X697">
        <v>116</v>
      </c>
      <c r="Y697">
        <f t="shared" si="300"/>
        <v>167</v>
      </c>
      <c r="Z697">
        <f t="shared" si="301"/>
        <v>167</v>
      </c>
      <c r="AA697">
        <f t="shared" si="302"/>
        <v>135</v>
      </c>
      <c r="AB697">
        <f t="shared" si="303"/>
        <v>135</v>
      </c>
      <c r="AC697">
        <f t="shared" si="304"/>
        <v>120</v>
      </c>
      <c r="AD697">
        <f t="shared" si="305"/>
        <v>130</v>
      </c>
      <c r="AE697">
        <f t="shared" si="306"/>
        <v>119</v>
      </c>
      <c r="AF697">
        <f t="shared" si="307"/>
        <v>87</v>
      </c>
      <c r="AG697">
        <f t="shared" si="308"/>
        <v>78</v>
      </c>
      <c r="AH697">
        <f t="shared" si="309"/>
        <v>64</v>
      </c>
      <c r="AI697">
        <f t="shared" si="310"/>
        <v>150</v>
      </c>
      <c r="AJ697">
        <f t="shared" si="311"/>
        <v>137</v>
      </c>
      <c r="AK697">
        <f t="shared" si="312"/>
        <v>105</v>
      </c>
      <c r="AL697">
        <f t="shared" si="313"/>
        <v>94</v>
      </c>
      <c r="AM697">
        <f t="shared" si="314"/>
        <v>81</v>
      </c>
      <c r="AN697">
        <f t="shared" si="315"/>
        <v>141</v>
      </c>
      <c r="AO697">
        <f t="shared" si="316"/>
        <v>129</v>
      </c>
      <c r="AP697">
        <f t="shared" si="317"/>
        <v>97</v>
      </c>
      <c r="AQ697">
        <f t="shared" si="318"/>
        <v>87</v>
      </c>
      <c r="AR697">
        <f t="shared" si="319"/>
        <v>73</v>
      </c>
      <c r="AS697">
        <f t="shared" si="320"/>
        <v>139</v>
      </c>
      <c r="AT697">
        <f t="shared" si="321"/>
        <v>127</v>
      </c>
      <c r="AU697">
        <f t="shared" si="322"/>
        <v>95</v>
      </c>
      <c r="AV697">
        <f t="shared" si="323"/>
        <v>85</v>
      </c>
      <c r="AW697">
        <f t="shared" si="324"/>
        <v>72</v>
      </c>
      <c r="AX697">
        <f t="shared" si="325"/>
        <v>184</v>
      </c>
      <c r="AY697">
        <f t="shared" si="326"/>
        <v>168</v>
      </c>
      <c r="AZ697">
        <f t="shared" si="327"/>
        <v>136</v>
      </c>
      <c r="BA697">
        <f t="shared" si="328"/>
        <v>122</v>
      </c>
      <c r="BB697">
        <f t="shared" si="329"/>
        <v>108</v>
      </c>
    </row>
    <row r="698" spans="1:54" x14ac:dyDescent="0.15">
      <c r="A698">
        <v>460</v>
      </c>
      <c r="B698" t="s">
        <v>2470</v>
      </c>
      <c r="C698">
        <v>548</v>
      </c>
      <c r="D698">
        <v>0</v>
      </c>
      <c r="E698" t="s">
        <v>2471</v>
      </c>
      <c r="G698" t="s">
        <v>2471</v>
      </c>
      <c r="H698" t="s">
        <v>2472</v>
      </c>
      <c r="J698" t="s">
        <v>2473</v>
      </c>
      <c r="K698">
        <v>6.6</v>
      </c>
      <c r="L698">
        <v>0.5</v>
      </c>
      <c r="M698" t="s">
        <v>26</v>
      </c>
      <c r="O698" t="s">
        <v>29</v>
      </c>
      <c r="P698" t="s">
        <v>470</v>
      </c>
      <c r="Q698" t="s">
        <v>660</v>
      </c>
      <c r="R698">
        <v>9</v>
      </c>
      <c r="S698">
        <v>45</v>
      </c>
      <c r="T698">
        <v>35</v>
      </c>
      <c r="U698">
        <v>50</v>
      </c>
      <c r="V698">
        <v>70</v>
      </c>
      <c r="W698">
        <v>50</v>
      </c>
      <c r="X698">
        <v>30</v>
      </c>
      <c r="Y698">
        <f t="shared" si="300"/>
        <v>152</v>
      </c>
      <c r="Z698">
        <f t="shared" si="301"/>
        <v>152</v>
      </c>
      <c r="AA698">
        <f t="shared" si="302"/>
        <v>120</v>
      </c>
      <c r="AB698">
        <f t="shared" si="303"/>
        <v>120</v>
      </c>
      <c r="AC698">
        <f t="shared" si="304"/>
        <v>105</v>
      </c>
      <c r="AD698">
        <f t="shared" si="305"/>
        <v>95</v>
      </c>
      <c r="AE698">
        <f t="shared" si="306"/>
        <v>87</v>
      </c>
      <c r="AF698">
        <f t="shared" si="307"/>
        <v>55</v>
      </c>
      <c r="AG698">
        <f t="shared" si="308"/>
        <v>49</v>
      </c>
      <c r="AH698">
        <f t="shared" si="309"/>
        <v>36</v>
      </c>
      <c r="AI698">
        <f t="shared" si="310"/>
        <v>112</v>
      </c>
      <c r="AJ698">
        <f t="shared" si="311"/>
        <v>102</v>
      </c>
      <c r="AK698">
        <f t="shared" si="312"/>
        <v>70</v>
      </c>
      <c r="AL698">
        <f t="shared" si="313"/>
        <v>63</v>
      </c>
      <c r="AM698">
        <f t="shared" si="314"/>
        <v>49</v>
      </c>
      <c r="AN698">
        <f t="shared" si="315"/>
        <v>134</v>
      </c>
      <c r="AO698">
        <f t="shared" si="316"/>
        <v>122</v>
      </c>
      <c r="AP698">
        <f t="shared" si="317"/>
        <v>90</v>
      </c>
      <c r="AQ698">
        <f t="shared" si="318"/>
        <v>81</v>
      </c>
      <c r="AR698">
        <f t="shared" si="319"/>
        <v>67</v>
      </c>
      <c r="AS698">
        <f t="shared" si="320"/>
        <v>112</v>
      </c>
      <c r="AT698">
        <f t="shared" si="321"/>
        <v>102</v>
      </c>
      <c r="AU698">
        <f t="shared" si="322"/>
        <v>70</v>
      </c>
      <c r="AV698">
        <f t="shared" si="323"/>
        <v>63</v>
      </c>
      <c r="AW698">
        <f t="shared" si="324"/>
        <v>49</v>
      </c>
      <c r="AX698">
        <f t="shared" si="325"/>
        <v>90</v>
      </c>
      <c r="AY698">
        <f t="shared" si="326"/>
        <v>82</v>
      </c>
      <c r="AZ698">
        <f t="shared" si="327"/>
        <v>50</v>
      </c>
      <c r="BA698">
        <f t="shared" si="328"/>
        <v>45</v>
      </c>
      <c r="BB698">
        <f t="shared" si="329"/>
        <v>31</v>
      </c>
    </row>
    <row r="699" spans="1:54" x14ac:dyDescent="0.15">
      <c r="A699">
        <v>461</v>
      </c>
      <c r="B699" t="s">
        <v>2474</v>
      </c>
      <c r="C699">
        <v>549</v>
      </c>
      <c r="D699">
        <v>0</v>
      </c>
      <c r="E699" t="s">
        <v>2475</v>
      </c>
      <c r="G699" t="s">
        <v>2475</v>
      </c>
      <c r="H699" t="s">
        <v>2476</v>
      </c>
      <c r="J699" t="s">
        <v>2477</v>
      </c>
      <c r="K699">
        <v>16.3</v>
      </c>
      <c r="L699">
        <v>1.1000000000000001</v>
      </c>
      <c r="M699" t="s">
        <v>26</v>
      </c>
      <c r="O699" t="s">
        <v>29</v>
      </c>
      <c r="P699" t="s">
        <v>470</v>
      </c>
      <c r="Q699" t="s">
        <v>660</v>
      </c>
      <c r="R699">
        <v>9</v>
      </c>
      <c r="S699">
        <v>70</v>
      </c>
      <c r="T699">
        <v>60</v>
      </c>
      <c r="U699">
        <v>75</v>
      </c>
      <c r="V699">
        <v>110</v>
      </c>
      <c r="W699">
        <v>75</v>
      </c>
      <c r="X699">
        <v>90</v>
      </c>
      <c r="Y699">
        <f t="shared" si="300"/>
        <v>177</v>
      </c>
      <c r="Z699">
        <f t="shared" si="301"/>
        <v>177</v>
      </c>
      <c r="AA699">
        <f t="shared" si="302"/>
        <v>145</v>
      </c>
      <c r="AB699">
        <f t="shared" si="303"/>
        <v>145</v>
      </c>
      <c r="AC699">
        <f t="shared" si="304"/>
        <v>130</v>
      </c>
      <c r="AD699">
        <f t="shared" si="305"/>
        <v>123</v>
      </c>
      <c r="AE699">
        <f t="shared" si="306"/>
        <v>112</v>
      </c>
      <c r="AF699">
        <f t="shared" si="307"/>
        <v>80</v>
      </c>
      <c r="AG699">
        <f t="shared" si="308"/>
        <v>72</v>
      </c>
      <c r="AH699">
        <f t="shared" si="309"/>
        <v>58</v>
      </c>
      <c r="AI699">
        <f t="shared" si="310"/>
        <v>139</v>
      </c>
      <c r="AJ699">
        <f t="shared" si="311"/>
        <v>127</v>
      </c>
      <c r="AK699">
        <f t="shared" si="312"/>
        <v>95</v>
      </c>
      <c r="AL699">
        <f t="shared" si="313"/>
        <v>85</v>
      </c>
      <c r="AM699">
        <f t="shared" si="314"/>
        <v>72</v>
      </c>
      <c r="AN699">
        <f t="shared" si="315"/>
        <v>178</v>
      </c>
      <c r="AO699">
        <f t="shared" si="316"/>
        <v>162</v>
      </c>
      <c r="AP699">
        <f t="shared" si="317"/>
        <v>130</v>
      </c>
      <c r="AQ699">
        <f t="shared" si="318"/>
        <v>117</v>
      </c>
      <c r="AR699">
        <f t="shared" si="319"/>
        <v>103</v>
      </c>
      <c r="AS699">
        <f t="shared" si="320"/>
        <v>139</v>
      </c>
      <c r="AT699">
        <f t="shared" si="321"/>
        <v>127</v>
      </c>
      <c r="AU699">
        <f t="shared" si="322"/>
        <v>95</v>
      </c>
      <c r="AV699">
        <f t="shared" si="323"/>
        <v>85</v>
      </c>
      <c r="AW699">
        <f t="shared" si="324"/>
        <v>72</v>
      </c>
      <c r="AX699">
        <f t="shared" si="325"/>
        <v>156</v>
      </c>
      <c r="AY699">
        <f t="shared" si="326"/>
        <v>142</v>
      </c>
      <c r="AZ699">
        <f t="shared" si="327"/>
        <v>110</v>
      </c>
      <c r="BA699">
        <f t="shared" si="328"/>
        <v>99</v>
      </c>
      <c r="BB699">
        <f t="shared" si="329"/>
        <v>85</v>
      </c>
    </row>
    <row r="700" spans="1:54" x14ac:dyDescent="0.15">
      <c r="A700">
        <v>462</v>
      </c>
      <c r="B700" t="s">
        <v>2478</v>
      </c>
      <c r="C700">
        <v>549</v>
      </c>
      <c r="D700">
        <v>1</v>
      </c>
      <c r="E700" t="s">
        <v>2475</v>
      </c>
      <c r="F700" t="s">
        <v>367</v>
      </c>
      <c r="G700" t="s">
        <v>2479</v>
      </c>
      <c r="H700" t="s">
        <v>2480</v>
      </c>
      <c r="J700" t="s">
        <v>2481</v>
      </c>
      <c r="K700">
        <v>19.2</v>
      </c>
      <c r="L700">
        <v>1.2</v>
      </c>
      <c r="M700" t="s">
        <v>26</v>
      </c>
      <c r="N700" t="s">
        <v>354</v>
      </c>
      <c r="O700" t="s">
        <v>29</v>
      </c>
      <c r="P700" t="s">
        <v>136</v>
      </c>
      <c r="Q700" t="s">
        <v>660</v>
      </c>
      <c r="R700">
        <v>9</v>
      </c>
      <c r="S700">
        <v>70</v>
      </c>
      <c r="T700">
        <v>105</v>
      </c>
      <c r="U700">
        <v>75</v>
      </c>
      <c r="V700">
        <v>50</v>
      </c>
      <c r="W700">
        <v>75</v>
      </c>
      <c r="X700">
        <v>105</v>
      </c>
      <c r="Y700">
        <f t="shared" si="300"/>
        <v>177</v>
      </c>
      <c r="Z700">
        <f t="shared" si="301"/>
        <v>177</v>
      </c>
      <c r="AA700">
        <f t="shared" si="302"/>
        <v>145</v>
      </c>
      <c r="AB700">
        <f t="shared" si="303"/>
        <v>145</v>
      </c>
      <c r="AC700">
        <f t="shared" si="304"/>
        <v>130</v>
      </c>
      <c r="AD700">
        <f t="shared" si="305"/>
        <v>172</v>
      </c>
      <c r="AE700">
        <f t="shared" si="306"/>
        <v>157</v>
      </c>
      <c r="AF700">
        <f t="shared" si="307"/>
        <v>125</v>
      </c>
      <c r="AG700">
        <f t="shared" si="308"/>
        <v>112</v>
      </c>
      <c r="AH700">
        <f t="shared" si="309"/>
        <v>99</v>
      </c>
      <c r="AI700">
        <f t="shared" si="310"/>
        <v>139</v>
      </c>
      <c r="AJ700">
        <f t="shared" si="311"/>
        <v>127</v>
      </c>
      <c r="AK700">
        <f t="shared" si="312"/>
        <v>95</v>
      </c>
      <c r="AL700">
        <f t="shared" si="313"/>
        <v>85</v>
      </c>
      <c r="AM700">
        <f t="shared" si="314"/>
        <v>72</v>
      </c>
      <c r="AN700">
        <f t="shared" si="315"/>
        <v>112</v>
      </c>
      <c r="AO700">
        <f t="shared" si="316"/>
        <v>102</v>
      </c>
      <c r="AP700">
        <f t="shared" si="317"/>
        <v>70</v>
      </c>
      <c r="AQ700">
        <f t="shared" si="318"/>
        <v>63</v>
      </c>
      <c r="AR700">
        <f t="shared" si="319"/>
        <v>49</v>
      </c>
      <c r="AS700">
        <f t="shared" si="320"/>
        <v>139</v>
      </c>
      <c r="AT700">
        <f t="shared" si="321"/>
        <v>127</v>
      </c>
      <c r="AU700">
        <f t="shared" si="322"/>
        <v>95</v>
      </c>
      <c r="AV700">
        <f t="shared" si="323"/>
        <v>85</v>
      </c>
      <c r="AW700">
        <f t="shared" si="324"/>
        <v>72</v>
      </c>
      <c r="AX700">
        <f t="shared" si="325"/>
        <v>172</v>
      </c>
      <c r="AY700">
        <f t="shared" si="326"/>
        <v>157</v>
      </c>
      <c r="AZ700">
        <f t="shared" si="327"/>
        <v>125</v>
      </c>
      <c r="BA700">
        <f t="shared" si="328"/>
        <v>112</v>
      </c>
      <c r="BB700">
        <f t="shared" si="329"/>
        <v>99</v>
      </c>
    </row>
    <row r="701" spans="1:54" x14ac:dyDescent="0.15">
      <c r="A701">
        <v>464</v>
      </c>
      <c r="B701" t="s">
        <v>2482</v>
      </c>
      <c r="C701">
        <v>550</v>
      </c>
      <c r="D701">
        <v>0</v>
      </c>
      <c r="E701" t="s">
        <v>2483</v>
      </c>
      <c r="F701" t="s">
        <v>2484</v>
      </c>
      <c r="G701" t="s">
        <v>2485</v>
      </c>
      <c r="H701" t="s">
        <v>2486</v>
      </c>
      <c r="J701" t="s">
        <v>2487</v>
      </c>
      <c r="K701">
        <v>18</v>
      </c>
      <c r="L701">
        <v>1</v>
      </c>
      <c r="M701" t="s">
        <v>71</v>
      </c>
      <c r="O701" t="s">
        <v>623</v>
      </c>
      <c r="P701" t="s">
        <v>116</v>
      </c>
      <c r="Q701" t="s">
        <v>713</v>
      </c>
      <c r="R701">
        <v>9</v>
      </c>
      <c r="S701">
        <v>70</v>
      </c>
      <c r="T701">
        <v>92</v>
      </c>
      <c r="U701">
        <v>65</v>
      </c>
      <c r="V701">
        <v>80</v>
      </c>
      <c r="W701">
        <v>55</v>
      </c>
      <c r="X701">
        <v>98</v>
      </c>
      <c r="Y701">
        <f t="shared" si="300"/>
        <v>177</v>
      </c>
      <c r="Z701">
        <f t="shared" si="301"/>
        <v>177</v>
      </c>
      <c r="AA701">
        <f t="shared" si="302"/>
        <v>145</v>
      </c>
      <c r="AB701">
        <f t="shared" si="303"/>
        <v>145</v>
      </c>
      <c r="AC701">
        <f t="shared" si="304"/>
        <v>130</v>
      </c>
      <c r="AD701">
        <f t="shared" si="305"/>
        <v>158</v>
      </c>
      <c r="AE701">
        <f t="shared" si="306"/>
        <v>144</v>
      </c>
      <c r="AF701">
        <f t="shared" si="307"/>
        <v>112</v>
      </c>
      <c r="AG701">
        <f t="shared" si="308"/>
        <v>100</v>
      </c>
      <c r="AH701">
        <f t="shared" si="309"/>
        <v>87</v>
      </c>
      <c r="AI701">
        <f t="shared" si="310"/>
        <v>128</v>
      </c>
      <c r="AJ701">
        <f t="shared" si="311"/>
        <v>117</v>
      </c>
      <c r="AK701">
        <f t="shared" si="312"/>
        <v>85</v>
      </c>
      <c r="AL701">
        <f t="shared" si="313"/>
        <v>76</v>
      </c>
      <c r="AM701">
        <f t="shared" si="314"/>
        <v>63</v>
      </c>
      <c r="AN701">
        <f t="shared" si="315"/>
        <v>145</v>
      </c>
      <c r="AO701">
        <f t="shared" si="316"/>
        <v>132</v>
      </c>
      <c r="AP701">
        <f t="shared" si="317"/>
        <v>100</v>
      </c>
      <c r="AQ701">
        <f t="shared" si="318"/>
        <v>90</v>
      </c>
      <c r="AR701">
        <f t="shared" si="319"/>
        <v>76</v>
      </c>
      <c r="AS701">
        <f t="shared" si="320"/>
        <v>117</v>
      </c>
      <c r="AT701">
        <f t="shared" si="321"/>
        <v>107</v>
      </c>
      <c r="AU701">
        <f t="shared" si="322"/>
        <v>75</v>
      </c>
      <c r="AV701">
        <f t="shared" si="323"/>
        <v>67</v>
      </c>
      <c r="AW701">
        <f t="shared" si="324"/>
        <v>54</v>
      </c>
      <c r="AX701">
        <f t="shared" si="325"/>
        <v>165</v>
      </c>
      <c r="AY701">
        <f t="shared" si="326"/>
        <v>150</v>
      </c>
      <c r="AZ701">
        <f t="shared" si="327"/>
        <v>118</v>
      </c>
      <c r="BA701">
        <f t="shared" si="328"/>
        <v>106</v>
      </c>
      <c r="BB701">
        <f t="shared" si="329"/>
        <v>92</v>
      </c>
    </row>
    <row r="702" spans="1:54" x14ac:dyDescent="0.15">
      <c r="A702">
        <v>465</v>
      </c>
      <c r="B702" t="s">
        <v>2488</v>
      </c>
      <c r="C702">
        <v>550</v>
      </c>
      <c r="D702">
        <v>1</v>
      </c>
      <c r="E702" t="s">
        <v>2483</v>
      </c>
      <c r="F702" t="s">
        <v>2489</v>
      </c>
      <c r="G702" t="s">
        <v>2490</v>
      </c>
      <c r="H702" t="s">
        <v>2491</v>
      </c>
      <c r="J702" t="s">
        <v>2487</v>
      </c>
      <c r="K702">
        <v>18</v>
      </c>
      <c r="L702">
        <v>1</v>
      </c>
      <c r="M702" t="s">
        <v>71</v>
      </c>
      <c r="O702" t="s">
        <v>434</v>
      </c>
      <c r="P702" t="s">
        <v>116</v>
      </c>
      <c r="Q702" t="s">
        <v>713</v>
      </c>
      <c r="R702">
        <v>9</v>
      </c>
      <c r="S702">
        <v>70</v>
      </c>
      <c r="T702">
        <v>92</v>
      </c>
      <c r="U702">
        <v>65</v>
      </c>
      <c r="V702">
        <v>80</v>
      </c>
      <c r="W702">
        <v>55</v>
      </c>
      <c r="X702">
        <v>98</v>
      </c>
      <c r="Y702">
        <f t="shared" si="300"/>
        <v>177</v>
      </c>
      <c r="Z702">
        <f t="shared" si="301"/>
        <v>177</v>
      </c>
      <c r="AA702">
        <f t="shared" si="302"/>
        <v>145</v>
      </c>
      <c r="AB702">
        <f t="shared" si="303"/>
        <v>145</v>
      </c>
      <c r="AC702">
        <f t="shared" si="304"/>
        <v>130</v>
      </c>
      <c r="AD702">
        <f t="shared" si="305"/>
        <v>158</v>
      </c>
      <c r="AE702">
        <f t="shared" si="306"/>
        <v>144</v>
      </c>
      <c r="AF702">
        <f t="shared" si="307"/>
        <v>112</v>
      </c>
      <c r="AG702">
        <f t="shared" si="308"/>
        <v>100</v>
      </c>
      <c r="AH702">
        <f t="shared" si="309"/>
        <v>87</v>
      </c>
      <c r="AI702">
        <f t="shared" si="310"/>
        <v>128</v>
      </c>
      <c r="AJ702">
        <f t="shared" si="311"/>
        <v>117</v>
      </c>
      <c r="AK702">
        <f t="shared" si="312"/>
        <v>85</v>
      </c>
      <c r="AL702">
        <f t="shared" si="313"/>
        <v>76</v>
      </c>
      <c r="AM702">
        <f t="shared" si="314"/>
        <v>63</v>
      </c>
      <c r="AN702">
        <f t="shared" si="315"/>
        <v>145</v>
      </c>
      <c r="AO702">
        <f t="shared" si="316"/>
        <v>132</v>
      </c>
      <c r="AP702">
        <f t="shared" si="317"/>
        <v>100</v>
      </c>
      <c r="AQ702">
        <f t="shared" si="318"/>
        <v>90</v>
      </c>
      <c r="AR702">
        <f t="shared" si="319"/>
        <v>76</v>
      </c>
      <c r="AS702">
        <f t="shared" si="320"/>
        <v>117</v>
      </c>
      <c r="AT702">
        <f t="shared" si="321"/>
        <v>107</v>
      </c>
      <c r="AU702">
        <f t="shared" si="322"/>
        <v>75</v>
      </c>
      <c r="AV702">
        <f t="shared" si="323"/>
        <v>67</v>
      </c>
      <c r="AW702">
        <f t="shared" si="324"/>
        <v>54</v>
      </c>
      <c r="AX702">
        <f t="shared" si="325"/>
        <v>165</v>
      </c>
      <c r="AY702">
        <f t="shared" si="326"/>
        <v>150</v>
      </c>
      <c r="AZ702">
        <f t="shared" si="327"/>
        <v>118</v>
      </c>
      <c r="BA702">
        <f t="shared" si="328"/>
        <v>106</v>
      </c>
      <c r="BB702">
        <f t="shared" si="329"/>
        <v>92</v>
      </c>
    </row>
    <row r="703" spans="1:54" x14ac:dyDescent="0.15">
      <c r="A703">
        <v>463</v>
      </c>
      <c r="B703" t="s">
        <v>2492</v>
      </c>
      <c r="C703">
        <v>550</v>
      </c>
      <c r="D703">
        <v>2</v>
      </c>
      <c r="E703" t="s">
        <v>2483</v>
      </c>
      <c r="F703" t="s">
        <v>2493</v>
      </c>
      <c r="G703" t="s">
        <v>2494</v>
      </c>
      <c r="H703" t="s">
        <v>2495</v>
      </c>
      <c r="J703" t="s">
        <v>2496</v>
      </c>
      <c r="K703">
        <v>18</v>
      </c>
      <c r="L703">
        <v>1</v>
      </c>
      <c r="M703" t="s">
        <v>71</v>
      </c>
      <c r="O703" t="s">
        <v>736</v>
      </c>
      <c r="P703" t="s">
        <v>116</v>
      </c>
      <c r="Q703" t="s">
        <v>713</v>
      </c>
      <c r="R703">
        <v>9</v>
      </c>
      <c r="S703">
        <v>70</v>
      </c>
      <c r="T703">
        <v>92</v>
      </c>
      <c r="U703">
        <v>65</v>
      </c>
      <c r="V703">
        <v>80</v>
      </c>
      <c r="W703">
        <v>55</v>
      </c>
      <c r="X703">
        <v>98</v>
      </c>
      <c r="Y703">
        <f t="shared" si="300"/>
        <v>177</v>
      </c>
      <c r="Z703">
        <f t="shared" si="301"/>
        <v>177</v>
      </c>
      <c r="AA703">
        <f t="shared" si="302"/>
        <v>145</v>
      </c>
      <c r="AB703">
        <f t="shared" si="303"/>
        <v>145</v>
      </c>
      <c r="AC703">
        <f t="shared" si="304"/>
        <v>130</v>
      </c>
      <c r="AD703">
        <f t="shared" si="305"/>
        <v>158</v>
      </c>
      <c r="AE703">
        <f t="shared" si="306"/>
        <v>144</v>
      </c>
      <c r="AF703">
        <f t="shared" si="307"/>
        <v>112</v>
      </c>
      <c r="AG703">
        <f t="shared" si="308"/>
        <v>100</v>
      </c>
      <c r="AH703">
        <f t="shared" si="309"/>
        <v>87</v>
      </c>
      <c r="AI703">
        <f t="shared" si="310"/>
        <v>128</v>
      </c>
      <c r="AJ703">
        <f t="shared" si="311"/>
        <v>117</v>
      </c>
      <c r="AK703">
        <f t="shared" si="312"/>
        <v>85</v>
      </c>
      <c r="AL703">
        <f t="shared" si="313"/>
        <v>76</v>
      </c>
      <c r="AM703">
        <f t="shared" si="314"/>
        <v>63</v>
      </c>
      <c r="AN703">
        <f t="shared" si="315"/>
        <v>145</v>
      </c>
      <c r="AO703">
        <f t="shared" si="316"/>
        <v>132</v>
      </c>
      <c r="AP703">
        <f t="shared" si="317"/>
        <v>100</v>
      </c>
      <c r="AQ703">
        <f t="shared" si="318"/>
        <v>90</v>
      </c>
      <c r="AR703">
        <f t="shared" si="319"/>
        <v>76</v>
      </c>
      <c r="AS703">
        <f t="shared" si="320"/>
        <v>117</v>
      </c>
      <c r="AT703">
        <f t="shared" si="321"/>
        <v>107</v>
      </c>
      <c r="AU703">
        <f t="shared" si="322"/>
        <v>75</v>
      </c>
      <c r="AV703">
        <f t="shared" si="323"/>
        <v>67</v>
      </c>
      <c r="AW703">
        <f t="shared" si="324"/>
        <v>54</v>
      </c>
      <c r="AX703">
        <f t="shared" si="325"/>
        <v>165</v>
      </c>
      <c r="AY703">
        <f t="shared" si="326"/>
        <v>150</v>
      </c>
      <c r="AZ703">
        <f t="shared" si="327"/>
        <v>118</v>
      </c>
      <c r="BA703">
        <f t="shared" si="328"/>
        <v>106</v>
      </c>
      <c r="BB703">
        <f t="shared" si="329"/>
        <v>92</v>
      </c>
    </row>
    <row r="704" spans="1:54" x14ac:dyDescent="0.15">
      <c r="A704">
        <v>466</v>
      </c>
      <c r="B704" t="s">
        <v>2497</v>
      </c>
      <c r="C704">
        <v>551</v>
      </c>
      <c r="D704">
        <v>0</v>
      </c>
      <c r="E704" t="s">
        <v>2498</v>
      </c>
      <c r="G704" t="s">
        <v>2498</v>
      </c>
      <c r="H704" t="s">
        <v>2499</v>
      </c>
      <c r="J704" t="s">
        <v>2500</v>
      </c>
      <c r="K704">
        <v>15.2</v>
      </c>
      <c r="L704">
        <v>0.7</v>
      </c>
      <c r="M704" t="s">
        <v>196</v>
      </c>
      <c r="N704" t="s">
        <v>140</v>
      </c>
      <c r="O704" t="s">
        <v>155</v>
      </c>
      <c r="P704" t="s">
        <v>714</v>
      </c>
      <c r="Q704" t="s">
        <v>356</v>
      </c>
      <c r="R704">
        <v>9</v>
      </c>
      <c r="S704">
        <v>50</v>
      </c>
      <c r="T704">
        <v>72</v>
      </c>
      <c r="U704">
        <v>35</v>
      </c>
      <c r="V704">
        <v>35</v>
      </c>
      <c r="W704">
        <v>35</v>
      </c>
      <c r="X704">
        <v>65</v>
      </c>
      <c r="Y704">
        <f t="shared" si="300"/>
        <v>157</v>
      </c>
      <c r="Z704">
        <f t="shared" si="301"/>
        <v>157</v>
      </c>
      <c r="AA704">
        <f t="shared" si="302"/>
        <v>125</v>
      </c>
      <c r="AB704">
        <f t="shared" si="303"/>
        <v>125</v>
      </c>
      <c r="AC704">
        <f t="shared" si="304"/>
        <v>110</v>
      </c>
      <c r="AD704">
        <f t="shared" si="305"/>
        <v>136</v>
      </c>
      <c r="AE704">
        <f t="shared" si="306"/>
        <v>124</v>
      </c>
      <c r="AF704">
        <f t="shared" si="307"/>
        <v>92</v>
      </c>
      <c r="AG704">
        <f t="shared" si="308"/>
        <v>82</v>
      </c>
      <c r="AH704">
        <f t="shared" si="309"/>
        <v>69</v>
      </c>
      <c r="AI704">
        <f t="shared" si="310"/>
        <v>95</v>
      </c>
      <c r="AJ704">
        <f t="shared" si="311"/>
        <v>87</v>
      </c>
      <c r="AK704">
        <f t="shared" si="312"/>
        <v>55</v>
      </c>
      <c r="AL704">
        <f t="shared" si="313"/>
        <v>49</v>
      </c>
      <c r="AM704">
        <f t="shared" si="314"/>
        <v>36</v>
      </c>
      <c r="AN704">
        <f t="shared" si="315"/>
        <v>95</v>
      </c>
      <c r="AO704">
        <f t="shared" si="316"/>
        <v>87</v>
      </c>
      <c r="AP704">
        <f t="shared" si="317"/>
        <v>55</v>
      </c>
      <c r="AQ704">
        <f t="shared" si="318"/>
        <v>49</v>
      </c>
      <c r="AR704">
        <f t="shared" si="319"/>
        <v>36</v>
      </c>
      <c r="AS704">
        <f t="shared" si="320"/>
        <v>95</v>
      </c>
      <c r="AT704">
        <f t="shared" si="321"/>
        <v>87</v>
      </c>
      <c r="AU704">
        <f t="shared" si="322"/>
        <v>55</v>
      </c>
      <c r="AV704">
        <f t="shared" si="323"/>
        <v>49</v>
      </c>
      <c r="AW704">
        <f t="shared" si="324"/>
        <v>36</v>
      </c>
      <c r="AX704">
        <f t="shared" si="325"/>
        <v>128</v>
      </c>
      <c r="AY704">
        <f t="shared" si="326"/>
        <v>117</v>
      </c>
      <c r="AZ704">
        <f t="shared" si="327"/>
        <v>85</v>
      </c>
      <c r="BA704">
        <f t="shared" si="328"/>
        <v>76</v>
      </c>
      <c r="BB704">
        <f t="shared" si="329"/>
        <v>63</v>
      </c>
    </row>
    <row r="705" spans="1:54" x14ac:dyDescent="0.15">
      <c r="A705">
        <v>467</v>
      </c>
      <c r="B705" t="s">
        <v>2501</v>
      </c>
      <c r="C705">
        <v>552</v>
      </c>
      <c r="D705">
        <v>0</v>
      </c>
      <c r="E705" t="s">
        <v>2502</v>
      </c>
      <c r="G705" t="s">
        <v>2502</v>
      </c>
      <c r="H705" t="s">
        <v>2503</v>
      </c>
      <c r="J705" t="s">
        <v>2500</v>
      </c>
      <c r="K705">
        <v>33.4</v>
      </c>
      <c r="L705">
        <v>1</v>
      </c>
      <c r="M705" t="s">
        <v>196</v>
      </c>
      <c r="N705" t="s">
        <v>140</v>
      </c>
      <c r="O705" t="s">
        <v>155</v>
      </c>
      <c r="P705" t="s">
        <v>714</v>
      </c>
      <c r="Q705" t="s">
        <v>356</v>
      </c>
      <c r="R705">
        <v>9</v>
      </c>
      <c r="S705">
        <v>60</v>
      </c>
      <c r="T705">
        <v>82</v>
      </c>
      <c r="U705">
        <v>45</v>
      </c>
      <c r="V705">
        <v>45</v>
      </c>
      <c r="W705">
        <v>45</v>
      </c>
      <c r="X705">
        <v>74</v>
      </c>
      <c r="Y705">
        <f t="shared" si="300"/>
        <v>167</v>
      </c>
      <c r="Z705">
        <f t="shared" si="301"/>
        <v>167</v>
      </c>
      <c r="AA705">
        <f t="shared" si="302"/>
        <v>135</v>
      </c>
      <c r="AB705">
        <f t="shared" si="303"/>
        <v>135</v>
      </c>
      <c r="AC705">
        <f t="shared" si="304"/>
        <v>120</v>
      </c>
      <c r="AD705">
        <f t="shared" si="305"/>
        <v>147</v>
      </c>
      <c r="AE705">
        <f t="shared" si="306"/>
        <v>134</v>
      </c>
      <c r="AF705">
        <f t="shared" si="307"/>
        <v>102</v>
      </c>
      <c r="AG705">
        <f t="shared" si="308"/>
        <v>91</v>
      </c>
      <c r="AH705">
        <f t="shared" si="309"/>
        <v>78</v>
      </c>
      <c r="AI705">
        <f t="shared" si="310"/>
        <v>106</v>
      </c>
      <c r="AJ705">
        <f t="shared" si="311"/>
        <v>97</v>
      </c>
      <c r="AK705">
        <f t="shared" si="312"/>
        <v>65</v>
      </c>
      <c r="AL705">
        <f t="shared" si="313"/>
        <v>58</v>
      </c>
      <c r="AM705">
        <f t="shared" si="314"/>
        <v>45</v>
      </c>
      <c r="AN705">
        <f t="shared" si="315"/>
        <v>106</v>
      </c>
      <c r="AO705">
        <f t="shared" si="316"/>
        <v>97</v>
      </c>
      <c r="AP705">
        <f t="shared" si="317"/>
        <v>65</v>
      </c>
      <c r="AQ705">
        <f t="shared" si="318"/>
        <v>58</v>
      </c>
      <c r="AR705">
        <f t="shared" si="319"/>
        <v>45</v>
      </c>
      <c r="AS705">
        <f t="shared" si="320"/>
        <v>106</v>
      </c>
      <c r="AT705">
        <f t="shared" si="321"/>
        <v>97</v>
      </c>
      <c r="AU705">
        <f t="shared" si="322"/>
        <v>65</v>
      </c>
      <c r="AV705">
        <f t="shared" si="323"/>
        <v>58</v>
      </c>
      <c r="AW705">
        <f t="shared" si="324"/>
        <v>45</v>
      </c>
      <c r="AX705">
        <f t="shared" si="325"/>
        <v>138</v>
      </c>
      <c r="AY705">
        <f t="shared" si="326"/>
        <v>126</v>
      </c>
      <c r="AZ705">
        <f t="shared" si="327"/>
        <v>94</v>
      </c>
      <c r="BA705">
        <f t="shared" si="328"/>
        <v>84</v>
      </c>
      <c r="BB705">
        <f t="shared" si="329"/>
        <v>71</v>
      </c>
    </row>
    <row r="706" spans="1:54" x14ac:dyDescent="0.15">
      <c r="A706">
        <v>468</v>
      </c>
      <c r="B706" t="s">
        <v>2504</v>
      </c>
      <c r="C706">
        <v>553</v>
      </c>
      <c r="D706">
        <v>0</v>
      </c>
      <c r="E706" t="s">
        <v>2505</v>
      </c>
      <c r="G706" t="s">
        <v>2505</v>
      </c>
      <c r="H706" t="s">
        <v>2506</v>
      </c>
      <c r="J706" t="s">
        <v>2507</v>
      </c>
      <c r="K706">
        <v>96.3</v>
      </c>
      <c r="L706">
        <v>1.5</v>
      </c>
      <c r="M706" t="s">
        <v>196</v>
      </c>
      <c r="N706" t="s">
        <v>140</v>
      </c>
      <c r="O706" t="s">
        <v>155</v>
      </c>
      <c r="P706" t="s">
        <v>714</v>
      </c>
      <c r="Q706" t="s">
        <v>356</v>
      </c>
      <c r="R706">
        <v>9</v>
      </c>
      <c r="S706">
        <v>95</v>
      </c>
      <c r="T706">
        <v>117</v>
      </c>
      <c r="U706">
        <v>80</v>
      </c>
      <c r="V706">
        <v>65</v>
      </c>
      <c r="W706">
        <v>70</v>
      </c>
      <c r="X706">
        <v>92</v>
      </c>
      <c r="Y706">
        <f t="shared" ref="Y706:Y769" si="330">IF(S706="", "", S706+107)</f>
        <v>202</v>
      </c>
      <c r="Z706">
        <f t="shared" ref="Z706:Z769" si="331">IF(S706="", "", S706+107)</f>
        <v>202</v>
      </c>
      <c r="AA706">
        <f t="shared" ref="AA706:AA769" si="332">IF(S706="", "", INT(INT(S706*2 + 31)/2) + 60)</f>
        <v>170</v>
      </c>
      <c r="AB706">
        <f t="shared" ref="AB706:AB769" si="333">IF(S706="", "", INT(INT(S706*2 + 31)/2) + 60)</f>
        <v>170</v>
      </c>
      <c r="AC706">
        <f t="shared" ref="AC706:AC769" si="334">IF(S706="", "", S706 + 60)</f>
        <v>155</v>
      </c>
      <c r="AD706">
        <f t="shared" ref="AD706:AD769" si="335">IF(T706="","",INT((T706+52)*1.1))</f>
        <v>185</v>
      </c>
      <c r="AE706">
        <f t="shared" ref="AE706:AE769" si="336">IF(T706="","",T706+52)</f>
        <v>169</v>
      </c>
      <c r="AF706">
        <f t="shared" ref="AF706:AF769" si="337">IF(T706="", "", INT((T706*2 + 31)/2) + 5)</f>
        <v>137</v>
      </c>
      <c r="AG706">
        <f t="shared" ref="AG706:AG769" si="338">IF(T706="", "", INT((INT((T706*2 + 31)/2) + 5)*0.9) )</f>
        <v>123</v>
      </c>
      <c r="AH706">
        <f t="shared" ref="AH706:AH769" si="339">IF(T706="", "", INT((T706 + 5) * 0.9))</f>
        <v>109</v>
      </c>
      <c r="AI706">
        <f t="shared" ref="AI706:AI769" si="340">IF(U706="","",INT((U706+52)*1.1))</f>
        <v>145</v>
      </c>
      <c r="AJ706">
        <f t="shared" ref="AJ706:AJ769" si="341">IF(U706="","",U706+52)</f>
        <v>132</v>
      </c>
      <c r="AK706">
        <f t="shared" ref="AK706:AK769" si="342">IF(U706="", "", INT((U706*2 + 31)/2) + 5)</f>
        <v>100</v>
      </c>
      <c r="AL706">
        <f t="shared" ref="AL706:AL769" si="343">IF(U706="", "", INT((INT((U706*2 + 31)/2) + 5)*0.9) )</f>
        <v>90</v>
      </c>
      <c r="AM706">
        <f t="shared" ref="AM706:AM769" si="344">IF(U706="", "", INT((U706 + 5) * 0.9))</f>
        <v>76</v>
      </c>
      <c r="AN706">
        <f t="shared" ref="AN706:AN769" si="345">IF(V706="","",INT((V706+52)*1.1))</f>
        <v>128</v>
      </c>
      <c r="AO706">
        <f t="shared" ref="AO706:AO769" si="346">IF(V706="","",V706+52)</f>
        <v>117</v>
      </c>
      <c r="AP706">
        <f t="shared" ref="AP706:AP769" si="347">IF(V706="", "", INT((V706*2 + 31)/2) + 5)</f>
        <v>85</v>
      </c>
      <c r="AQ706">
        <f t="shared" ref="AQ706:AQ769" si="348">IF(V706="", "", INT((INT((V706*2 + 31)/2) + 5)*0.9) )</f>
        <v>76</v>
      </c>
      <c r="AR706">
        <f t="shared" ref="AR706:AR769" si="349">IF(V706="", "", INT((V706 + 5) * 0.9))</f>
        <v>63</v>
      </c>
      <c r="AS706">
        <f t="shared" ref="AS706:AS769" si="350">IF(W706="","",INT((W706+52)*1.1))</f>
        <v>134</v>
      </c>
      <c r="AT706">
        <f t="shared" ref="AT706:AT769" si="351">IF(W706="","",W706+52)</f>
        <v>122</v>
      </c>
      <c r="AU706">
        <f t="shared" ref="AU706:AU769" si="352">IF(W706="", "", INT((W706*2 + 31)/2) + 5)</f>
        <v>90</v>
      </c>
      <c r="AV706">
        <f t="shared" ref="AV706:AV769" si="353">IF(W706="", "", INT((INT((W706*2 + 31)/2) + 5)*0.9) )</f>
        <v>81</v>
      </c>
      <c r="AW706">
        <f t="shared" ref="AW706:AW769" si="354">IF(W706="", "", INT((W706 + 5) * 0.9))</f>
        <v>67</v>
      </c>
      <c r="AX706">
        <f t="shared" ref="AX706:AX769" si="355">IF(X706="","",INT((X706+52)*1.1))</f>
        <v>158</v>
      </c>
      <c r="AY706">
        <f t="shared" ref="AY706:AY769" si="356">IF(X706="","",X706+52)</f>
        <v>144</v>
      </c>
      <c r="AZ706">
        <f t="shared" ref="AZ706:AZ769" si="357">IF(X706="", "", INT((X706*2 + 31)/2) + 5)</f>
        <v>112</v>
      </c>
      <c r="BA706">
        <f t="shared" ref="BA706:BA769" si="358">IF(X706="", "", INT((INT((X706*2 + 31)/2) + 5)*0.9) )</f>
        <v>100</v>
      </c>
      <c r="BB706">
        <f t="shared" ref="BB706:BB769" si="359">IF(X706="", "", INT((X706 + 5) * 0.9))</f>
        <v>87</v>
      </c>
    </row>
    <row r="707" spans="1:54" x14ac:dyDescent="0.15">
      <c r="B707" t="s">
        <v>2508</v>
      </c>
      <c r="C707">
        <v>554</v>
      </c>
      <c r="D707">
        <v>0</v>
      </c>
      <c r="E707" t="s">
        <v>2509</v>
      </c>
      <c r="G707" t="s">
        <v>2509</v>
      </c>
      <c r="J707" t="s">
        <v>2510</v>
      </c>
      <c r="K707">
        <v>37.5</v>
      </c>
      <c r="L707">
        <v>0.6</v>
      </c>
      <c r="M707" t="s">
        <v>47</v>
      </c>
      <c r="O707" t="s">
        <v>136</v>
      </c>
      <c r="P707" t="s">
        <v>268</v>
      </c>
      <c r="R707">
        <v>8</v>
      </c>
      <c r="S707">
        <v>70</v>
      </c>
      <c r="T707">
        <v>90</v>
      </c>
      <c r="U707">
        <v>45</v>
      </c>
      <c r="V707">
        <v>15</v>
      </c>
      <c r="W707">
        <v>45</v>
      </c>
      <c r="X707">
        <v>50</v>
      </c>
      <c r="Y707">
        <f t="shared" si="330"/>
        <v>177</v>
      </c>
      <c r="Z707">
        <f t="shared" si="331"/>
        <v>177</v>
      </c>
      <c r="AA707">
        <f t="shared" si="332"/>
        <v>145</v>
      </c>
      <c r="AB707">
        <f t="shared" si="333"/>
        <v>145</v>
      </c>
      <c r="AC707">
        <f t="shared" si="334"/>
        <v>130</v>
      </c>
      <c r="AD707">
        <f t="shared" si="335"/>
        <v>156</v>
      </c>
      <c r="AE707">
        <f t="shared" si="336"/>
        <v>142</v>
      </c>
      <c r="AF707">
        <f t="shared" si="337"/>
        <v>110</v>
      </c>
      <c r="AG707">
        <f t="shared" si="338"/>
        <v>99</v>
      </c>
      <c r="AH707">
        <f t="shared" si="339"/>
        <v>85</v>
      </c>
      <c r="AI707">
        <f t="shared" si="340"/>
        <v>106</v>
      </c>
      <c r="AJ707">
        <f t="shared" si="341"/>
        <v>97</v>
      </c>
      <c r="AK707">
        <f t="shared" si="342"/>
        <v>65</v>
      </c>
      <c r="AL707">
        <f t="shared" si="343"/>
        <v>58</v>
      </c>
      <c r="AM707">
        <f t="shared" si="344"/>
        <v>45</v>
      </c>
      <c r="AN707">
        <f t="shared" si="345"/>
        <v>73</v>
      </c>
      <c r="AO707">
        <f t="shared" si="346"/>
        <v>67</v>
      </c>
      <c r="AP707">
        <f t="shared" si="347"/>
        <v>35</v>
      </c>
      <c r="AQ707">
        <f t="shared" si="348"/>
        <v>31</v>
      </c>
      <c r="AR707">
        <f t="shared" si="349"/>
        <v>18</v>
      </c>
      <c r="AS707">
        <f t="shared" si="350"/>
        <v>106</v>
      </c>
      <c r="AT707">
        <f t="shared" si="351"/>
        <v>97</v>
      </c>
      <c r="AU707">
        <f t="shared" si="352"/>
        <v>65</v>
      </c>
      <c r="AV707">
        <f t="shared" si="353"/>
        <v>58</v>
      </c>
      <c r="AW707">
        <f t="shared" si="354"/>
        <v>45</v>
      </c>
      <c r="AX707">
        <f t="shared" si="355"/>
        <v>112</v>
      </c>
      <c r="AY707">
        <f t="shared" si="356"/>
        <v>102</v>
      </c>
      <c r="AZ707">
        <f t="shared" si="357"/>
        <v>70</v>
      </c>
      <c r="BA707">
        <f t="shared" si="358"/>
        <v>63</v>
      </c>
      <c r="BB707">
        <f t="shared" si="359"/>
        <v>49</v>
      </c>
    </row>
    <row r="708" spans="1:54" x14ac:dyDescent="0.15">
      <c r="B708" t="s">
        <v>2511</v>
      </c>
      <c r="C708">
        <v>554</v>
      </c>
      <c r="D708">
        <v>1</v>
      </c>
      <c r="E708" t="s">
        <v>2509</v>
      </c>
      <c r="F708" t="s">
        <v>327</v>
      </c>
      <c r="G708" t="s">
        <v>2512</v>
      </c>
      <c r="J708" t="s">
        <v>2510</v>
      </c>
      <c r="K708">
        <v>40</v>
      </c>
      <c r="L708">
        <v>0.7</v>
      </c>
      <c r="M708" t="s">
        <v>202</v>
      </c>
      <c r="O708" t="s">
        <v>136</v>
      </c>
      <c r="P708" t="s">
        <v>268</v>
      </c>
      <c r="R708">
        <v>8</v>
      </c>
      <c r="S708">
        <v>70</v>
      </c>
      <c r="T708">
        <v>90</v>
      </c>
      <c r="U708">
        <v>45</v>
      </c>
      <c r="V708">
        <v>15</v>
      </c>
      <c r="W708">
        <v>45</v>
      </c>
      <c r="X708">
        <v>50</v>
      </c>
      <c r="Y708">
        <f t="shared" si="330"/>
        <v>177</v>
      </c>
      <c r="Z708">
        <f t="shared" si="331"/>
        <v>177</v>
      </c>
      <c r="AA708">
        <f t="shared" si="332"/>
        <v>145</v>
      </c>
      <c r="AB708">
        <f t="shared" si="333"/>
        <v>145</v>
      </c>
      <c r="AC708">
        <f t="shared" si="334"/>
        <v>130</v>
      </c>
      <c r="AD708">
        <f t="shared" si="335"/>
        <v>156</v>
      </c>
      <c r="AE708">
        <f t="shared" si="336"/>
        <v>142</v>
      </c>
      <c r="AF708">
        <f t="shared" si="337"/>
        <v>110</v>
      </c>
      <c r="AG708">
        <f t="shared" si="338"/>
        <v>99</v>
      </c>
      <c r="AH708">
        <f t="shared" si="339"/>
        <v>85</v>
      </c>
      <c r="AI708">
        <f t="shared" si="340"/>
        <v>106</v>
      </c>
      <c r="AJ708">
        <f t="shared" si="341"/>
        <v>97</v>
      </c>
      <c r="AK708">
        <f t="shared" si="342"/>
        <v>65</v>
      </c>
      <c r="AL708">
        <f t="shared" si="343"/>
        <v>58</v>
      </c>
      <c r="AM708">
        <f t="shared" si="344"/>
        <v>45</v>
      </c>
      <c r="AN708">
        <f t="shared" si="345"/>
        <v>73</v>
      </c>
      <c r="AO708">
        <f t="shared" si="346"/>
        <v>67</v>
      </c>
      <c r="AP708">
        <f t="shared" si="347"/>
        <v>35</v>
      </c>
      <c r="AQ708">
        <f t="shared" si="348"/>
        <v>31</v>
      </c>
      <c r="AR708">
        <f t="shared" si="349"/>
        <v>18</v>
      </c>
      <c r="AS708">
        <f t="shared" si="350"/>
        <v>106</v>
      </c>
      <c r="AT708">
        <f t="shared" si="351"/>
        <v>97</v>
      </c>
      <c r="AU708">
        <f t="shared" si="352"/>
        <v>65</v>
      </c>
      <c r="AV708">
        <f t="shared" si="353"/>
        <v>58</v>
      </c>
      <c r="AW708">
        <f t="shared" si="354"/>
        <v>45</v>
      </c>
      <c r="AX708">
        <f t="shared" si="355"/>
        <v>112</v>
      </c>
      <c r="AY708">
        <f t="shared" si="356"/>
        <v>102</v>
      </c>
      <c r="AZ708">
        <f t="shared" si="357"/>
        <v>70</v>
      </c>
      <c r="BA708">
        <f t="shared" si="358"/>
        <v>63</v>
      </c>
      <c r="BB708">
        <f t="shared" si="359"/>
        <v>49</v>
      </c>
    </row>
    <row r="709" spans="1:54" x14ac:dyDescent="0.15">
      <c r="B709" t="s">
        <v>2513</v>
      </c>
      <c r="C709">
        <v>555</v>
      </c>
      <c r="D709">
        <v>0</v>
      </c>
      <c r="E709" t="s">
        <v>2514</v>
      </c>
      <c r="F709" t="s">
        <v>2515</v>
      </c>
      <c r="G709" t="s">
        <v>2516</v>
      </c>
      <c r="J709" t="s">
        <v>2517</v>
      </c>
      <c r="K709">
        <v>92.9</v>
      </c>
      <c r="L709">
        <v>1.3</v>
      </c>
      <c r="M709" t="s">
        <v>47</v>
      </c>
      <c r="O709" t="s">
        <v>222</v>
      </c>
      <c r="P709" t="s">
        <v>2518</v>
      </c>
      <c r="R709">
        <v>8</v>
      </c>
      <c r="S709">
        <v>105</v>
      </c>
      <c r="T709">
        <v>140</v>
      </c>
      <c r="U709">
        <v>55</v>
      </c>
      <c r="V709">
        <v>30</v>
      </c>
      <c r="W709">
        <v>55</v>
      </c>
      <c r="X709">
        <v>95</v>
      </c>
      <c r="Y709">
        <f t="shared" si="330"/>
        <v>212</v>
      </c>
      <c r="Z709">
        <f t="shared" si="331"/>
        <v>212</v>
      </c>
      <c r="AA709">
        <f t="shared" si="332"/>
        <v>180</v>
      </c>
      <c r="AB709">
        <f t="shared" si="333"/>
        <v>180</v>
      </c>
      <c r="AC709">
        <f t="shared" si="334"/>
        <v>165</v>
      </c>
      <c r="AD709">
        <f t="shared" si="335"/>
        <v>211</v>
      </c>
      <c r="AE709">
        <f t="shared" si="336"/>
        <v>192</v>
      </c>
      <c r="AF709">
        <f t="shared" si="337"/>
        <v>160</v>
      </c>
      <c r="AG709">
        <f t="shared" si="338"/>
        <v>144</v>
      </c>
      <c r="AH709">
        <f t="shared" si="339"/>
        <v>130</v>
      </c>
      <c r="AI709">
        <f t="shared" si="340"/>
        <v>117</v>
      </c>
      <c r="AJ709">
        <f t="shared" si="341"/>
        <v>107</v>
      </c>
      <c r="AK709">
        <f t="shared" si="342"/>
        <v>75</v>
      </c>
      <c r="AL709">
        <f t="shared" si="343"/>
        <v>67</v>
      </c>
      <c r="AM709">
        <f t="shared" si="344"/>
        <v>54</v>
      </c>
      <c r="AN709">
        <f t="shared" si="345"/>
        <v>90</v>
      </c>
      <c r="AO709">
        <f t="shared" si="346"/>
        <v>82</v>
      </c>
      <c r="AP709">
        <f t="shared" si="347"/>
        <v>50</v>
      </c>
      <c r="AQ709">
        <f t="shared" si="348"/>
        <v>45</v>
      </c>
      <c r="AR709">
        <f t="shared" si="349"/>
        <v>31</v>
      </c>
      <c r="AS709">
        <f t="shared" si="350"/>
        <v>117</v>
      </c>
      <c r="AT709">
        <f t="shared" si="351"/>
        <v>107</v>
      </c>
      <c r="AU709">
        <f t="shared" si="352"/>
        <v>75</v>
      </c>
      <c r="AV709">
        <f t="shared" si="353"/>
        <v>67</v>
      </c>
      <c r="AW709">
        <f t="shared" si="354"/>
        <v>54</v>
      </c>
      <c r="AX709">
        <f t="shared" si="355"/>
        <v>161</v>
      </c>
      <c r="AY709">
        <f t="shared" si="356"/>
        <v>147</v>
      </c>
      <c r="AZ709">
        <f t="shared" si="357"/>
        <v>115</v>
      </c>
      <c r="BA709">
        <f t="shared" si="358"/>
        <v>103</v>
      </c>
      <c r="BB709">
        <f t="shared" si="359"/>
        <v>90</v>
      </c>
    </row>
    <row r="710" spans="1:54" x14ac:dyDescent="0.15">
      <c r="B710" t="s">
        <v>2519</v>
      </c>
      <c r="C710">
        <v>555</v>
      </c>
      <c r="D710">
        <v>1</v>
      </c>
      <c r="E710" t="s">
        <v>2514</v>
      </c>
      <c r="F710" t="s">
        <v>2518</v>
      </c>
      <c r="G710" t="s">
        <v>2520</v>
      </c>
      <c r="J710" t="s">
        <v>2517</v>
      </c>
      <c r="K710">
        <v>92.9</v>
      </c>
      <c r="L710">
        <v>1.3</v>
      </c>
      <c r="M710" t="s">
        <v>47</v>
      </c>
      <c r="N710" t="s">
        <v>191</v>
      </c>
      <c r="O710" t="s">
        <v>2518</v>
      </c>
      <c r="P710" t="s">
        <v>222</v>
      </c>
      <c r="R710">
        <v>8</v>
      </c>
      <c r="S710">
        <v>105</v>
      </c>
      <c r="T710">
        <v>30</v>
      </c>
      <c r="U710">
        <v>105</v>
      </c>
      <c r="V710">
        <v>140</v>
      </c>
      <c r="W710">
        <v>105</v>
      </c>
      <c r="X710">
        <v>55</v>
      </c>
      <c r="Y710">
        <f t="shared" si="330"/>
        <v>212</v>
      </c>
      <c r="Z710">
        <f t="shared" si="331"/>
        <v>212</v>
      </c>
      <c r="AA710">
        <f t="shared" si="332"/>
        <v>180</v>
      </c>
      <c r="AB710">
        <f t="shared" si="333"/>
        <v>180</v>
      </c>
      <c r="AC710">
        <f t="shared" si="334"/>
        <v>165</v>
      </c>
      <c r="AD710">
        <f t="shared" si="335"/>
        <v>90</v>
      </c>
      <c r="AE710">
        <f t="shared" si="336"/>
        <v>82</v>
      </c>
      <c r="AF710">
        <f t="shared" si="337"/>
        <v>50</v>
      </c>
      <c r="AG710">
        <f t="shared" si="338"/>
        <v>45</v>
      </c>
      <c r="AH710">
        <f t="shared" si="339"/>
        <v>31</v>
      </c>
      <c r="AI710">
        <f t="shared" si="340"/>
        <v>172</v>
      </c>
      <c r="AJ710">
        <f t="shared" si="341"/>
        <v>157</v>
      </c>
      <c r="AK710">
        <f t="shared" si="342"/>
        <v>125</v>
      </c>
      <c r="AL710">
        <f t="shared" si="343"/>
        <v>112</v>
      </c>
      <c r="AM710">
        <f t="shared" si="344"/>
        <v>99</v>
      </c>
      <c r="AN710">
        <f t="shared" si="345"/>
        <v>211</v>
      </c>
      <c r="AO710">
        <f t="shared" si="346"/>
        <v>192</v>
      </c>
      <c r="AP710">
        <f t="shared" si="347"/>
        <v>160</v>
      </c>
      <c r="AQ710">
        <f t="shared" si="348"/>
        <v>144</v>
      </c>
      <c r="AR710">
        <f t="shared" si="349"/>
        <v>130</v>
      </c>
      <c r="AS710">
        <f t="shared" si="350"/>
        <v>172</v>
      </c>
      <c r="AT710">
        <f t="shared" si="351"/>
        <v>157</v>
      </c>
      <c r="AU710">
        <f t="shared" si="352"/>
        <v>125</v>
      </c>
      <c r="AV710">
        <f t="shared" si="353"/>
        <v>112</v>
      </c>
      <c r="AW710">
        <f t="shared" si="354"/>
        <v>99</v>
      </c>
      <c r="AX710">
        <f t="shared" si="355"/>
        <v>117</v>
      </c>
      <c r="AY710">
        <f t="shared" si="356"/>
        <v>107</v>
      </c>
      <c r="AZ710">
        <f t="shared" si="357"/>
        <v>75</v>
      </c>
      <c r="BA710">
        <f t="shared" si="358"/>
        <v>67</v>
      </c>
      <c r="BB710">
        <f t="shared" si="359"/>
        <v>54</v>
      </c>
    </row>
    <row r="711" spans="1:54" x14ac:dyDescent="0.15">
      <c r="B711" t="s">
        <v>2521</v>
      </c>
      <c r="C711">
        <v>555</v>
      </c>
      <c r="D711">
        <v>2</v>
      </c>
      <c r="E711" t="s">
        <v>2514</v>
      </c>
      <c r="F711" t="s">
        <v>327</v>
      </c>
      <c r="G711" t="s">
        <v>2522</v>
      </c>
      <c r="J711" t="s">
        <v>2510</v>
      </c>
      <c r="K711">
        <v>120</v>
      </c>
      <c r="L711">
        <v>1.7</v>
      </c>
      <c r="M711" t="s">
        <v>202</v>
      </c>
      <c r="O711" t="s">
        <v>2523</v>
      </c>
      <c r="P711" t="s">
        <v>2518</v>
      </c>
      <c r="R711">
        <v>8</v>
      </c>
      <c r="S711">
        <v>105</v>
      </c>
      <c r="T711">
        <v>140</v>
      </c>
      <c r="U711">
        <v>55</v>
      </c>
      <c r="V711">
        <v>30</v>
      </c>
      <c r="W711">
        <v>55</v>
      </c>
      <c r="X711">
        <v>95</v>
      </c>
      <c r="Y711">
        <f t="shared" si="330"/>
        <v>212</v>
      </c>
      <c r="Z711">
        <f t="shared" si="331"/>
        <v>212</v>
      </c>
      <c r="AA711">
        <f t="shared" si="332"/>
        <v>180</v>
      </c>
      <c r="AB711">
        <f t="shared" si="333"/>
        <v>180</v>
      </c>
      <c r="AC711">
        <f t="shared" si="334"/>
        <v>165</v>
      </c>
      <c r="AD711">
        <f t="shared" si="335"/>
        <v>211</v>
      </c>
      <c r="AE711">
        <f t="shared" si="336"/>
        <v>192</v>
      </c>
      <c r="AF711">
        <f t="shared" si="337"/>
        <v>160</v>
      </c>
      <c r="AG711">
        <f t="shared" si="338"/>
        <v>144</v>
      </c>
      <c r="AH711">
        <f t="shared" si="339"/>
        <v>130</v>
      </c>
      <c r="AI711">
        <f t="shared" si="340"/>
        <v>117</v>
      </c>
      <c r="AJ711">
        <f t="shared" si="341"/>
        <v>107</v>
      </c>
      <c r="AK711">
        <f t="shared" si="342"/>
        <v>75</v>
      </c>
      <c r="AL711">
        <f t="shared" si="343"/>
        <v>67</v>
      </c>
      <c r="AM711">
        <f t="shared" si="344"/>
        <v>54</v>
      </c>
      <c r="AN711">
        <f t="shared" si="345"/>
        <v>90</v>
      </c>
      <c r="AO711">
        <f t="shared" si="346"/>
        <v>82</v>
      </c>
      <c r="AP711">
        <f t="shared" si="347"/>
        <v>50</v>
      </c>
      <c r="AQ711">
        <f t="shared" si="348"/>
        <v>45</v>
      </c>
      <c r="AR711">
        <f t="shared" si="349"/>
        <v>31</v>
      </c>
      <c r="AS711">
        <f t="shared" si="350"/>
        <v>117</v>
      </c>
      <c r="AT711">
        <f t="shared" si="351"/>
        <v>107</v>
      </c>
      <c r="AU711">
        <f t="shared" si="352"/>
        <v>75</v>
      </c>
      <c r="AV711">
        <f t="shared" si="353"/>
        <v>67</v>
      </c>
      <c r="AW711">
        <f t="shared" si="354"/>
        <v>54</v>
      </c>
      <c r="AX711">
        <f t="shared" si="355"/>
        <v>161</v>
      </c>
      <c r="AY711">
        <f t="shared" si="356"/>
        <v>147</v>
      </c>
      <c r="AZ711">
        <f t="shared" si="357"/>
        <v>115</v>
      </c>
      <c r="BA711">
        <f t="shared" si="358"/>
        <v>103</v>
      </c>
      <c r="BB711">
        <f t="shared" si="359"/>
        <v>90</v>
      </c>
    </row>
    <row r="712" spans="1:54" x14ac:dyDescent="0.15">
      <c r="B712" t="s">
        <v>2524</v>
      </c>
      <c r="C712">
        <v>556</v>
      </c>
      <c r="D712">
        <v>0</v>
      </c>
      <c r="E712" t="s">
        <v>2525</v>
      </c>
      <c r="G712" t="s">
        <v>2525</v>
      </c>
      <c r="J712" t="s">
        <v>1562</v>
      </c>
      <c r="K712">
        <v>28</v>
      </c>
      <c r="L712">
        <v>1</v>
      </c>
      <c r="M712" t="s">
        <v>26</v>
      </c>
      <c r="O712" t="s">
        <v>383</v>
      </c>
      <c r="P712" t="s">
        <v>29</v>
      </c>
      <c r="Q712" t="s">
        <v>1614</v>
      </c>
      <c r="R712">
        <v>8</v>
      </c>
      <c r="S712">
        <v>75</v>
      </c>
      <c r="T712">
        <v>86</v>
      </c>
      <c r="U712">
        <v>67</v>
      </c>
      <c r="V712">
        <v>106</v>
      </c>
      <c r="W712">
        <v>67</v>
      </c>
      <c r="X712">
        <v>60</v>
      </c>
      <c r="Y712">
        <f t="shared" si="330"/>
        <v>182</v>
      </c>
      <c r="Z712">
        <f t="shared" si="331"/>
        <v>182</v>
      </c>
      <c r="AA712">
        <f t="shared" si="332"/>
        <v>150</v>
      </c>
      <c r="AB712">
        <f t="shared" si="333"/>
        <v>150</v>
      </c>
      <c r="AC712">
        <f t="shared" si="334"/>
        <v>135</v>
      </c>
      <c r="AD712">
        <f t="shared" si="335"/>
        <v>151</v>
      </c>
      <c r="AE712">
        <f t="shared" si="336"/>
        <v>138</v>
      </c>
      <c r="AF712">
        <f t="shared" si="337"/>
        <v>106</v>
      </c>
      <c r="AG712">
        <f t="shared" si="338"/>
        <v>95</v>
      </c>
      <c r="AH712">
        <f t="shared" si="339"/>
        <v>81</v>
      </c>
      <c r="AI712">
        <f t="shared" si="340"/>
        <v>130</v>
      </c>
      <c r="AJ712">
        <f t="shared" si="341"/>
        <v>119</v>
      </c>
      <c r="AK712">
        <f t="shared" si="342"/>
        <v>87</v>
      </c>
      <c r="AL712">
        <f t="shared" si="343"/>
        <v>78</v>
      </c>
      <c r="AM712">
        <f t="shared" si="344"/>
        <v>64</v>
      </c>
      <c r="AN712">
        <f t="shared" si="345"/>
        <v>173</v>
      </c>
      <c r="AO712">
        <f t="shared" si="346"/>
        <v>158</v>
      </c>
      <c r="AP712">
        <f t="shared" si="347"/>
        <v>126</v>
      </c>
      <c r="AQ712">
        <f t="shared" si="348"/>
        <v>113</v>
      </c>
      <c r="AR712">
        <f t="shared" si="349"/>
        <v>99</v>
      </c>
      <c r="AS712">
        <f t="shared" si="350"/>
        <v>130</v>
      </c>
      <c r="AT712">
        <f t="shared" si="351"/>
        <v>119</v>
      </c>
      <c r="AU712">
        <f t="shared" si="352"/>
        <v>87</v>
      </c>
      <c r="AV712">
        <f t="shared" si="353"/>
        <v>78</v>
      </c>
      <c r="AW712">
        <f t="shared" si="354"/>
        <v>64</v>
      </c>
      <c r="AX712">
        <f t="shared" si="355"/>
        <v>123</v>
      </c>
      <c r="AY712">
        <f t="shared" si="356"/>
        <v>112</v>
      </c>
      <c r="AZ712">
        <f t="shared" si="357"/>
        <v>80</v>
      </c>
      <c r="BA712">
        <f t="shared" si="358"/>
        <v>72</v>
      </c>
      <c r="BB712">
        <f t="shared" si="359"/>
        <v>58</v>
      </c>
    </row>
    <row r="713" spans="1:54" x14ac:dyDescent="0.15">
      <c r="B713" t="s">
        <v>2526</v>
      </c>
      <c r="C713">
        <v>557</v>
      </c>
      <c r="D713">
        <v>0</v>
      </c>
      <c r="E713" t="s">
        <v>2527</v>
      </c>
      <c r="G713" t="s">
        <v>2527</v>
      </c>
      <c r="J713" t="s">
        <v>2528</v>
      </c>
      <c r="K713">
        <v>14.5</v>
      </c>
      <c r="L713">
        <v>0.3</v>
      </c>
      <c r="M713" t="s">
        <v>90</v>
      </c>
      <c r="N713" t="s">
        <v>371</v>
      </c>
      <c r="O713" t="s">
        <v>435</v>
      </c>
      <c r="P713" t="s">
        <v>481</v>
      </c>
      <c r="Q713" t="s">
        <v>563</v>
      </c>
      <c r="R713">
        <v>8</v>
      </c>
      <c r="S713">
        <v>50</v>
      </c>
      <c r="T713">
        <v>65</v>
      </c>
      <c r="U713">
        <v>85</v>
      </c>
      <c r="V713">
        <v>35</v>
      </c>
      <c r="W713">
        <v>35</v>
      </c>
      <c r="X713">
        <v>55</v>
      </c>
      <c r="Y713">
        <f t="shared" si="330"/>
        <v>157</v>
      </c>
      <c r="Z713">
        <f t="shared" si="331"/>
        <v>157</v>
      </c>
      <c r="AA713">
        <f t="shared" si="332"/>
        <v>125</v>
      </c>
      <c r="AB713">
        <f t="shared" si="333"/>
        <v>125</v>
      </c>
      <c r="AC713">
        <f t="shared" si="334"/>
        <v>110</v>
      </c>
      <c r="AD713">
        <f t="shared" si="335"/>
        <v>128</v>
      </c>
      <c r="AE713">
        <f t="shared" si="336"/>
        <v>117</v>
      </c>
      <c r="AF713">
        <f t="shared" si="337"/>
        <v>85</v>
      </c>
      <c r="AG713">
        <f t="shared" si="338"/>
        <v>76</v>
      </c>
      <c r="AH713">
        <f t="shared" si="339"/>
        <v>63</v>
      </c>
      <c r="AI713">
        <f t="shared" si="340"/>
        <v>150</v>
      </c>
      <c r="AJ713">
        <f t="shared" si="341"/>
        <v>137</v>
      </c>
      <c r="AK713">
        <f t="shared" si="342"/>
        <v>105</v>
      </c>
      <c r="AL713">
        <f t="shared" si="343"/>
        <v>94</v>
      </c>
      <c r="AM713">
        <f t="shared" si="344"/>
        <v>81</v>
      </c>
      <c r="AN713">
        <f t="shared" si="345"/>
        <v>95</v>
      </c>
      <c r="AO713">
        <f t="shared" si="346"/>
        <v>87</v>
      </c>
      <c r="AP713">
        <f t="shared" si="347"/>
        <v>55</v>
      </c>
      <c r="AQ713">
        <f t="shared" si="348"/>
        <v>49</v>
      </c>
      <c r="AR713">
        <f t="shared" si="349"/>
        <v>36</v>
      </c>
      <c r="AS713">
        <f t="shared" si="350"/>
        <v>95</v>
      </c>
      <c r="AT713">
        <f t="shared" si="351"/>
        <v>87</v>
      </c>
      <c r="AU713">
        <f t="shared" si="352"/>
        <v>55</v>
      </c>
      <c r="AV713">
        <f t="shared" si="353"/>
        <v>49</v>
      </c>
      <c r="AW713">
        <f t="shared" si="354"/>
        <v>36</v>
      </c>
      <c r="AX713">
        <f t="shared" si="355"/>
        <v>117</v>
      </c>
      <c r="AY713">
        <f t="shared" si="356"/>
        <v>107</v>
      </c>
      <c r="AZ713">
        <f t="shared" si="357"/>
        <v>75</v>
      </c>
      <c r="BA713">
        <f t="shared" si="358"/>
        <v>67</v>
      </c>
      <c r="BB713">
        <f t="shared" si="359"/>
        <v>54</v>
      </c>
    </row>
    <row r="714" spans="1:54" x14ac:dyDescent="0.15">
      <c r="B714" t="s">
        <v>2529</v>
      </c>
      <c r="C714">
        <v>558</v>
      </c>
      <c r="D714">
        <v>0</v>
      </c>
      <c r="E714" t="s">
        <v>2530</v>
      </c>
      <c r="G714" t="s">
        <v>2530</v>
      </c>
      <c r="J714" t="s">
        <v>2531</v>
      </c>
      <c r="K714">
        <v>200</v>
      </c>
      <c r="L714">
        <v>1.4</v>
      </c>
      <c r="M714" t="s">
        <v>90</v>
      </c>
      <c r="N714" t="s">
        <v>371</v>
      </c>
      <c r="O714" t="s">
        <v>435</v>
      </c>
      <c r="P714" t="s">
        <v>481</v>
      </c>
      <c r="Q714" t="s">
        <v>563</v>
      </c>
      <c r="R714">
        <v>8</v>
      </c>
      <c r="S714">
        <v>70</v>
      </c>
      <c r="T714">
        <v>105</v>
      </c>
      <c r="U714">
        <v>125</v>
      </c>
      <c r="V714">
        <v>65</v>
      </c>
      <c r="W714">
        <v>75</v>
      </c>
      <c r="X714">
        <v>45</v>
      </c>
      <c r="Y714">
        <f t="shared" si="330"/>
        <v>177</v>
      </c>
      <c r="Z714">
        <f t="shared" si="331"/>
        <v>177</v>
      </c>
      <c r="AA714">
        <f t="shared" si="332"/>
        <v>145</v>
      </c>
      <c r="AB714">
        <f t="shared" si="333"/>
        <v>145</v>
      </c>
      <c r="AC714">
        <f t="shared" si="334"/>
        <v>130</v>
      </c>
      <c r="AD714">
        <f t="shared" si="335"/>
        <v>172</v>
      </c>
      <c r="AE714">
        <f t="shared" si="336"/>
        <v>157</v>
      </c>
      <c r="AF714">
        <f t="shared" si="337"/>
        <v>125</v>
      </c>
      <c r="AG714">
        <f t="shared" si="338"/>
        <v>112</v>
      </c>
      <c r="AH714">
        <f t="shared" si="339"/>
        <v>99</v>
      </c>
      <c r="AI714">
        <f t="shared" si="340"/>
        <v>194</v>
      </c>
      <c r="AJ714">
        <f t="shared" si="341"/>
        <v>177</v>
      </c>
      <c r="AK714">
        <f t="shared" si="342"/>
        <v>145</v>
      </c>
      <c r="AL714">
        <f t="shared" si="343"/>
        <v>130</v>
      </c>
      <c r="AM714">
        <f t="shared" si="344"/>
        <v>117</v>
      </c>
      <c r="AN714">
        <f t="shared" si="345"/>
        <v>128</v>
      </c>
      <c r="AO714">
        <f t="shared" si="346"/>
        <v>117</v>
      </c>
      <c r="AP714">
        <f t="shared" si="347"/>
        <v>85</v>
      </c>
      <c r="AQ714">
        <f t="shared" si="348"/>
        <v>76</v>
      </c>
      <c r="AR714">
        <f t="shared" si="349"/>
        <v>63</v>
      </c>
      <c r="AS714">
        <f t="shared" si="350"/>
        <v>139</v>
      </c>
      <c r="AT714">
        <f t="shared" si="351"/>
        <v>127</v>
      </c>
      <c r="AU714">
        <f t="shared" si="352"/>
        <v>95</v>
      </c>
      <c r="AV714">
        <f t="shared" si="353"/>
        <v>85</v>
      </c>
      <c r="AW714">
        <f t="shared" si="354"/>
        <v>72</v>
      </c>
      <c r="AX714">
        <f t="shared" si="355"/>
        <v>106</v>
      </c>
      <c r="AY714">
        <f t="shared" si="356"/>
        <v>97</v>
      </c>
      <c r="AZ714">
        <f t="shared" si="357"/>
        <v>65</v>
      </c>
      <c r="BA714">
        <f t="shared" si="358"/>
        <v>58</v>
      </c>
      <c r="BB714">
        <f t="shared" si="359"/>
        <v>45</v>
      </c>
    </row>
    <row r="715" spans="1:54" x14ac:dyDescent="0.15">
      <c r="A715">
        <v>469</v>
      </c>
      <c r="B715" t="s">
        <v>2532</v>
      </c>
      <c r="C715">
        <v>559</v>
      </c>
      <c r="D715">
        <v>0</v>
      </c>
      <c r="E715" t="s">
        <v>2533</v>
      </c>
      <c r="G715" t="s">
        <v>2533</v>
      </c>
      <c r="H715" t="s">
        <v>2534</v>
      </c>
      <c r="J715" t="s">
        <v>2535</v>
      </c>
      <c r="K715">
        <v>11.8</v>
      </c>
      <c r="L715">
        <v>0.6</v>
      </c>
      <c r="M715" t="s">
        <v>140</v>
      </c>
      <c r="N715" t="s">
        <v>354</v>
      </c>
      <c r="O715" t="s">
        <v>96</v>
      </c>
      <c r="P715" t="s">
        <v>714</v>
      </c>
      <c r="Q715" t="s">
        <v>155</v>
      </c>
      <c r="R715">
        <v>9</v>
      </c>
      <c r="S715">
        <v>50</v>
      </c>
      <c r="T715">
        <v>75</v>
      </c>
      <c r="U715">
        <v>70</v>
      </c>
      <c r="V715">
        <v>35</v>
      </c>
      <c r="W715">
        <v>70</v>
      </c>
      <c r="X715">
        <v>48</v>
      </c>
      <c r="Y715">
        <f t="shared" si="330"/>
        <v>157</v>
      </c>
      <c r="Z715">
        <f t="shared" si="331"/>
        <v>157</v>
      </c>
      <c r="AA715">
        <f t="shared" si="332"/>
        <v>125</v>
      </c>
      <c r="AB715">
        <f t="shared" si="333"/>
        <v>125</v>
      </c>
      <c r="AC715">
        <f t="shared" si="334"/>
        <v>110</v>
      </c>
      <c r="AD715">
        <f t="shared" si="335"/>
        <v>139</v>
      </c>
      <c r="AE715">
        <f t="shared" si="336"/>
        <v>127</v>
      </c>
      <c r="AF715">
        <f t="shared" si="337"/>
        <v>95</v>
      </c>
      <c r="AG715">
        <f t="shared" si="338"/>
        <v>85</v>
      </c>
      <c r="AH715">
        <f t="shared" si="339"/>
        <v>72</v>
      </c>
      <c r="AI715">
        <f t="shared" si="340"/>
        <v>134</v>
      </c>
      <c r="AJ715">
        <f t="shared" si="341"/>
        <v>122</v>
      </c>
      <c r="AK715">
        <f t="shared" si="342"/>
        <v>90</v>
      </c>
      <c r="AL715">
        <f t="shared" si="343"/>
        <v>81</v>
      </c>
      <c r="AM715">
        <f t="shared" si="344"/>
        <v>67</v>
      </c>
      <c r="AN715">
        <f t="shared" si="345"/>
        <v>95</v>
      </c>
      <c r="AO715">
        <f t="shared" si="346"/>
        <v>87</v>
      </c>
      <c r="AP715">
        <f t="shared" si="347"/>
        <v>55</v>
      </c>
      <c r="AQ715">
        <f t="shared" si="348"/>
        <v>49</v>
      </c>
      <c r="AR715">
        <f t="shared" si="349"/>
        <v>36</v>
      </c>
      <c r="AS715">
        <f t="shared" si="350"/>
        <v>134</v>
      </c>
      <c r="AT715">
        <f t="shared" si="351"/>
        <v>122</v>
      </c>
      <c r="AU715">
        <f t="shared" si="352"/>
        <v>90</v>
      </c>
      <c r="AV715">
        <f t="shared" si="353"/>
        <v>81</v>
      </c>
      <c r="AW715">
        <f t="shared" si="354"/>
        <v>67</v>
      </c>
      <c r="AX715">
        <f t="shared" si="355"/>
        <v>110</v>
      </c>
      <c r="AY715">
        <f t="shared" si="356"/>
        <v>100</v>
      </c>
      <c r="AZ715">
        <f t="shared" si="357"/>
        <v>68</v>
      </c>
      <c r="BA715">
        <f t="shared" si="358"/>
        <v>61</v>
      </c>
      <c r="BB715">
        <f t="shared" si="359"/>
        <v>47</v>
      </c>
    </row>
    <row r="716" spans="1:54" x14ac:dyDescent="0.15">
      <c r="A716">
        <v>470</v>
      </c>
      <c r="B716" t="s">
        <v>2536</v>
      </c>
      <c r="C716">
        <v>560</v>
      </c>
      <c r="D716">
        <v>0</v>
      </c>
      <c r="E716" t="s">
        <v>2537</v>
      </c>
      <c r="G716" t="s">
        <v>2537</v>
      </c>
      <c r="H716" t="s">
        <v>2538</v>
      </c>
      <c r="J716" t="s">
        <v>2539</v>
      </c>
      <c r="K716">
        <v>30</v>
      </c>
      <c r="L716">
        <v>1.1000000000000001</v>
      </c>
      <c r="M716" t="s">
        <v>140</v>
      </c>
      <c r="N716" t="s">
        <v>354</v>
      </c>
      <c r="O716" t="s">
        <v>96</v>
      </c>
      <c r="P716" t="s">
        <v>714</v>
      </c>
      <c r="Q716" t="s">
        <v>155</v>
      </c>
      <c r="R716">
        <v>9</v>
      </c>
      <c r="S716">
        <v>65</v>
      </c>
      <c r="T716">
        <v>90</v>
      </c>
      <c r="U716">
        <v>115</v>
      </c>
      <c r="V716">
        <v>45</v>
      </c>
      <c r="W716">
        <v>115</v>
      </c>
      <c r="X716">
        <v>58</v>
      </c>
      <c r="Y716">
        <f t="shared" si="330"/>
        <v>172</v>
      </c>
      <c r="Z716">
        <f t="shared" si="331"/>
        <v>172</v>
      </c>
      <c r="AA716">
        <f t="shared" si="332"/>
        <v>140</v>
      </c>
      <c r="AB716">
        <f t="shared" si="333"/>
        <v>140</v>
      </c>
      <c r="AC716">
        <f t="shared" si="334"/>
        <v>125</v>
      </c>
      <c r="AD716">
        <f t="shared" si="335"/>
        <v>156</v>
      </c>
      <c r="AE716">
        <f t="shared" si="336"/>
        <v>142</v>
      </c>
      <c r="AF716">
        <f t="shared" si="337"/>
        <v>110</v>
      </c>
      <c r="AG716">
        <f t="shared" si="338"/>
        <v>99</v>
      </c>
      <c r="AH716">
        <f t="shared" si="339"/>
        <v>85</v>
      </c>
      <c r="AI716">
        <f t="shared" si="340"/>
        <v>183</v>
      </c>
      <c r="AJ716">
        <f t="shared" si="341"/>
        <v>167</v>
      </c>
      <c r="AK716">
        <f t="shared" si="342"/>
        <v>135</v>
      </c>
      <c r="AL716">
        <f t="shared" si="343"/>
        <v>121</v>
      </c>
      <c r="AM716">
        <f t="shared" si="344"/>
        <v>108</v>
      </c>
      <c r="AN716">
        <f t="shared" si="345"/>
        <v>106</v>
      </c>
      <c r="AO716">
        <f t="shared" si="346"/>
        <v>97</v>
      </c>
      <c r="AP716">
        <f t="shared" si="347"/>
        <v>65</v>
      </c>
      <c r="AQ716">
        <f t="shared" si="348"/>
        <v>58</v>
      </c>
      <c r="AR716">
        <f t="shared" si="349"/>
        <v>45</v>
      </c>
      <c r="AS716">
        <f t="shared" si="350"/>
        <v>183</v>
      </c>
      <c r="AT716">
        <f t="shared" si="351"/>
        <v>167</v>
      </c>
      <c r="AU716">
        <f t="shared" si="352"/>
        <v>135</v>
      </c>
      <c r="AV716">
        <f t="shared" si="353"/>
        <v>121</v>
      </c>
      <c r="AW716">
        <f t="shared" si="354"/>
        <v>108</v>
      </c>
      <c r="AX716">
        <f t="shared" si="355"/>
        <v>121</v>
      </c>
      <c r="AY716">
        <f t="shared" si="356"/>
        <v>110</v>
      </c>
      <c r="AZ716">
        <f t="shared" si="357"/>
        <v>78</v>
      </c>
      <c r="BA716">
        <f t="shared" si="358"/>
        <v>70</v>
      </c>
      <c r="BB716">
        <f t="shared" si="359"/>
        <v>56</v>
      </c>
    </row>
    <row r="717" spans="1:54" x14ac:dyDescent="0.15">
      <c r="B717" t="s">
        <v>2540</v>
      </c>
      <c r="C717">
        <v>561</v>
      </c>
      <c r="D717">
        <v>0</v>
      </c>
      <c r="E717" t="s">
        <v>2541</v>
      </c>
      <c r="G717" t="s">
        <v>2541</v>
      </c>
      <c r="J717" t="s">
        <v>2542</v>
      </c>
      <c r="K717">
        <v>14</v>
      </c>
      <c r="L717">
        <v>1.4</v>
      </c>
      <c r="M717" t="s">
        <v>191</v>
      </c>
      <c r="N717" t="s">
        <v>57</v>
      </c>
      <c r="O717" t="s">
        <v>300</v>
      </c>
      <c r="P717" t="s">
        <v>235</v>
      </c>
      <c r="Q717" t="s">
        <v>101</v>
      </c>
      <c r="R717">
        <v>8</v>
      </c>
      <c r="S717">
        <v>72</v>
      </c>
      <c r="T717">
        <v>58</v>
      </c>
      <c r="U717">
        <v>80</v>
      </c>
      <c r="V717">
        <v>103</v>
      </c>
      <c r="W717">
        <v>80</v>
      </c>
      <c r="X717">
        <v>97</v>
      </c>
      <c r="Y717">
        <f t="shared" si="330"/>
        <v>179</v>
      </c>
      <c r="Z717">
        <f t="shared" si="331"/>
        <v>179</v>
      </c>
      <c r="AA717">
        <f t="shared" si="332"/>
        <v>147</v>
      </c>
      <c r="AB717">
        <f t="shared" si="333"/>
        <v>147</v>
      </c>
      <c r="AC717">
        <f t="shared" si="334"/>
        <v>132</v>
      </c>
      <c r="AD717">
        <f t="shared" si="335"/>
        <v>121</v>
      </c>
      <c r="AE717">
        <f t="shared" si="336"/>
        <v>110</v>
      </c>
      <c r="AF717">
        <f t="shared" si="337"/>
        <v>78</v>
      </c>
      <c r="AG717">
        <f t="shared" si="338"/>
        <v>70</v>
      </c>
      <c r="AH717">
        <f t="shared" si="339"/>
        <v>56</v>
      </c>
      <c r="AI717">
        <f t="shared" si="340"/>
        <v>145</v>
      </c>
      <c r="AJ717">
        <f t="shared" si="341"/>
        <v>132</v>
      </c>
      <c r="AK717">
        <f t="shared" si="342"/>
        <v>100</v>
      </c>
      <c r="AL717">
        <f t="shared" si="343"/>
        <v>90</v>
      </c>
      <c r="AM717">
        <f t="shared" si="344"/>
        <v>76</v>
      </c>
      <c r="AN717">
        <f t="shared" si="345"/>
        <v>170</v>
      </c>
      <c r="AO717">
        <f t="shared" si="346"/>
        <v>155</v>
      </c>
      <c r="AP717">
        <f t="shared" si="347"/>
        <v>123</v>
      </c>
      <c r="AQ717">
        <f t="shared" si="348"/>
        <v>110</v>
      </c>
      <c r="AR717">
        <f t="shared" si="349"/>
        <v>97</v>
      </c>
      <c r="AS717">
        <f t="shared" si="350"/>
        <v>145</v>
      </c>
      <c r="AT717">
        <f t="shared" si="351"/>
        <v>132</v>
      </c>
      <c r="AU717">
        <f t="shared" si="352"/>
        <v>100</v>
      </c>
      <c r="AV717">
        <f t="shared" si="353"/>
        <v>90</v>
      </c>
      <c r="AW717">
        <f t="shared" si="354"/>
        <v>76</v>
      </c>
      <c r="AX717">
        <f t="shared" si="355"/>
        <v>163</v>
      </c>
      <c r="AY717">
        <f t="shared" si="356"/>
        <v>149</v>
      </c>
      <c r="AZ717">
        <f t="shared" si="357"/>
        <v>117</v>
      </c>
      <c r="BA717">
        <f t="shared" si="358"/>
        <v>105</v>
      </c>
      <c r="BB717">
        <f t="shared" si="359"/>
        <v>91</v>
      </c>
    </row>
    <row r="718" spans="1:54" x14ac:dyDescent="0.15">
      <c r="B718" t="s">
        <v>2543</v>
      </c>
      <c r="C718">
        <v>562</v>
      </c>
      <c r="D718">
        <v>0</v>
      </c>
      <c r="E718" t="s">
        <v>2544</v>
      </c>
      <c r="G718" t="s">
        <v>2544</v>
      </c>
      <c r="J718" t="s">
        <v>2545</v>
      </c>
      <c r="K718">
        <v>1.5</v>
      </c>
      <c r="L718">
        <v>0.5</v>
      </c>
      <c r="M718" t="s">
        <v>546</v>
      </c>
      <c r="O718" t="s">
        <v>2546</v>
      </c>
      <c r="R718">
        <v>8</v>
      </c>
      <c r="S718">
        <v>38</v>
      </c>
      <c r="T718">
        <v>30</v>
      </c>
      <c r="U718">
        <v>85</v>
      </c>
      <c r="V718">
        <v>55</v>
      </c>
      <c r="W718">
        <v>65</v>
      </c>
      <c r="X718">
        <v>30</v>
      </c>
      <c r="Y718">
        <f t="shared" si="330"/>
        <v>145</v>
      </c>
      <c r="Z718">
        <f t="shared" si="331"/>
        <v>145</v>
      </c>
      <c r="AA718">
        <f t="shared" si="332"/>
        <v>113</v>
      </c>
      <c r="AB718">
        <f t="shared" si="333"/>
        <v>113</v>
      </c>
      <c r="AC718">
        <f t="shared" si="334"/>
        <v>98</v>
      </c>
      <c r="AD718">
        <f t="shared" si="335"/>
        <v>90</v>
      </c>
      <c r="AE718">
        <f t="shared" si="336"/>
        <v>82</v>
      </c>
      <c r="AF718">
        <f t="shared" si="337"/>
        <v>50</v>
      </c>
      <c r="AG718">
        <f t="shared" si="338"/>
        <v>45</v>
      </c>
      <c r="AH718">
        <f t="shared" si="339"/>
        <v>31</v>
      </c>
      <c r="AI718">
        <f t="shared" si="340"/>
        <v>150</v>
      </c>
      <c r="AJ718">
        <f t="shared" si="341"/>
        <v>137</v>
      </c>
      <c r="AK718">
        <f t="shared" si="342"/>
        <v>105</v>
      </c>
      <c r="AL718">
        <f t="shared" si="343"/>
        <v>94</v>
      </c>
      <c r="AM718">
        <f t="shared" si="344"/>
        <v>81</v>
      </c>
      <c r="AN718">
        <f t="shared" si="345"/>
        <v>117</v>
      </c>
      <c r="AO718">
        <f t="shared" si="346"/>
        <v>107</v>
      </c>
      <c r="AP718">
        <f t="shared" si="347"/>
        <v>75</v>
      </c>
      <c r="AQ718">
        <f t="shared" si="348"/>
        <v>67</v>
      </c>
      <c r="AR718">
        <f t="shared" si="349"/>
        <v>54</v>
      </c>
      <c r="AS718">
        <f t="shared" si="350"/>
        <v>128</v>
      </c>
      <c r="AT718">
        <f t="shared" si="351"/>
        <v>117</v>
      </c>
      <c r="AU718">
        <f t="shared" si="352"/>
        <v>85</v>
      </c>
      <c r="AV718">
        <f t="shared" si="353"/>
        <v>76</v>
      </c>
      <c r="AW718">
        <f t="shared" si="354"/>
        <v>63</v>
      </c>
      <c r="AX718">
        <f t="shared" si="355"/>
        <v>90</v>
      </c>
      <c r="AY718">
        <f t="shared" si="356"/>
        <v>82</v>
      </c>
      <c r="AZ718">
        <f t="shared" si="357"/>
        <v>50</v>
      </c>
      <c r="BA718">
        <f t="shared" si="358"/>
        <v>45</v>
      </c>
      <c r="BB718">
        <f t="shared" si="359"/>
        <v>31</v>
      </c>
    </row>
    <row r="719" spans="1:54" x14ac:dyDescent="0.15">
      <c r="B719" t="s">
        <v>2547</v>
      </c>
      <c r="C719">
        <v>562</v>
      </c>
      <c r="D719">
        <v>1</v>
      </c>
      <c r="E719" t="s">
        <v>2544</v>
      </c>
      <c r="F719" t="s">
        <v>327</v>
      </c>
      <c r="G719" t="s">
        <v>2548</v>
      </c>
      <c r="J719" t="s">
        <v>2545</v>
      </c>
      <c r="K719">
        <v>1.5</v>
      </c>
      <c r="L719">
        <v>0.5</v>
      </c>
      <c r="M719" t="s">
        <v>196</v>
      </c>
      <c r="N719" t="s">
        <v>546</v>
      </c>
      <c r="O719" t="s">
        <v>2549</v>
      </c>
      <c r="P719" t="s">
        <v>2546</v>
      </c>
      <c r="R719">
        <v>8</v>
      </c>
      <c r="S719">
        <v>38</v>
      </c>
      <c r="T719">
        <v>55</v>
      </c>
      <c r="U719">
        <v>85</v>
      </c>
      <c r="V719">
        <v>30</v>
      </c>
      <c r="W719">
        <v>65</v>
      </c>
      <c r="X719">
        <v>30</v>
      </c>
      <c r="Y719">
        <f t="shared" si="330"/>
        <v>145</v>
      </c>
      <c r="Z719">
        <f t="shared" si="331"/>
        <v>145</v>
      </c>
      <c r="AA719">
        <f t="shared" si="332"/>
        <v>113</v>
      </c>
      <c r="AB719">
        <f t="shared" si="333"/>
        <v>113</v>
      </c>
      <c r="AC719">
        <f t="shared" si="334"/>
        <v>98</v>
      </c>
      <c r="AD719">
        <f t="shared" si="335"/>
        <v>117</v>
      </c>
      <c r="AE719">
        <f t="shared" si="336"/>
        <v>107</v>
      </c>
      <c r="AF719">
        <f t="shared" si="337"/>
        <v>75</v>
      </c>
      <c r="AG719">
        <f t="shared" si="338"/>
        <v>67</v>
      </c>
      <c r="AH719">
        <f t="shared" si="339"/>
        <v>54</v>
      </c>
      <c r="AI719">
        <f t="shared" si="340"/>
        <v>150</v>
      </c>
      <c r="AJ719">
        <f t="shared" si="341"/>
        <v>137</v>
      </c>
      <c r="AK719">
        <f t="shared" si="342"/>
        <v>105</v>
      </c>
      <c r="AL719">
        <f t="shared" si="343"/>
        <v>94</v>
      </c>
      <c r="AM719">
        <f t="shared" si="344"/>
        <v>81</v>
      </c>
      <c r="AN719">
        <f t="shared" si="345"/>
        <v>90</v>
      </c>
      <c r="AO719">
        <f t="shared" si="346"/>
        <v>82</v>
      </c>
      <c r="AP719">
        <f t="shared" si="347"/>
        <v>50</v>
      </c>
      <c r="AQ719">
        <f t="shared" si="348"/>
        <v>45</v>
      </c>
      <c r="AR719">
        <f t="shared" si="349"/>
        <v>31</v>
      </c>
      <c r="AS719">
        <f t="shared" si="350"/>
        <v>128</v>
      </c>
      <c r="AT719">
        <f t="shared" si="351"/>
        <v>117</v>
      </c>
      <c r="AU719">
        <f t="shared" si="352"/>
        <v>85</v>
      </c>
      <c r="AV719">
        <f t="shared" si="353"/>
        <v>76</v>
      </c>
      <c r="AW719">
        <f t="shared" si="354"/>
        <v>63</v>
      </c>
      <c r="AX719">
        <f t="shared" si="355"/>
        <v>90</v>
      </c>
      <c r="AY719">
        <f t="shared" si="356"/>
        <v>82</v>
      </c>
      <c r="AZ719">
        <f t="shared" si="357"/>
        <v>50</v>
      </c>
      <c r="BA719">
        <f t="shared" si="358"/>
        <v>45</v>
      </c>
      <c r="BB719">
        <f t="shared" si="359"/>
        <v>31</v>
      </c>
    </row>
    <row r="720" spans="1:54" x14ac:dyDescent="0.15">
      <c r="B720" t="s">
        <v>2550</v>
      </c>
      <c r="C720">
        <v>563</v>
      </c>
      <c r="D720">
        <v>0</v>
      </c>
      <c r="E720" t="s">
        <v>2551</v>
      </c>
      <c r="G720" t="s">
        <v>2551</v>
      </c>
      <c r="J720" t="s">
        <v>2552</v>
      </c>
      <c r="K720">
        <v>76.5</v>
      </c>
      <c r="L720">
        <v>1.7</v>
      </c>
      <c r="M720" t="s">
        <v>546</v>
      </c>
      <c r="O720" t="s">
        <v>2546</v>
      </c>
      <c r="R720">
        <v>8</v>
      </c>
      <c r="S720">
        <v>58</v>
      </c>
      <c r="T720">
        <v>50</v>
      </c>
      <c r="U720">
        <v>145</v>
      </c>
      <c r="V720">
        <v>95</v>
      </c>
      <c r="W720">
        <v>105</v>
      </c>
      <c r="X720">
        <v>30</v>
      </c>
      <c r="Y720">
        <f t="shared" si="330"/>
        <v>165</v>
      </c>
      <c r="Z720">
        <f t="shared" si="331"/>
        <v>165</v>
      </c>
      <c r="AA720">
        <f t="shared" si="332"/>
        <v>133</v>
      </c>
      <c r="AB720">
        <f t="shared" si="333"/>
        <v>133</v>
      </c>
      <c r="AC720">
        <f t="shared" si="334"/>
        <v>118</v>
      </c>
      <c r="AD720">
        <f t="shared" si="335"/>
        <v>112</v>
      </c>
      <c r="AE720">
        <f t="shared" si="336"/>
        <v>102</v>
      </c>
      <c r="AF720">
        <f t="shared" si="337"/>
        <v>70</v>
      </c>
      <c r="AG720">
        <f t="shared" si="338"/>
        <v>63</v>
      </c>
      <c r="AH720">
        <f t="shared" si="339"/>
        <v>49</v>
      </c>
      <c r="AI720">
        <f t="shared" si="340"/>
        <v>216</v>
      </c>
      <c r="AJ720">
        <f t="shared" si="341"/>
        <v>197</v>
      </c>
      <c r="AK720">
        <f t="shared" si="342"/>
        <v>165</v>
      </c>
      <c r="AL720">
        <f t="shared" si="343"/>
        <v>148</v>
      </c>
      <c r="AM720">
        <f t="shared" si="344"/>
        <v>135</v>
      </c>
      <c r="AN720">
        <f t="shared" si="345"/>
        <v>161</v>
      </c>
      <c r="AO720">
        <f t="shared" si="346"/>
        <v>147</v>
      </c>
      <c r="AP720">
        <f t="shared" si="347"/>
        <v>115</v>
      </c>
      <c r="AQ720">
        <f t="shared" si="348"/>
        <v>103</v>
      </c>
      <c r="AR720">
        <f t="shared" si="349"/>
        <v>90</v>
      </c>
      <c r="AS720">
        <f t="shared" si="350"/>
        <v>172</v>
      </c>
      <c r="AT720">
        <f t="shared" si="351"/>
        <v>157</v>
      </c>
      <c r="AU720">
        <f t="shared" si="352"/>
        <v>125</v>
      </c>
      <c r="AV720">
        <f t="shared" si="353"/>
        <v>112</v>
      </c>
      <c r="AW720">
        <f t="shared" si="354"/>
        <v>99</v>
      </c>
      <c r="AX720">
        <f t="shared" si="355"/>
        <v>90</v>
      </c>
      <c r="AY720">
        <f t="shared" si="356"/>
        <v>82</v>
      </c>
      <c r="AZ720">
        <f t="shared" si="357"/>
        <v>50</v>
      </c>
      <c r="BA720">
        <f t="shared" si="358"/>
        <v>45</v>
      </c>
      <c r="BB720">
        <f t="shared" si="359"/>
        <v>31</v>
      </c>
    </row>
    <row r="721" spans="1:54" x14ac:dyDescent="0.15">
      <c r="B721" t="s">
        <v>2553</v>
      </c>
      <c r="C721">
        <v>564</v>
      </c>
      <c r="D721">
        <v>0</v>
      </c>
      <c r="E721" t="s">
        <v>2554</v>
      </c>
      <c r="G721" t="s">
        <v>2554</v>
      </c>
      <c r="J721" t="s">
        <v>2555</v>
      </c>
      <c r="K721">
        <v>16.5</v>
      </c>
      <c r="L721">
        <v>0.7</v>
      </c>
      <c r="M721" t="s">
        <v>71</v>
      </c>
      <c r="N721" t="s">
        <v>371</v>
      </c>
      <c r="O721" t="s">
        <v>1529</v>
      </c>
      <c r="P721" t="s">
        <v>435</v>
      </c>
      <c r="Q721" t="s">
        <v>346</v>
      </c>
      <c r="R721">
        <v>8</v>
      </c>
      <c r="S721">
        <v>54</v>
      </c>
      <c r="T721">
        <v>78</v>
      </c>
      <c r="U721">
        <v>103</v>
      </c>
      <c r="V721">
        <v>53</v>
      </c>
      <c r="W721">
        <v>45</v>
      </c>
      <c r="X721">
        <v>22</v>
      </c>
      <c r="Y721">
        <f t="shared" si="330"/>
        <v>161</v>
      </c>
      <c r="Z721">
        <f t="shared" si="331"/>
        <v>161</v>
      </c>
      <c r="AA721">
        <f t="shared" si="332"/>
        <v>129</v>
      </c>
      <c r="AB721">
        <f t="shared" si="333"/>
        <v>129</v>
      </c>
      <c r="AC721">
        <f t="shared" si="334"/>
        <v>114</v>
      </c>
      <c r="AD721">
        <f t="shared" si="335"/>
        <v>143</v>
      </c>
      <c r="AE721">
        <f t="shared" si="336"/>
        <v>130</v>
      </c>
      <c r="AF721">
        <f t="shared" si="337"/>
        <v>98</v>
      </c>
      <c r="AG721">
        <f t="shared" si="338"/>
        <v>88</v>
      </c>
      <c r="AH721">
        <f t="shared" si="339"/>
        <v>74</v>
      </c>
      <c r="AI721">
        <f t="shared" si="340"/>
        <v>170</v>
      </c>
      <c r="AJ721">
        <f t="shared" si="341"/>
        <v>155</v>
      </c>
      <c r="AK721">
        <f t="shared" si="342"/>
        <v>123</v>
      </c>
      <c r="AL721">
        <f t="shared" si="343"/>
        <v>110</v>
      </c>
      <c r="AM721">
        <f t="shared" si="344"/>
        <v>97</v>
      </c>
      <c r="AN721">
        <f t="shared" si="345"/>
        <v>115</v>
      </c>
      <c r="AO721">
        <f t="shared" si="346"/>
        <v>105</v>
      </c>
      <c r="AP721">
        <f t="shared" si="347"/>
        <v>73</v>
      </c>
      <c r="AQ721">
        <f t="shared" si="348"/>
        <v>65</v>
      </c>
      <c r="AR721">
        <f t="shared" si="349"/>
        <v>52</v>
      </c>
      <c r="AS721">
        <f t="shared" si="350"/>
        <v>106</v>
      </c>
      <c r="AT721">
        <f t="shared" si="351"/>
        <v>97</v>
      </c>
      <c r="AU721">
        <f t="shared" si="352"/>
        <v>65</v>
      </c>
      <c r="AV721">
        <f t="shared" si="353"/>
        <v>58</v>
      </c>
      <c r="AW721">
        <f t="shared" si="354"/>
        <v>45</v>
      </c>
      <c r="AX721">
        <f t="shared" si="355"/>
        <v>81</v>
      </c>
      <c r="AY721">
        <f t="shared" si="356"/>
        <v>74</v>
      </c>
      <c r="AZ721">
        <f t="shared" si="357"/>
        <v>42</v>
      </c>
      <c r="BA721">
        <f t="shared" si="358"/>
        <v>37</v>
      </c>
      <c r="BB721">
        <f t="shared" si="359"/>
        <v>24</v>
      </c>
    </row>
    <row r="722" spans="1:54" x14ac:dyDescent="0.15">
      <c r="B722" t="s">
        <v>2556</v>
      </c>
      <c r="C722">
        <v>565</v>
      </c>
      <c r="D722">
        <v>0</v>
      </c>
      <c r="E722" t="s">
        <v>2557</v>
      </c>
      <c r="G722" t="s">
        <v>2557</v>
      </c>
      <c r="J722" t="s">
        <v>2555</v>
      </c>
      <c r="K722">
        <v>81</v>
      </c>
      <c r="L722">
        <v>1.2</v>
      </c>
      <c r="M722" t="s">
        <v>71</v>
      </c>
      <c r="N722" t="s">
        <v>371</v>
      </c>
      <c r="O722" t="s">
        <v>1529</v>
      </c>
      <c r="P722" t="s">
        <v>435</v>
      </c>
      <c r="Q722" t="s">
        <v>346</v>
      </c>
      <c r="R722">
        <v>8</v>
      </c>
      <c r="S722">
        <v>74</v>
      </c>
      <c r="T722">
        <v>108</v>
      </c>
      <c r="U722">
        <v>133</v>
      </c>
      <c r="V722">
        <v>83</v>
      </c>
      <c r="W722">
        <v>65</v>
      </c>
      <c r="X722">
        <v>32</v>
      </c>
      <c r="Y722">
        <f t="shared" si="330"/>
        <v>181</v>
      </c>
      <c r="Z722">
        <f t="shared" si="331"/>
        <v>181</v>
      </c>
      <c r="AA722">
        <f t="shared" si="332"/>
        <v>149</v>
      </c>
      <c r="AB722">
        <f t="shared" si="333"/>
        <v>149</v>
      </c>
      <c r="AC722">
        <f t="shared" si="334"/>
        <v>134</v>
      </c>
      <c r="AD722">
        <f t="shared" si="335"/>
        <v>176</v>
      </c>
      <c r="AE722">
        <f t="shared" si="336"/>
        <v>160</v>
      </c>
      <c r="AF722">
        <f t="shared" si="337"/>
        <v>128</v>
      </c>
      <c r="AG722">
        <f t="shared" si="338"/>
        <v>115</v>
      </c>
      <c r="AH722">
        <f t="shared" si="339"/>
        <v>101</v>
      </c>
      <c r="AI722">
        <f t="shared" si="340"/>
        <v>203</v>
      </c>
      <c r="AJ722">
        <f t="shared" si="341"/>
        <v>185</v>
      </c>
      <c r="AK722">
        <f t="shared" si="342"/>
        <v>153</v>
      </c>
      <c r="AL722">
        <f t="shared" si="343"/>
        <v>137</v>
      </c>
      <c r="AM722">
        <f t="shared" si="344"/>
        <v>124</v>
      </c>
      <c r="AN722">
        <f t="shared" si="345"/>
        <v>148</v>
      </c>
      <c r="AO722">
        <f t="shared" si="346"/>
        <v>135</v>
      </c>
      <c r="AP722">
        <f t="shared" si="347"/>
        <v>103</v>
      </c>
      <c r="AQ722">
        <f t="shared" si="348"/>
        <v>92</v>
      </c>
      <c r="AR722">
        <f t="shared" si="349"/>
        <v>79</v>
      </c>
      <c r="AS722">
        <f t="shared" si="350"/>
        <v>128</v>
      </c>
      <c r="AT722">
        <f t="shared" si="351"/>
        <v>117</v>
      </c>
      <c r="AU722">
        <f t="shared" si="352"/>
        <v>85</v>
      </c>
      <c r="AV722">
        <f t="shared" si="353"/>
        <v>76</v>
      </c>
      <c r="AW722">
        <f t="shared" si="354"/>
        <v>63</v>
      </c>
      <c r="AX722">
        <f t="shared" si="355"/>
        <v>92</v>
      </c>
      <c r="AY722">
        <f t="shared" si="356"/>
        <v>84</v>
      </c>
      <c r="AZ722">
        <f t="shared" si="357"/>
        <v>52</v>
      </c>
      <c r="BA722">
        <f t="shared" si="358"/>
        <v>46</v>
      </c>
      <c r="BB722">
        <f t="shared" si="359"/>
        <v>33</v>
      </c>
    </row>
    <row r="723" spans="1:54" x14ac:dyDescent="0.15">
      <c r="B723" t="s">
        <v>2558</v>
      </c>
      <c r="C723">
        <v>566</v>
      </c>
      <c r="D723">
        <v>0</v>
      </c>
      <c r="E723" t="s">
        <v>2559</v>
      </c>
      <c r="G723" t="s">
        <v>2559</v>
      </c>
      <c r="J723" t="s">
        <v>2560</v>
      </c>
      <c r="K723">
        <v>9.5</v>
      </c>
      <c r="L723">
        <v>0.5</v>
      </c>
      <c r="M723" t="s">
        <v>371</v>
      </c>
      <c r="N723" t="s">
        <v>57</v>
      </c>
      <c r="O723" t="s">
        <v>2561</v>
      </c>
      <c r="R723">
        <v>8</v>
      </c>
      <c r="S723">
        <v>55</v>
      </c>
      <c r="T723">
        <v>112</v>
      </c>
      <c r="U723">
        <v>45</v>
      </c>
      <c r="V723">
        <v>74</v>
      </c>
      <c r="W723">
        <v>45</v>
      </c>
      <c r="X723">
        <v>70</v>
      </c>
      <c r="Y723">
        <f t="shared" si="330"/>
        <v>162</v>
      </c>
      <c r="Z723">
        <f t="shared" si="331"/>
        <v>162</v>
      </c>
      <c r="AA723">
        <f t="shared" si="332"/>
        <v>130</v>
      </c>
      <c r="AB723">
        <f t="shared" si="333"/>
        <v>130</v>
      </c>
      <c r="AC723">
        <f t="shared" si="334"/>
        <v>115</v>
      </c>
      <c r="AD723">
        <f t="shared" si="335"/>
        <v>180</v>
      </c>
      <c r="AE723">
        <f t="shared" si="336"/>
        <v>164</v>
      </c>
      <c r="AF723">
        <f t="shared" si="337"/>
        <v>132</v>
      </c>
      <c r="AG723">
        <f t="shared" si="338"/>
        <v>118</v>
      </c>
      <c r="AH723">
        <f t="shared" si="339"/>
        <v>105</v>
      </c>
      <c r="AI723">
        <f t="shared" si="340"/>
        <v>106</v>
      </c>
      <c r="AJ723">
        <f t="shared" si="341"/>
        <v>97</v>
      </c>
      <c r="AK723">
        <f t="shared" si="342"/>
        <v>65</v>
      </c>
      <c r="AL723">
        <f t="shared" si="343"/>
        <v>58</v>
      </c>
      <c r="AM723">
        <f t="shared" si="344"/>
        <v>45</v>
      </c>
      <c r="AN723">
        <f t="shared" si="345"/>
        <v>138</v>
      </c>
      <c r="AO723">
        <f t="shared" si="346"/>
        <v>126</v>
      </c>
      <c r="AP723">
        <f t="shared" si="347"/>
        <v>94</v>
      </c>
      <c r="AQ723">
        <f t="shared" si="348"/>
        <v>84</v>
      </c>
      <c r="AR723">
        <f t="shared" si="349"/>
        <v>71</v>
      </c>
      <c r="AS723">
        <f t="shared" si="350"/>
        <v>106</v>
      </c>
      <c r="AT723">
        <f t="shared" si="351"/>
        <v>97</v>
      </c>
      <c r="AU723">
        <f t="shared" si="352"/>
        <v>65</v>
      </c>
      <c r="AV723">
        <f t="shared" si="353"/>
        <v>58</v>
      </c>
      <c r="AW723">
        <f t="shared" si="354"/>
        <v>45</v>
      </c>
      <c r="AX723">
        <f t="shared" si="355"/>
        <v>134</v>
      </c>
      <c r="AY723">
        <f t="shared" si="356"/>
        <v>122</v>
      </c>
      <c r="AZ723">
        <f t="shared" si="357"/>
        <v>90</v>
      </c>
      <c r="BA723">
        <f t="shared" si="358"/>
        <v>81</v>
      </c>
      <c r="BB723">
        <f t="shared" si="359"/>
        <v>67</v>
      </c>
    </row>
    <row r="724" spans="1:54" x14ac:dyDescent="0.15">
      <c r="B724" t="s">
        <v>2562</v>
      </c>
      <c r="C724">
        <v>567</v>
      </c>
      <c r="D724">
        <v>0</v>
      </c>
      <c r="E724" t="s">
        <v>2563</v>
      </c>
      <c r="G724" t="s">
        <v>2563</v>
      </c>
      <c r="J724" t="s">
        <v>2560</v>
      </c>
      <c r="K724">
        <v>32</v>
      </c>
      <c r="L724">
        <v>1.4</v>
      </c>
      <c r="M724" t="s">
        <v>371</v>
      </c>
      <c r="N724" t="s">
        <v>57</v>
      </c>
      <c r="O724" t="s">
        <v>2561</v>
      </c>
      <c r="R724">
        <v>8</v>
      </c>
      <c r="S724">
        <v>75</v>
      </c>
      <c r="T724">
        <v>140</v>
      </c>
      <c r="U724">
        <v>65</v>
      </c>
      <c r="V724">
        <v>112</v>
      </c>
      <c r="W724">
        <v>65</v>
      </c>
      <c r="X724">
        <v>110</v>
      </c>
      <c r="Y724">
        <f t="shared" si="330"/>
        <v>182</v>
      </c>
      <c r="Z724">
        <f t="shared" si="331"/>
        <v>182</v>
      </c>
      <c r="AA724">
        <f t="shared" si="332"/>
        <v>150</v>
      </c>
      <c r="AB724">
        <f t="shared" si="333"/>
        <v>150</v>
      </c>
      <c r="AC724">
        <f t="shared" si="334"/>
        <v>135</v>
      </c>
      <c r="AD724">
        <f t="shared" si="335"/>
        <v>211</v>
      </c>
      <c r="AE724">
        <f t="shared" si="336"/>
        <v>192</v>
      </c>
      <c r="AF724">
        <f t="shared" si="337"/>
        <v>160</v>
      </c>
      <c r="AG724">
        <f t="shared" si="338"/>
        <v>144</v>
      </c>
      <c r="AH724">
        <f t="shared" si="339"/>
        <v>130</v>
      </c>
      <c r="AI724">
        <f t="shared" si="340"/>
        <v>128</v>
      </c>
      <c r="AJ724">
        <f t="shared" si="341"/>
        <v>117</v>
      </c>
      <c r="AK724">
        <f t="shared" si="342"/>
        <v>85</v>
      </c>
      <c r="AL724">
        <f t="shared" si="343"/>
        <v>76</v>
      </c>
      <c r="AM724">
        <f t="shared" si="344"/>
        <v>63</v>
      </c>
      <c r="AN724">
        <f t="shared" si="345"/>
        <v>180</v>
      </c>
      <c r="AO724">
        <f t="shared" si="346"/>
        <v>164</v>
      </c>
      <c r="AP724">
        <f t="shared" si="347"/>
        <v>132</v>
      </c>
      <c r="AQ724">
        <f t="shared" si="348"/>
        <v>118</v>
      </c>
      <c r="AR724">
        <f t="shared" si="349"/>
        <v>105</v>
      </c>
      <c r="AS724">
        <f t="shared" si="350"/>
        <v>128</v>
      </c>
      <c r="AT724">
        <f t="shared" si="351"/>
        <v>117</v>
      </c>
      <c r="AU724">
        <f t="shared" si="352"/>
        <v>85</v>
      </c>
      <c r="AV724">
        <f t="shared" si="353"/>
        <v>76</v>
      </c>
      <c r="AW724">
        <f t="shared" si="354"/>
        <v>63</v>
      </c>
      <c r="AX724">
        <f t="shared" si="355"/>
        <v>178</v>
      </c>
      <c r="AY724">
        <f t="shared" si="356"/>
        <v>162</v>
      </c>
      <c r="AZ724">
        <f t="shared" si="357"/>
        <v>130</v>
      </c>
      <c r="BA724">
        <f t="shared" si="358"/>
        <v>117</v>
      </c>
      <c r="BB724">
        <f t="shared" si="359"/>
        <v>103</v>
      </c>
    </row>
    <row r="725" spans="1:54" x14ac:dyDescent="0.15">
      <c r="B725" t="s">
        <v>2564</v>
      </c>
      <c r="C725">
        <v>568</v>
      </c>
      <c r="D725">
        <v>0</v>
      </c>
      <c r="E725" t="s">
        <v>2565</v>
      </c>
      <c r="G725" t="s">
        <v>2565</v>
      </c>
      <c r="J725" t="s">
        <v>2566</v>
      </c>
      <c r="K725">
        <v>31</v>
      </c>
      <c r="L725">
        <v>0.6</v>
      </c>
      <c r="M725" t="s">
        <v>27</v>
      </c>
      <c r="O725" t="s">
        <v>279</v>
      </c>
      <c r="P725" t="s">
        <v>522</v>
      </c>
      <c r="Q725" t="s">
        <v>587</v>
      </c>
      <c r="R725">
        <v>8</v>
      </c>
      <c r="S725">
        <v>50</v>
      </c>
      <c r="T725">
        <v>50</v>
      </c>
      <c r="U725">
        <v>62</v>
      </c>
      <c r="V725">
        <v>40</v>
      </c>
      <c r="W725">
        <v>62</v>
      </c>
      <c r="X725">
        <v>65</v>
      </c>
      <c r="Y725">
        <f t="shared" si="330"/>
        <v>157</v>
      </c>
      <c r="Z725">
        <f t="shared" si="331"/>
        <v>157</v>
      </c>
      <c r="AA725">
        <f t="shared" si="332"/>
        <v>125</v>
      </c>
      <c r="AB725">
        <f t="shared" si="333"/>
        <v>125</v>
      </c>
      <c r="AC725">
        <f t="shared" si="334"/>
        <v>110</v>
      </c>
      <c r="AD725">
        <f t="shared" si="335"/>
        <v>112</v>
      </c>
      <c r="AE725">
        <f t="shared" si="336"/>
        <v>102</v>
      </c>
      <c r="AF725">
        <f t="shared" si="337"/>
        <v>70</v>
      </c>
      <c r="AG725">
        <f t="shared" si="338"/>
        <v>63</v>
      </c>
      <c r="AH725">
        <f t="shared" si="339"/>
        <v>49</v>
      </c>
      <c r="AI725">
        <f t="shared" si="340"/>
        <v>125</v>
      </c>
      <c r="AJ725">
        <f t="shared" si="341"/>
        <v>114</v>
      </c>
      <c r="AK725">
        <f t="shared" si="342"/>
        <v>82</v>
      </c>
      <c r="AL725">
        <f t="shared" si="343"/>
        <v>73</v>
      </c>
      <c r="AM725">
        <f t="shared" si="344"/>
        <v>60</v>
      </c>
      <c r="AN725">
        <f t="shared" si="345"/>
        <v>101</v>
      </c>
      <c r="AO725">
        <f t="shared" si="346"/>
        <v>92</v>
      </c>
      <c r="AP725">
        <f t="shared" si="347"/>
        <v>60</v>
      </c>
      <c r="AQ725">
        <f t="shared" si="348"/>
        <v>54</v>
      </c>
      <c r="AR725">
        <f t="shared" si="349"/>
        <v>40</v>
      </c>
      <c r="AS725">
        <f t="shared" si="350"/>
        <v>125</v>
      </c>
      <c r="AT725">
        <f t="shared" si="351"/>
        <v>114</v>
      </c>
      <c r="AU725">
        <f t="shared" si="352"/>
        <v>82</v>
      </c>
      <c r="AV725">
        <f t="shared" si="353"/>
        <v>73</v>
      </c>
      <c r="AW725">
        <f t="shared" si="354"/>
        <v>60</v>
      </c>
      <c r="AX725">
        <f t="shared" si="355"/>
        <v>128</v>
      </c>
      <c r="AY725">
        <f t="shared" si="356"/>
        <v>117</v>
      </c>
      <c r="AZ725">
        <f t="shared" si="357"/>
        <v>85</v>
      </c>
      <c r="BA725">
        <f t="shared" si="358"/>
        <v>76</v>
      </c>
      <c r="BB725">
        <f t="shared" si="359"/>
        <v>63</v>
      </c>
    </row>
    <row r="726" spans="1:54" x14ac:dyDescent="0.15">
      <c r="B726" t="s">
        <v>2567</v>
      </c>
      <c r="C726">
        <v>569</v>
      </c>
      <c r="D726">
        <v>0</v>
      </c>
      <c r="E726" t="s">
        <v>2568</v>
      </c>
      <c r="G726" t="s">
        <v>2568</v>
      </c>
      <c r="J726" t="s">
        <v>2569</v>
      </c>
      <c r="K726">
        <v>107.3</v>
      </c>
      <c r="L726">
        <v>1.9</v>
      </c>
      <c r="M726" t="s">
        <v>27</v>
      </c>
      <c r="O726" t="s">
        <v>279</v>
      </c>
      <c r="P726" t="s">
        <v>563</v>
      </c>
      <c r="Q726" t="s">
        <v>587</v>
      </c>
      <c r="R726">
        <v>8</v>
      </c>
      <c r="S726">
        <v>80</v>
      </c>
      <c r="T726">
        <v>95</v>
      </c>
      <c r="U726">
        <v>82</v>
      </c>
      <c r="V726">
        <v>60</v>
      </c>
      <c r="W726">
        <v>82</v>
      </c>
      <c r="X726">
        <v>75</v>
      </c>
      <c r="Y726">
        <f t="shared" si="330"/>
        <v>187</v>
      </c>
      <c r="Z726">
        <f t="shared" si="331"/>
        <v>187</v>
      </c>
      <c r="AA726">
        <f t="shared" si="332"/>
        <v>155</v>
      </c>
      <c r="AB726">
        <f t="shared" si="333"/>
        <v>155</v>
      </c>
      <c r="AC726">
        <f t="shared" si="334"/>
        <v>140</v>
      </c>
      <c r="AD726">
        <f t="shared" si="335"/>
        <v>161</v>
      </c>
      <c r="AE726">
        <f t="shared" si="336"/>
        <v>147</v>
      </c>
      <c r="AF726">
        <f t="shared" si="337"/>
        <v>115</v>
      </c>
      <c r="AG726">
        <f t="shared" si="338"/>
        <v>103</v>
      </c>
      <c r="AH726">
        <f t="shared" si="339"/>
        <v>90</v>
      </c>
      <c r="AI726">
        <f t="shared" si="340"/>
        <v>147</v>
      </c>
      <c r="AJ726">
        <f t="shared" si="341"/>
        <v>134</v>
      </c>
      <c r="AK726">
        <f t="shared" si="342"/>
        <v>102</v>
      </c>
      <c r="AL726">
        <f t="shared" si="343"/>
        <v>91</v>
      </c>
      <c r="AM726">
        <f t="shared" si="344"/>
        <v>78</v>
      </c>
      <c r="AN726">
        <f t="shared" si="345"/>
        <v>123</v>
      </c>
      <c r="AO726">
        <f t="shared" si="346"/>
        <v>112</v>
      </c>
      <c r="AP726">
        <f t="shared" si="347"/>
        <v>80</v>
      </c>
      <c r="AQ726">
        <f t="shared" si="348"/>
        <v>72</v>
      </c>
      <c r="AR726">
        <f t="shared" si="349"/>
        <v>58</v>
      </c>
      <c r="AS726">
        <f t="shared" si="350"/>
        <v>147</v>
      </c>
      <c r="AT726">
        <f t="shared" si="351"/>
        <v>134</v>
      </c>
      <c r="AU726">
        <f t="shared" si="352"/>
        <v>102</v>
      </c>
      <c r="AV726">
        <f t="shared" si="353"/>
        <v>91</v>
      </c>
      <c r="AW726">
        <f t="shared" si="354"/>
        <v>78</v>
      </c>
      <c r="AX726">
        <f t="shared" si="355"/>
        <v>139</v>
      </c>
      <c r="AY726">
        <f t="shared" si="356"/>
        <v>127</v>
      </c>
      <c r="AZ726">
        <f t="shared" si="357"/>
        <v>95</v>
      </c>
      <c r="BA726">
        <f t="shared" si="358"/>
        <v>85</v>
      </c>
      <c r="BB726">
        <f t="shared" si="359"/>
        <v>72</v>
      </c>
    </row>
    <row r="727" spans="1:54" x14ac:dyDescent="0.15">
      <c r="B727" t="s">
        <v>2570</v>
      </c>
      <c r="C727">
        <v>569</v>
      </c>
      <c r="D727">
        <v>999</v>
      </c>
      <c r="E727" t="s">
        <v>2568</v>
      </c>
      <c r="F727" t="s">
        <v>40</v>
      </c>
      <c r="G727" t="s">
        <v>2571</v>
      </c>
      <c r="J727" t="s">
        <v>42</v>
      </c>
      <c r="K727">
        <v>9999.9</v>
      </c>
      <c r="L727">
        <v>21</v>
      </c>
      <c r="M727" t="s">
        <v>27</v>
      </c>
      <c r="O727" t="s">
        <v>279</v>
      </c>
      <c r="P727" t="s">
        <v>563</v>
      </c>
      <c r="Q727" t="s">
        <v>587</v>
      </c>
      <c r="R727">
        <v>8</v>
      </c>
      <c r="S727">
        <v>80</v>
      </c>
      <c r="T727">
        <v>95</v>
      </c>
      <c r="U727">
        <v>82</v>
      </c>
      <c r="V727">
        <v>60</v>
      </c>
      <c r="W727">
        <v>82</v>
      </c>
      <c r="X727">
        <v>75</v>
      </c>
      <c r="Y727">
        <f t="shared" si="330"/>
        <v>187</v>
      </c>
      <c r="Z727">
        <f t="shared" si="331"/>
        <v>187</v>
      </c>
      <c r="AA727">
        <f t="shared" si="332"/>
        <v>155</v>
      </c>
      <c r="AB727">
        <f t="shared" si="333"/>
        <v>155</v>
      </c>
      <c r="AC727">
        <f t="shared" si="334"/>
        <v>140</v>
      </c>
      <c r="AD727">
        <f t="shared" si="335"/>
        <v>161</v>
      </c>
      <c r="AE727">
        <f t="shared" si="336"/>
        <v>147</v>
      </c>
      <c r="AF727">
        <f t="shared" si="337"/>
        <v>115</v>
      </c>
      <c r="AG727">
        <f t="shared" si="338"/>
        <v>103</v>
      </c>
      <c r="AH727">
        <f t="shared" si="339"/>
        <v>90</v>
      </c>
      <c r="AI727">
        <f t="shared" si="340"/>
        <v>147</v>
      </c>
      <c r="AJ727">
        <f t="shared" si="341"/>
        <v>134</v>
      </c>
      <c r="AK727">
        <f t="shared" si="342"/>
        <v>102</v>
      </c>
      <c r="AL727">
        <f t="shared" si="343"/>
        <v>91</v>
      </c>
      <c r="AM727">
        <f t="shared" si="344"/>
        <v>78</v>
      </c>
      <c r="AN727">
        <f t="shared" si="345"/>
        <v>123</v>
      </c>
      <c r="AO727">
        <f t="shared" si="346"/>
        <v>112</v>
      </c>
      <c r="AP727">
        <f t="shared" si="347"/>
        <v>80</v>
      </c>
      <c r="AQ727">
        <f t="shared" si="348"/>
        <v>72</v>
      </c>
      <c r="AR727">
        <f t="shared" si="349"/>
        <v>58</v>
      </c>
      <c r="AS727">
        <f t="shared" si="350"/>
        <v>147</v>
      </c>
      <c r="AT727">
        <f t="shared" si="351"/>
        <v>134</v>
      </c>
      <c r="AU727">
        <f t="shared" si="352"/>
        <v>102</v>
      </c>
      <c r="AV727">
        <f t="shared" si="353"/>
        <v>91</v>
      </c>
      <c r="AW727">
        <f t="shared" si="354"/>
        <v>78</v>
      </c>
      <c r="AX727">
        <f t="shared" si="355"/>
        <v>139</v>
      </c>
      <c r="AY727">
        <f t="shared" si="356"/>
        <v>127</v>
      </c>
      <c r="AZ727">
        <f t="shared" si="357"/>
        <v>95</v>
      </c>
      <c r="BA727">
        <f t="shared" si="358"/>
        <v>85</v>
      </c>
      <c r="BB727">
        <f t="shared" si="359"/>
        <v>72</v>
      </c>
    </row>
    <row r="728" spans="1:54" x14ac:dyDescent="0.15">
      <c r="A728">
        <v>471</v>
      </c>
      <c r="B728" t="s">
        <v>2572</v>
      </c>
      <c r="C728">
        <v>570</v>
      </c>
      <c r="D728">
        <v>0</v>
      </c>
      <c r="E728" t="s">
        <v>2573</v>
      </c>
      <c r="G728" t="s">
        <v>2573</v>
      </c>
      <c r="H728" t="s">
        <v>2574</v>
      </c>
      <c r="J728" t="s">
        <v>2575</v>
      </c>
      <c r="K728">
        <v>12.5</v>
      </c>
      <c r="L728">
        <v>0.7</v>
      </c>
      <c r="M728" t="s">
        <v>140</v>
      </c>
      <c r="O728" t="s">
        <v>2576</v>
      </c>
      <c r="R728">
        <v>9</v>
      </c>
      <c r="S728">
        <v>40</v>
      </c>
      <c r="T728">
        <v>65</v>
      </c>
      <c r="U728">
        <v>40</v>
      </c>
      <c r="V728">
        <v>80</v>
      </c>
      <c r="W728">
        <v>40</v>
      </c>
      <c r="X728">
        <v>65</v>
      </c>
      <c r="Y728">
        <f t="shared" si="330"/>
        <v>147</v>
      </c>
      <c r="Z728">
        <f t="shared" si="331"/>
        <v>147</v>
      </c>
      <c r="AA728">
        <f t="shared" si="332"/>
        <v>115</v>
      </c>
      <c r="AB728">
        <f t="shared" si="333"/>
        <v>115</v>
      </c>
      <c r="AC728">
        <f t="shared" si="334"/>
        <v>100</v>
      </c>
      <c r="AD728">
        <f t="shared" si="335"/>
        <v>128</v>
      </c>
      <c r="AE728">
        <f t="shared" si="336"/>
        <v>117</v>
      </c>
      <c r="AF728">
        <f t="shared" si="337"/>
        <v>85</v>
      </c>
      <c r="AG728">
        <f t="shared" si="338"/>
        <v>76</v>
      </c>
      <c r="AH728">
        <f t="shared" si="339"/>
        <v>63</v>
      </c>
      <c r="AI728">
        <f t="shared" si="340"/>
        <v>101</v>
      </c>
      <c r="AJ728">
        <f t="shared" si="341"/>
        <v>92</v>
      </c>
      <c r="AK728">
        <f t="shared" si="342"/>
        <v>60</v>
      </c>
      <c r="AL728">
        <f t="shared" si="343"/>
        <v>54</v>
      </c>
      <c r="AM728">
        <f t="shared" si="344"/>
        <v>40</v>
      </c>
      <c r="AN728">
        <f t="shared" si="345"/>
        <v>145</v>
      </c>
      <c r="AO728">
        <f t="shared" si="346"/>
        <v>132</v>
      </c>
      <c r="AP728">
        <f t="shared" si="347"/>
        <v>100</v>
      </c>
      <c r="AQ728">
        <f t="shared" si="348"/>
        <v>90</v>
      </c>
      <c r="AR728">
        <f t="shared" si="349"/>
        <v>76</v>
      </c>
      <c r="AS728">
        <f t="shared" si="350"/>
        <v>101</v>
      </c>
      <c r="AT728">
        <f t="shared" si="351"/>
        <v>92</v>
      </c>
      <c r="AU728">
        <f t="shared" si="352"/>
        <v>60</v>
      </c>
      <c r="AV728">
        <f t="shared" si="353"/>
        <v>54</v>
      </c>
      <c r="AW728">
        <f t="shared" si="354"/>
        <v>40</v>
      </c>
      <c r="AX728">
        <f t="shared" si="355"/>
        <v>128</v>
      </c>
      <c r="AY728">
        <f t="shared" si="356"/>
        <v>117</v>
      </c>
      <c r="AZ728">
        <f t="shared" si="357"/>
        <v>85</v>
      </c>
      <c r="BA728">
        <f t="shared" si="358"/>
        <v>76</v>
      </c>
      <c r="BB728">
        <f t="shared" si="359"/>
        <v>63</v>
      </c>
    </row>
    <row r="729" spans="1:54" x14ac:dyDescent="0.15">
      <c r="A729">
        <v>472</v>
      </c>
      <c r="B729" t="s">
        <v>2577</v>
      </c>
      <c r="C729">
        <v>570</v>
      </c>
      <c r="D729">
        <v>1</v>
      </c>
      <c r="E729" t="s">
        <v>2573</v>
      </c>
      <c r="F729" t="s">
        <v>367</v>
      </c>
      <c r="G729" t="s">
        <v>2578</v>
      </c>
      <c r="H729" t="s">
        <v>2579</v>
      </c>
      <c r="J729" t="s">
        <v>2580</v>
      </c>
      <c r="K729">
        <v>12.5</v>
      </c>
      <c r="L729">
        <v>0.7</v>
      </c>
      <c r="M729" t="s">
        <v>120</v>
      </c>
      <c r="N729" t="s">
        <v>546</v>
      </c>
      <c r="O729" t="s">
        <v>2576</v>
      </c>
      <c r="R729">
        <v>9</v>
      </c>
      <c r="S729">
        <v>35</v>
      </c>
      <c r="T729">
        <v>60</v>
      </c>
      <c r="U729">
        <v>40</v>
      </c>
      <c r="V729">
        <v>85</v>
      </c>
      <c r="W729">
        <v>40</v>
      </c>
      <c r="X729">
        <v>70</v>
      </c>
      <c r="Y729">
        <f t="shared" si="330"/>
        <v>142</v>
      </c>
      <c r="Z729">
        <f t="shared" si="331"/>
        <v>142</v>
      </c>
      <c r="AA729">
        <f t="shared" si="332"/>
        <v>110</v>
      </c>
      <c r="AB729">
        <f t="shared" si="333"/>
        <v>110</v>
      </c>
      <c r="AC729">
        <f t="shared" si="334"/>
        <v>95</v>
      </c>
      <c r="AD729">
        <f t="shared" si="335"/>
        <v>123</v>
      </c>
      <c r="AE729">
        <f t="shared" si="336"/>
        <v>112</v>
      </c>
      <c r="AF729">
        <f t="shared" si="337"/>
        <v>80</v>
      </c>
      <c r="AG729">
        <f t="shared" si="338"/>
        <v>72</v>
      </c>
      <c r="AH729">
        <f t="shared" si="339"/>
        <v>58</v>
      </c>
      <c r="AI729">
        <f t="shared" si="340"/>
        <v>101</v>
      </c>
      <c r="AJ729">
        <f t="shared" si="341"/>
        <v>92</v>
      </c>
      <c r="AK729">
        <f t="shared" si="342"/>
        <v>60</v>
      </c>
      <c r="AL729">
        <f t="shared" si="343"/>
        <v>54</v>
      </c>
      <c r="AM729">
        <f t="shared" si="344"/>
        <v>40</v>
      </c>
      <c r="AN729">
        <f t="shared" si="345"/>
        <v>150</v>
      </c>
      <c r="AO729">
        <f t="shared" si="346"/>
        <v>137</v>
      </c>
      <c r="AP729">
        <f t="shared" si="347"/>
        <v>105</v>
      </c>
      <c r="AQ729">
        <f t="shared" si="348"/>
        <v>94</v>
      </c>
      <c r="AR729">
        <f t="shared" si="349"/>
        <v>81</v>
      </c>
      <c r="AS729">
        <f t="shared" si="350"/>
        <v>101</v>
      </c>
      <c r="AT729">
        <f t="shared" si="351"/>
        <v>92</v>
      </c>
      <c r="AU729">
        <f t="shared" si="352"/>
        <v>60</v>
      </c>
      <c r="AV729">
        <f t="shared" si="353"/>
        <v>54</v>
      </c>
      <c r="AW729">
        <f t="shared" si="354"/>
        <v>40</v>
      </c>
      <c r="AX729">
        <f t="shared" si="355"/>
        <v>134</v>
      </c>
      <c r="AY729">
        <f t="shared" si="356"/>
        <v>122</v>
      </c>
      <c r="AZ729">
        <f t="shared" si="357"/>
        <v>90</v>
      </c>
      <c r="BA729">
        <f t="shared" si="358"/>
        <v>81</v>
      </c>
      <c r="BB729">
        <f t="shared" si="359"/>
        <v>67</v>
      </c>
    </row>
    <row r="730" spans="1:54" x14ac:dyDescent="0.15">
      <c r="A730">
        <v>473</v>
      </c>
      <c r="B730" t="s">
        <v>2581</v>
      </c>
      <c r="C730">
        <v>571</v>
      </c>
      <c r="D730">
        <v>0</v>
      </c>
      <c r="E730" t="s">
        <v>2582</v>
      </c>
      <c r="G730" t="s">
        <v>2582</v>
      </c>
      <c r="H730" t="s">
        <v>2583</v>
      </c>
      <c r="J730" t="s">
        <v>2584</v>
      </c>
      <c r="K730">
        <v>81.099999999999994</v>
      </c>
      <c r="L730">
        <v>1.6</v>
      </c>
      <c r="M730" t="s">
        <v>140</v>
      </c>
      <c r="O730" t="s">
        <v>2576</v>
      </c>
      <c r="R730">
        <v>9</v>
      </c>
      <c r="S730">
        <v>60</v>
      </c>
      <c r="T730">
        <v>105</v>
      </c>
      <c r="U730">
        <v>60</v>
      </c>
      <c r="V730">
        <v>120</v>
      </c>
      <c r="W730">
        <v>60</v>
      </c>
      <c r="X730">
        <v>105</v>
      </c>
      <c r="Y730">
        <f t="shared" si="330"/>
        <v>167</v>
      </c>
      <c r="Z730">
        <f t="shared" si="331"/>
        <v>167</v>
      </c>
      <c r="AA730">
        <f t="shared" si="332"/>
        <v>135</v>
      </c>
      <c r="AB730">
        <f t="shared" si="333"/>
        <v>135</v>
      </c>
      <c r="AC730">
        <f t="shared" si="334"/>
        <v>120</v>
      </c>
      <c r="AD730">
        <f t="shared" si="335"/>
        <v>172</v>
      </c>
      <c r="AE730">
        <f t="shared" si="336"/>
        <v>157</v>
      </c>
      <c r="AF730">
        <f t="shared" si="337"/>
        <v>125</v>
      </c>
      <c r="AG730">
        <f t="shared" si="338"/>
        <v>112</v>
      </c>
      <c r="AH730">
        <f t="shared" si="339"/>
        <v>99</v>
      </c>
      <c r="AI730">
        <f t="shared" si="340"/>
        <v>123</v>
      </c>
      <c r="AJ730">
        <f t="shared" si="341"/>
        <v>112</v>
      </c>
      <c r="AK730">
        <f t="shared" si="342"/>
        <v>80</v>
      </c>
      <c r="AL730">
        <f t="shared" si="343"/>
        <v>72</v>
      </c>
      <c r="AM730">
        <f t="shared" si="344"/>
        <v>58</v>
      </c>
      <c r="AN730">
        <f t="shared" si="345"/>
        <v>189</v>
      </c>
      <c r="AO730">
        <f t="shared" si="346"/>
        <v>172</v>
      </c>
      <c r="AP730">
        <f t="shared" si="347"/>
        <v>140</v>
      </c>
      <c r="AQ730">
        <f t="shared" si="348"/>
        <v>126</v>
      </c>
      <c r="AR730">
        <f t="shared" si="349"/>
        <v>112</v>
      </c>
      <c r="AS730">
        <f t="shared" si="350"/>
        <v>123</v>
      </c>
      <c r="AT730">
        <f t="shared" si="351"/>
        <v>112</v>
      </c>
      <c r="AU730">
        <f t="shared" si="352"/>
        <v>80</v>
      </c>
      <c r="AV730">
        <f t="shared" si="353"/>
        <v>72</v>
      </c>
      <c r="AW730">
        <f t="shared" si="354"/>
        <v>58</v>
      </c>
      <c r="AX730">
        <f t="shared" si="355"/>
        <v>172</v>
      </c>
      <c r="AY730">
        <f t="shared" si="356"/>
        <v>157</v>
      </c>
      <c r="AZ730">
        <f t="shared" si="357"/>
        <v>125</v>
      </c>
      <c r="BA730">
        <f t="shared" si="358"/>
        <v>112</v>
      </c>
      <c r="BB730">
        <f t="shared" si="359"/>
        <v>99</v>
      </c>
    </row>
    <row r="731" spans="1:54" x14ac:dyDescent="0.15">
      <c r="A731">
        <v>474</v>
      </c>
      <c r="B731" t="s">
        <v>2585</v>
      </c>
      <c r="C731">
        <v>571</v>
      </c>
      <c r="D731">
        <v>1</v>
      </c>
      <c r="E731" t="s">
        <v>2582</v>
      </c>
      <c r="F731" t="s">
        <v>367</v>
      </c>
      <c r="G731" t="s">
        <v>2586</v>
      </c>
      <c r="H731" t="s">
        <v>2587</v>
      </c>
      <c r="J731" t="s">
        <v>2588</v>
      </c>
      <c r="K731">
        <v>73</v>
      </c>
      <c r="L731">
        <v>1.6</v>
      </c>
      <c r="M731" t="s">
        <v>120</v>
      </c>
      <c r="N731" t="s">
        <v>546</v>
      </c>
      <c r="O731" t="s">
        <v>2576</v>
      </c>
      <c r="R731">
        <v>9</v>
      </c>
      <c r="S731">
        <v>55</v>
      </c>
      <c r="T731">
        <v>100</v>
      </c>
      <c r="U731">
        <v>60</v>
      </c>
      <c r="V731">
        <v>125</v>
      </c>
      <c r="W731">
        <v>60</v>
      </c>
      <c r="X731">
        <v>110</v>
      </c>
      <c r="Y731">
        <f t="shared" si="330"/>
        <v>162</v>
      </c>
      <c r="Z731">
        <f t="shared" si="331"/>
        <v>162</v>
      </c>
      <c r="AA731">
        <f t="shared" si="332"/>
        <v>130</v>
      </c>
      <c r="AB731">
        <f t="shared" si="333"/>
        <v>130</v>
      </c>
      <c r="AC731">
        <f t="shared" si="334"/>
        <v>115</v>
      </c>
      <c r="AD731">
        <f t="shared" si="335"/>
        <v>167</v>
      </c>
      <c r="AE731">
        <f t="shared" si="336"/>
        <v>152</v>
      </c>
      <c r="AF731">
        <f t="shared" si="337"/>
        <v>120</v>
      </c>
      <c r="AG731">
        <f t="shared" si="338"/>
        <v>108</v>
      </c>
      <c r="AH731">
        <f t="shared" si="339"/>
        <v>94</v>
      </c>
      <c r="AI731">
        <f t="shared" si="340"/>
        <v>123</v>
      </c>
      <c r="AJ731">
        <f t="shared" si="341"/>
        <v>112</v>
      </c>
      <c r="AK731">
        <f t="shared" si="342"/>
        <v>80</v>
      </c>
      <c r="AL731">
        <f t="shared" si="343"/>
        <v>72</v>
      </c>
      <c r="AM731">
        <f t="shared" si="344"/>
        <v>58</v>
      </c>
      <c r="AN731">
        <f t="shared" si="345"/>
        <v>194</v>
      </c>
      <c r="AO731">
        <f t="shared" si="346"/>
        <v>177</v>
      </c>
      <c r="AP731">
        <f t="shared" si="347"/>
        <v>145</v>
      </c>
      <c r="AQ731">
        <f t="shared" si="348"/>
        <v>130</v>
      </c>
      <c r="AR731">
        <f t="shared" si="349"/>
        <v>117</v>
      </c>
      <c r="AS731">
        <f t="shared" si="350"/>
        <v>123</v>
      </c>
      <c r="AT731">
        <f t="shared" si="351"/>
        <v>112</v>
      </c>
      <c r="AU731">
        <f t="shared" si="352"/>
        <v>80</v>
      </c>
      <c r="AV731">
        <f t="shared" si="353"/>
        <v>72</v>
      </c>
      <c r="AW731">
        <f t="shared" si="354"/>
        <v>58</v>
      </c>
      <c r="AX731">
        <f t="shared" si="355"/>
        <v>178</v>
      </c>
      <c r="AY731">
        <f t="shared" si="356"/>
        <v>162</v>
      </c>
      <c r="AZ731">
        <f t="shared" si="357"/>
        <v>130</v>
      </c>
      <c r="BA731">
        <f t="shared" si="358"/>
        <v>117</v>
      </c>
      <c r="BB731">
        <f t="shared" si="359"/>
        <v>103</v>
      </c>
    </row>
    <row r="732" spans="1:54" x14ac:dyDescent="0.15">
      <c r="A732">
        <v>475</v>
      </c>
      <c r="B732" t="s">
        <v>2589</v>
      </c>
      <c r="C732">
        <v>572</v>
      </c>
      <c r="D732">
        <v>0</v>
      </c>
      <c r="E732" t="s">
        <v>2590</v>
      </c>
      <c r="G732" t="s">
        <v>2590</v>
      </c>
      <c r="H732" t="s">
        <v>2591</v>
      </c>
      <c r="J732" t="s">
        <v>2592</v>
      </c>
      <c r="K732">
        <v>5.8</v>
      </c>
      <c r="L732">
        <v>0.4</v>
      </c>
      <c r="M732" t="s">
        <v>120</v>
      </c>
      <c r="O732" t="s">
        <v>234</v>
      </c>
      <c r="P732" t="s">
        <v>322</v>
      </c>
      <c r="Q732" t="s">
        <v>537</v>
      </c>
      <c r="R732">
        <v>9</v>
      </c>
      <c r="S732">
        <v>55</v>
      </c>
      <c r="T732">
        <v>50</v>
      </c>
      <c r="U732">
        <v>40</v>
      </c>
      <c r="V732">
        <v>40</v>
      </c>
      <c r="W732">
        <v>40</v>
      </c>
      <c r="X732">
        <v>75</v>
      </c>
      <c r="Y732">
        <f t="shared" si="330"/>
        <v>162</v>
      </c>
      <c r="Z732">
        <f t="shared" si="331"/>
        <v>162</v>
      </c>
      <c r="AA732">
        <f t="shared" si="332"/>
        <v>130</v>
      </c>
      <c r="AB732">
        <f t="shared" si="333"/>
        <v>130</v>
      </c>
      <c r="AC732">
        <f t="shared" si="334"/>
        <v>115</v>
      </c>
      <c r="AD732">
        <f t="shared" si="335"/>
        <v>112</v>
      </c>
      <c r="AE732">
        <f t="shared" si="336"/>
        <v>102</v>
      </c>
      <c r="AF732">
        <f t="shared" si="337"/>
        <v>70</v>
      </c>
      <c r="AG732">
        <f t="shared" si="338"/>
        <v>63</v>
      </c>
      <c r="AH732">
        <f t="shared" si="339"/>
        <v>49</v>
      </c>
      <c r="AI732">
        <f t="shared" si="340"/>
        <v>101</v>
      </c>
      <c r="AJ732">
        <f t="shared" si="341"/>
        <v>92</v>
      </c>
      <c r="AK732">
        <f t="shared" si="342"/>
        <v>60</v>
      </c>
      <c r="AL732">
        <f t="shared" si="343"/>
        <v>54</v>
      </c>
      <c r="AM732">
        <f t="shared" si="344"/>
        <v>40</v>
      </c>
      <c r="AN732">
        <f t="shared" si="345"/>
        <v>101</v>
      </c>
      <c r="AO732">
        <f t="shared" si="346"/>
        <v>92</v>
      </c>
      <c r="AP732">
        <f t="shared" si="347"/>
        <v>60</v>
      </c>
      <c r="AQ732">
        <f t="shared" si="348"/>
        <v>54</v>
      </c>
      <c r="AR732">
        <f t="shared" si="349"/>
        <v>40</v>
      </c>
      <c r="AS732">
        <f t="shared" si="350"/>
        <v>101</v>
      </c>
      <c r="AT732">
        <f t="shared" si="351"/>
        <v>92</v>
      </c>
      <c r="AU732">
        <f t="shared" si="352"/>
        <v>60</v>
      </c>
      <c r="AV732">
        <f t="shared" si="353"/>
        <v>54</v>
      </c>
      <c r="AW732">
        <f t="shared" si="354"/>
        <v>40</v>
      </c>
      <c r="AX732">
        <f t="shared" si="355"/>
        <v>139</v>
      </c>
      <c r="AY732">
        <f t="shared" si="356"/>
        <v>127</v>
      </c>
      <c r="AZ732">
        <f t="shared" si="357"/>
        <v>95</v>
      </c>
      <c r="BA732">
        <f t="shared" si="358"/>
        <v>85</v>
      </c>
      <c r="BB732">
        <f t="shared" si="359"/>
        <v>72</v>
      </c>
    </row>
    <row r="733" spans="1:54" x14ac:dyDescent="0.15">
      <c r="A733">
        <v>476</v>
      </c>
      <c r="B733" t="s">
        <v>2593</v>
      </c>
      <c r="C733">
        <v>573</v>
      </c>
      <c r="D733">
        <v>0</v>
      </c>
      <c r="E733" t="s">
        <v>2594</v>
      </c>
      <c r="G733" t="s">
        <v>2594</v>
      </c>
      <c r="H733" t="s">
        <v>2595</v>
      </c>
      <c r="J733" t="s">
        <v>2596</v>
      </c>
      <c r="K733">
        <v>7.5</v>
      </c>
      <c r="L733">
        <v>0.5</v>
      </c>
      <c r="M733" t="s">
        <v>120</v>
      </c>
      <c r="O733" t="s">
        <v>234</v>
      </c>
      <c r="P733" t="s">
        <v>322</v>
      </c>
      <c r="Q733" t="s">
        <v>537</v>
      </c>
      <c r="R733">
        <v>9</v>
      </c>
      <c r="S733">
        <v>75</v>
      </c>
      <c r="T733">
        <v>95</v>
      </c>
      <c r="U733">
        <v>60</v>
      </c>
      <c r="V733">
        <v>65</v>
      </c>
      <c r="W733">
        <v>60</v>
      </c>
      <c r="X733">
        <v>115</v>
      </c>
      <c r="Y733">
        <f t="shared" si="330"/>
        <v>182</v>
      </c>
      <c r="Z733">
        <f t="shared" si="331"/>
        <v>182</v>
      </c>
      <c r="AA733">
        <f t="shared" si="332"/>
        <v>150</v>
      </c>
      <c r="AB733">
        <f t="shared" si="333"/>
        <v>150</v>
      </c>
      <c r="AC733">
        <f t="shared" si="334"/>
        <v>135</v>
      </c>
      <c r="AD733">
        <f t="shared" si="335"/>
        <v>161</v>
      </c>
      <c r="AE733">
        <f t="shared" si="336"/>
        <v>147</v>
      </c>
      <c r="AF733">
        <f t="shared" si="337"/>
        <v>115</v>
      </c>
      <c r="AG733">
        <f t="shared" si="338"/>
        <v>103</v>
      </c>
      <c r="AH733">
        <f t="shared" si="339"/>
        <v>90</v>
      </c>
      <c r="AI733">
        <f t="shared" si="340"/>
        <v>123</v>
      </c>
      <c r="AJ733">
        <f t="shared" si="341"/>
        <v>112</v>
      </c>
      <c r="AK733">
        <f t="shared" si="342"/>
        <v>80</v>
      </c>
      <c r="AL733">
        <f t="shared" si="343"/>
        <v>72</v>
      </c>
      <c r="AM733">
        <f t="shared" si="344"/>
        <v>58</v>
      </c>
      <c r="AN733">
        <f t="shared" si="345"/>
        <v>128</v>
      </c>
      <c r="AO733">
        <f t="shared" si="346"/>
        <v>117</v>
      </c>
      <c r="AP733">
        <f t="shared" si="347"/>
        <v>85</v>
      </c>
      <c r="AQ733">
        <f t="shared" si="348"/>
        <v>76</v>
      </c>
      <c r="AR733">
        <f t="shared" si="349"/>
        <v>63</v>
      </c>
      <c r="AS733">
        <f t="shared" si="350"/>
        <v>123</v>
      </c>
      <c r="AT733">
        <f t="shared" si="351"/>
        <v>112</v>
      </c>
      <c r="AU733">
        <f t="shared" si="352"/>
        <v>80</v>
      </c>
      <c r="AV733">
        <f t="shared" si="353"/>
        <v>72</v>
      </c>
      <c r="AW733">
        <f t="shared" si="354"/>
        <v>58</v>
      </c>
      <c r="AX733">
        <f t="shared" si="355"/>
        <v>183</v>
      </c>
      <c r="AY733">
        <f t="shared" si="356"/>
        <v>167</v>
      </c>
      <c r="AZ733">
        <f t="shared" si="357"/>
        <v>135</v>
      </c>
      <c r="BA733">
        <f t="shared" si="358"/>
        <v>121</v>
      </c>
      <c r="BB733">
        <f t="shared" si="359"/>
        <v>108</v>
      </c>
    </row>
    <row r="734" spans="1:54" x14ac:dyDescent="0.15">
      <c r="A734">
        <v>477</v>
      </c>
      <c r="B734" t="s">
        <v>2597</v>
      </c>
      <c r="C734">
        <v>574</v>
      </c>
      <c r="D734">
        <v>0</v>
      </c>
      <c r="E734" t="s">
        <v>2598</v>
      </c>
      <c r="G734" t="s">
        <v>2598</v>
      </c>
      <c r="H734" t="s">
        <v>2599</v>
      </c>
      <c r="J734" t="s">
        <v>2600</v>
      </c>
      <c r="K734">
        <v>5.8</v>
      </c>
      <c r="L734">
        <v>0.4</v>
      </c>
      <c r="M734" t="s">
        <v>191</v>
      </c>
      <c r="O734" t="s">
        <v>264</v>
      </c>
      <c r="P734" t="s">
        <v>260</v>
      </c>
      <c r="Q734" t="s">
        <v>557</v>
      </c>
      <c r="R734">
        <v>9</v>
      </c>
      <c r="S734">
        <v>45</v>
      </c>
      <c r="T734">
        <v>30</v>
      </c>
      <c r="U734">
        <v>50</v>
      </c>
      <c r="V734">
        <v>55</v>
      </c>
      <c r="W734">
        <v>65</v>
      </c>
      <c r="X734">
        <v>45</v>
      </c>
      <c r="Y734">
        <f t="shared" si="330"/>
        <v>152</v>
      </c>
      <c r="Z734">
        <f t="shared" si="331"/>
        <v>152</v>
      </c>
      <c r="AA734">
        <f t="shared" si="332"/>
        <v>120</v>
      </c>
      <c r="AB734">
        <f t="shared" si="333"/>
        <v>120</v>
      </c>
      <c r="AC734">
        <f t="shared" si="334"/>
        <v>105</v>
      </c>
      <c r="AD734">
        <f t="shared" si="335"/>
        <v>90</v>
      </c>
      <c r="AE734">
        <f t="shared" si="336"/>
        <v>82</v>
      </c>
      <c r="AF734">
        <f t="shared" si="337"/>
        <v>50</v>
      </c>
      <c r="AG734">
        <f t="shared" si="338"/>
        <v>45</v>
      </c>
      <c r="AH734">
        <f t="shared" si="339"/>
        <v>31</v>
      </c>
      <c r="AI734">
        <f t="shared" si="340"/>
        <v>112</v>
      </c>
      <c r="AJ734">
        <f t="shared" si="341"/>
        <v>102</v>
      </c>
      <c r="AK734">
        <f t="shared" si="342"/>
        <v>70</v>
      </c>
      <c r="AL734">
        <f t="shared" si="343"/>
        <v>63</v>
      </c>
      <c r="AM734">
        <f t="shared" si="344"/>
        <v>49</v>
      </c>
      <c r="AN734">
        <f t="shared" si="345"/>
        <v>117</v>
      </c>
      <c r="AO734">
        <f t="shared" si="346"/>
        <v>107</v>
      </c>
      <c r="AP734">
        <f t="shared" si="347"/>
        <v>75</v>
      </c>
      <c r="AQ734">
        <f t="shared" si="348"/>
        <v>67</v>
      </c>
      <c r="AR734">
        <f t="shared" si="349"/>
        <v>54</v>
      </c>
      <c r="AS734">
        <f t="shared" si="350"/>
        <v>128</v>
      </c>
      <c r="AT734">
        <f t="shared" si="351"/>
        <v>117</v>
      </c>
      <c r="AU734">
        <f t="shared" si="352"/>
        <v>85</v>
      </c>
      <c r="AV734">
        <f t="shared" si="353"/>
        <v>76</v>
      </c>
      <c r="AW734">
        <f t="shared" si="354"/>
        <v>63</v>
      </c>
      <c r="AX734">
        <f t="shared" si="355"/>
        <v>106</v>
      </c>
      <c r="AY734">
        <f t="shared" si="356"/>
        <v>97</v>
      </c>
      <c r="AZ734">
        <f t="shared" si="357"/>
        <v>65</v>
      </c>
      <c r="BA734">
        <f t="shared" si="358"/>
        <v>58</v>
      </c>
      <c r="BB734">
        <f t="shared" si="359"/>
        <v>45</v>
      </c>
    </row>
    <row r="735" spans="1:54" x14ac:dyDescent="0.15">
      <c r="A735">
        <v>478</v>
      </c>
      <c r="B735" t="s">
        <v>2601</v>
      </c>
      <c r="C735">
        <v>575</v>
      </c>
      <c r="D735">
        <v>0</v>
      </c>
      <c r="E735" t="s">
        <v>2602</v>
      </c>
      <c r="G735" t="s">
        <v>2602</v>
      </c>
      <c r="H735" t="s">
        <v>2603</v>
      </c>
      <c r="J735" t="s">
        <v>1544</v>
      </c>
      <c r="K735">
        <v>18</v>
      </c>
      <c r="L735">
        <v>0.7</v>
      </c>
      <c r="M735" t="s">
        <v>191</v>
      </c>
      <c r="O735" t="s">
        <v>264</v>
      </c>
      <c r="P735" t="s">
        <v>260</v>
      </c>
      <c r="Q735" t="s">
        <v>557</v>
      </c>
      <c r="R735">
        <v>9</v>
      </c>
      <c r="S735">
        <v>60</v>
      </c>
      <c r="T735">
        <v>45</v>
      </c>
      <c r="U735">
        <v>70</v>
      </c>
      <c r="V735">
        <v>75</v>
      </c>
      <c r="W735">
        <v>85</v>
      </c>
      <c r="X735">
        <v>55</v>
      </c>
      <c r="Y735">
        <f t="shared" si="330"/>
        <v>167</v>
      </c>
      <c r="Z735">
        <f t="shared" si="331"/>
        <v>167</v>
      </c>
      <c r="AA735">
        <f t="shared" si="332"/>
        <v>135</v>
      </c>
      <c r="AB735">
        <f t="shared" si="333"/>
        <v>135</v>
      </c>
      <c r="AC735">
        <f t="shared" si="334"/>
        <v>120</v>
      </c>
      <c r="AD735">
        <f t="shared" si="335"/>
        <v>106</v>
      </c>
      <c r="AE735">
        <f t="shared" si="336"/>
        <v>97</v>
      </c>
      <c r="AF735">
        <f t="shared" si="337"/>
        <v>65</v>
      </c>
      <c r="AG735">
        <f t="shared" si="338"/>
        <v>58</v>
      </c>
      <c r="AH735">
        <f t="shared" si="339"/>
        <v>45</v>
      </c>
      <c r="AI735">
        <f t="shared" si="340"/>
        <v>134</v>
      </c>
      <c r="AJ735">
        <f t="shared" si="341"/>
        <v>122</v>
      </c>
      <c r="AK735">
        <f t="shared" si="342"/>
        <v>90</v>
      </c>
      <c r="AL735">
        <f t="shared" si="343"/>
        <v>81</v>
      </c>
      <c r="AM735">
        <f t="shared" si="344"/>
        <v>67</v>
      </c>
      <c r="AN735">
        <f t="shared" si="345"/>
        <v>139</v>
      </c>
      <c r="AO735">
        <f t="shared" si="346"/>
        <v>127</v>
      </c>
      <c r="AP735">
        <f t="shared" si="347"/>
        <v>95</v>
      </c>
      <c r="AQ735">
        <f t="shared" si="348"/>
        <v>85</v>
      </c>
      <c r="AR735">
        <f t="shared" si="349"/>
        <v>72</v>
      </c>
      <c r="AS735">
        <f t="shared" si="350"/>
        <v>150</v>
      </c>
      <c r="AT735">
        <f t="shared" si="351"/>
        <v>137</v>
      </c>
      <c r="AU735">
        <f t="shared" si="352"/>
        <v>105</v>
      </c>
      <c r="AV735">
        <f t="shared" si="353"/>
        <v>94</v>
      </c>
      <c r="AW735">
        <f t="shared" si="354"/>
        <v>81</v>
      </c>
      <c r="AX735">
        <f t="shared" si="355"/>
        <v>117</v>
      </c>
      <c r="AY735">
        <f t="shared" si="356"/>
        <v>107</v>
      </c>
      <c r="AZ735">
        <f t="shared" si="357"/>
        <v>75</v>
      </c>
      <c r="BA735">
        <f t="shared" si="358"/>
        <v>67</v>
      </c>
      <c r="BB735">
        <f t="shared" si="359"/>
        <v>54</v>
      </c>
    </row>
    <row r="736" spans="1:54" x14ac:dyDescent="0.15">
      <c r="A736">
        <v>479</v>
      </c>
      <c r="B736" t="s">
        <v>2604</v>
      </c>
      <c r="C736">
        <v>576</v>
      </c>
      <c r="D736">
        <v>0</v>
      </c>
      <c r="E736" t="s">
        <v>2605</v>
      </c>
      <c r="G736" t="s">
        <v>2605</v>
      </c>
      <c r="H736" t="s">
        <v>2606</v>
      </c>
      <c r="J736" t="s">
        <v>2607</v>
      </c>
      <c r="K736">
        <v>44</v>
      </c>
      <c r="L736">
        <v>1.5</v>
      </c>
      <c r="M736" t="s">
        <v>191</v>
      </c>
      <c r="O736" t="s">
        <v>264</v>
      </c>
      <c r="P736" t="s">
        <v>260</v>
      </c>
      <c r="Q736" t="s">
        <v>557</v>
      </c>
      <c r="R736">
        <v>9</v>
      </c>
      <c r="S736">
        <v>70</v>
      </c>
      <c r="T736">
        <v>55</v>
      </c>
      <c r="U736">
        <v>95</v>
      </c>
      <c r="V736">
        <v>95</v>
      </c>
      <c r="W736">
        <v>110</v>
      </c>
      <c r="X736">
        <v>65</v>
      </c>
      <c r="Y736">
        <f t="shared" si="330"/>
        <v>177</v>
      </c>
      <c r="Z736">
        <f t="shared" si="331"/>
        <v>177</v>
      </c>
      <c r="AA736">
        <f t="shared" si="332"/>
        <v>145</v>
      </c>
      <c r="AB736">
        <f t="shared" si="333"/>
        <v>145</v>
      </c>
      <c r="AC736">
        <f t="shared" si="334"/>
        <v>130</v>
      </c>
      <c r="AD736">
        <f t="shared" si="335"/>
        <v>117</v>
      </c>
      <c r="AE736">
        <f t="shared" si="336"/>
        <v>107</v>
      </c>
      <c r="AF736">
        <f t="shared" si="337"/>
        <v>75</v>
      </c>
      <c r="AG736">
        <f t="shared" si="338"/>
        <v>67</v>
      </c>
      <c r="AH736">
        <f t="shared" si="339"/>
        <v>54</v>
      </c>
      <c r="AI736">
        <f t="shared" si="340"/>
        <v>161</v>
      </c>
      <c r="AJ736">
        <f t="shared" si="341"/>
        <v>147</v>
      </c>
      <c r="AK736">
        <f t="shared" si="342"/>
        <v>115</v>
      </c>
      <c r="AL736">
        <f t="shared" si="343"/>
        <v>103</v>
      </c>
      <c r="AM736">
        <f t="shared" si="344"/>
        <v>90</v>
      </c>
      <c r="AN736">
        <f t="shared" si="345"/>
        <v>161</v>
      </c>
      <c r="AO736">
        <f t="shared" si="346"/>
        <v>147</v>
      </c>
      <c r="AP736">
        <f t="shared" si="347"/>
        <v>115</v>
      </c>
      <c r="AQ736">
        <f t="shared" si="348"/>
        <v>103</v>
      </c>
      <c r="AR736">
        <f t="shared" si="349"/>
        <v>90</v>
      </c>
      <c r="AS736">
        <f t="shared" si="350"/>
        <v>178</v>
      </c>
      <c r="AT736">
        <f t="shared" si="351"/>
        <v>162</v>
      </c>
      <c r="AU736">
        <f t="shared" si="352"/>
        <v>130</v>
      </c>
      <c r="AV736">
        <f t="shared" si="353"/>
        <v>117</v>
      </c>
      <c r="AW736">
        <f t="shared" si="354"/>
        <v>103</v>
      </c>
      <c r="AX736">
        <f t="shared" si="355"/>
        <v>128</v>
      </c>
      <c r="AY736">
        <f t="shared" si="356"/>
        <v>117</v>
      </c>
      <c r="AZ736">
        <f t="shared" si="357"/>
        <v>85</v>
      </c>
      <c r="BA736">
        <f t="shared" si="358"/>
        <v>76</v>
      </c>
      <c r="BB736">
        <f t="shared" si="359"/>
        <v>63</v>
      </c>
    </row>
    <row r="737" spans="1:54" x14ac:dyDescent="0.15">
      <c r="A737">
        <v>480</v>
      </c>
      <c r="B737" t="s">
        <v>2608</v>
      </c>
      <c r="C737">
        <v>577</v>
      </c>
      <c r="D737">
        <v>0</v>
      </c>
      <c r="E737" t="s">
        <v>2609</v>
      </c>
      <c r="G737" t="s">
        <v>2609</v>
      </c>
      <c r="H737" t="s">
        <v>2610</v>
      </c>
      <c r="J737" t="s">
        <v>2611</v>
      </c>
      <c r="K737">
        <v>1</v>
      </c>
      <c r="L737">
        <v>0.3</v>
      </c>
      <c r="M737" t="s">
        <v>191</v>
      </c>
      <c r="O737" t="s">
        <v>538</v>
      </c>
      <c r="P737" t="s">
        <v>235</v>
      </c>
      <c r="Q737" t="s">
        <v>471</v>
      </c>
      <c r="R737">
        <v>9</v>
      </c>
      <c r="S737">
        <v>45</v>
      </c>
      <c r="T737">
        <v>30</v>
      </c>
      <c r="U737">
        <v>40</v>
      </c>
      <c r="V737">
        <v>105</v>
      </c>
      <c r="W737">
        <v>50</v>
      </c>
      <c r="X737">
        <v>20</v>
      </c>
      <c r="Y737">
        <f t="shared" si="330"/>
        <v>152</v>
      </c>
      <c r="Z737">
        <f t="shared" si="331"/>
        <v>152</v>
      </c>
      <c r="AA737">
        <f t="shared" si="332"/>
        <v>120</v>
      </c>
      <c r="AB737">
        <f t="shared" si="333"/>
        <v>120</v>
      </c>
      <c r="AC737">
        <f t="shared" si="334"/>
        <v>105</v>
      </c>
      <c r="AD737">
        <f t="shared" si="335"/>
        <v>90</v>
      </c>
      <c r="AE737">
        <f t="shared" si="336"/>
        <v>82</v>
      </c>
      <c r="AF737">
        <f t="shared" si="337"/>
        <v>50</v>
      </c>
      <c r="AG737">
        <f t="shared" si="338"/>
        <v>45</v>
      </c>
      <c r="AH737">
        <f t="shared" si="339"/>
        <v>31</v>
      </c>
      <c r="AI737">
        <f t="shared" si="340"/>
        <v>101</v>
      </c>
      <c r="AJ737">
        <f t="shared" si="341"/>
        <v>92</v>
      </c>
      <c r="AK737">
        <f t="shared" si="342"/>
        <v>60</v>
      </c>
      <c r="AL737">
        <f t="shared" si="343"/>
        <v>54</v>
      </c>
      <c r="AM737">
        <f t="shared" si="344"/>
        <v>40</v>
      </c>
      <c r="AN737">
        <f t="shared" si="345"/>
        <v>172</v>
      </c>
      <c r="AO737">
        <f t="shared" si="346"/>
        <v>157</v>
      </c>
      <c r="AP737">
        <f t="shared" si="347"/>
        <v>125</v>
      </c>
      <c r="AQ737">
        <f t="shared" si="348"/>
        <v>112</v>
      </c>
      <c r="AR737">
        <f t="shared" si="349"/>
        <v>99</v>
      </c>
      <c r="AS737">
        <f t="shared" si="350"/>
        <v>112</v>
      </c>
      <c r="AT737">
        <f t="shared" si="351"/>
        <v>102</v>
      </c>
      <c r="AU737">
        <f t="shared" si="352"/>
        <v>70</v>
      </c>
      <c r="AV737">
        <f t="shared" si="353"/>
        <v>63</v>
      </c>
      <c r="AW737">
        <f t="shared" si="354"/>
        <v>49</v>
      </c>
      <c r="AX737">
        <f t="shared" si="355"/>
        <v>79</v>
      </c>
      <c r="AY737">
        <f t="shared" si="356"/>
        <v>72</v>
      </c>
      <c r="AZ737">
        <f t="shared" si="357"/>
        <v>40</v>
      </c>
      <c r="BA737">
        <f t="shared" si="358"/>
        <v>36</v>
      </c>
      <c r="BB737">
        <f t="shared" si="359"/>
        <v>22</v>
      </c>
    </row>
    <row r="738" spans="1:54" x14ac:dyDescent="0.15">
      <c r="A738">
        <v>481</v>
      </c>
      <c r="B738" t="s">
        <v>2612</v>
      </c>
      <c r="C738">
        <v>578</v>
      </c>
      <c r="D738">
        <v>0</v>
      </c>
      <c r="E738" t="s">
        <v>2613</v>
      </c>
      <c r="G738" t="s">
        <v>2613</v>
      </c>
      <c r="H738" t="s">
        <v>2614</v>
      </c>
      <c r="J738" t="s">
        <v>2615</v>
      </c>
      <c r="K738">
        <v>8</v>
      </c>
      <c r="L738">
        <v>0.6</v>
      </c>
      <c r="M738" t="s">
        <v>191</v>
      </c>
      <c r="O738" t="s">
        <v>538</v>
      </c>
      <c r="P738" t="s">
        <v>235</v>
      </c>
      <c r="Q738" t="s">
        <v>471</v>
      </c>
      <c r="R738">
        <v>9</v>
      </c>
      <c r="S738">
        <v>65</v>
      </c>
      <c r="T738">
        <v>40</v>
      </c>
      <c r="U738">
        <v>50</v>
      </c>
      <c r="V738">
        <v>125</v>
      </c>
      <c r="W738">
        <v>60</v>
      </c>
      <c r="X738">
        <v>30</v>
      </c>
      <c r="Y738">
        <f t="shared" si="330"/>
        <v>172</v>
      </c>
      <c r="Z738">
        <f t="shared" si="331"/>
        <v>172</v>
      </c>
      <c r="AA738">
        <f t="shared" si="332"/>
        <v>140</v>
      </c>
      <c r="AB738">
        <f t="shared" si="333"/>
        <v>140</v>
      </c>
      <c r="AC738">
        <f t="shared" si="334"/>
        <v>125</v>
      </c>
      <c r="AD738">
        <f t="shared" si="335"/>
        <v>101</v>
      </c>
      <c r="AE738">
        <f t="shared" si="336"/>
        <v>92</v>
      </c>
      <c r="AF738">
        <f t="shared" si="337"/>
        <v>60</v>
      </c>
      <c r="AG738">
        <f t="shared" si="338"/>
        <v>54</v>
      </c>
      <c r="AH738">
        <f t="shared" si="339"/>
        <v>40</v>
      </c>
      <c r="AI738">
        <f t="shared" si="340"/>
        <v>112</v>
      </c>
      <c r="AJ738">
        <f t="shared" si="341"/>
        <v>102</v>
      </c>
      <c r="AK738">
        <f t="shared" si="342"/>
        <v>70</v>
      </c>
      <c r="AL738">
        <f t="shared" si="343"/>
        <v>63</v>
      </c>
      <c r="AM738">
        <f t="shared" si="344"/>
        <v>49</v>
      </c>
      <c r="AN738">
        <f t="shared" si="345"/>
        <v>194</v>
      </c>
      <c r="AO738">
        <f t="shared" si="346"/>
        <v>177</v>
      </c>
      <c r="AP738">
        <f t="shared" si="347"/>
        <v>145</v>
      </c>
      <c r="AQ738">
        <f t="shared" si="348"/>
        <v>130</v>
      </c>
      <c r="AR738">
        <f t="shared" si="349"/>
        <v>117</v>
      </c>
      <c r="AS738">
        <f t="shared" si="350"/>
        <v>123</v>
      </c>
      <c r="AT738">
        <f t="shared" si="351"/>
        <v>112</v>
      </c>
      <c r="AU738">
        <f t="shared" si="352"/>
        <v>80</v>
      </c>
      <c r="AV738">
        <f t="shared" si="353"/>
        <v>72</v>
      </c>
      <c r="AW738">
        <f t="shared" si="354"/>
        <v>58</v>
      </c>
      <c r="AX738">
        <f t="shared" si="355"/>
        <v>90</v>
      </c>
      <c r="AY738">
        <f t="shared" si="356"/>
        <v>82</v>
      </c>
      <c r="AZ738">
        <f t="shared" si="357"/>
        <v>50</v>
      </c>
      <c r="BA738">
        <f t="shared" si="358"/>
        <v>45</v>
      </c>
      <c r="BB738">
        <f t="shared" si="359"/>
        <v>31</v>
      </c>
    </row>
    <row r="739" spans="1:54" x14ac:dyDescent="0.15">
      <c r="A739">
        <v>482</v>
      </c>
      <c r="B739" t="s">
        <v>2616</v>
      </c>
      <c r="C739">
        <v>579</v>
      </c>
      <c r="D739">
        <v>0</v>
      </c>
      <c r="E739" t="s">
        <v>2617</v>
      </c>
      <c r="G739" t="s">
        <v>2617</v>
      </c>
      <c r="H739" t="s">
        <v>2618</v>
      </c>
      <c r="J739" t="s">
        <v>2619</v>
      </c>
      <c r="K739">
        <v>20.100000000000001</v>
      </c>
      <c r="L739">
        <v>1</v>
      </c>
      <c r="M739" t="s">
        <v>191</v>
      </c>
      <c r="O739" t="s">
        <v>538</v>
      </c>
      <c r="P739" t="s">
        <v>235</v>
      </c>
      <c r="Q739" t="s">
        <v>471</v>
      </c>
      <c r="R739">
        <v>9</v>
      </c>
      <c r="S739">
        <v>110</v>
      </c>
      <c r="T739">
        <v>65</v>
      </c>
      <c r="U739">
        <v>75</v>
      </c>
      <c r="V739">
        <v>125</v>
      </c>
      <c r="W739">
        <v>85</v>
      </c>
      <c r="X739">
        <v>30</v>
      </c>
      <c r="Y739">
        <f t="shared" si="330"/>
        <v>217</v>
      </c>
      <c r="Z739">
        <f t="shared" si="331"/>
        <v>217</v>
      </c>
      <c r="AA739">
        <f t="shared" si="332"/>
        <v>185</v>
      </c>
      <c r="AB739">
        <f t="shared" si="333"/>
        <v>185</v>
      </c>
      <c r="AC739">
        <f t="shared" si="334"/>
        <v>170</v>
      </c>
      <c r="AD739">
        <f t="shared" si="335"/>
        <v>128</v>
      </c>
      <c r="AE739">
        <f t="shared" si="336"/>
        <v>117</v>
      </c>
      <c r="AF739">
        <f t="shared" si="337"/>
        <v>85</v>
      </c>
      <c r="AG739">
        <f t="shared" si="338"/>
        <v>76</v>
      </c>
      <c r="AH739">
        <f t="shared" si="339"/>
        <v>63</v>
      </c>
      <c r="AI739">
        <f t="shared" si="340"/>
        <v>139</v>
      </c>
      <c r="AJ739">
        <f t="shared" si="341"/>
        <v>127</v>
      </c>
      <c r="AK739">
        <f t="shared" si="342"/>
        <v>95</v>
      </c>
      <c r="AL739">
        <f t="shared" si="343"/>
        <v>85</v>
      </c>
      <c r="AM739">
        <f t="shared" si="344"/>
        <v>72</v>
      </c>
      <c r="AN739">
        <f t="shared" si="345"/>
        <v>194</v>
      </c>
      <c r="AO739">
        <f t="shared" si="346"/>
        <v>177</v>
      </c>
      <c r="AP739">
        <f t="shared" si="347"/>
        <v>145</v>
      </c>
      <c r="AQ739">
        <f t="shared" si="348"/>
        <v>130</v>
      </c>
      <c r="AR739">
        <f t="shared" si="349"/>
        <v>117</v>
      </c>
      <c r="AS739">
        <f t="shared" si="350"/>
        <v>150</v>
      </c>
      <c r="AT739">
        <f t="shared" si="351"/>
        <v>137</v>
      </c>
      <c r="AU739">
        <f t="shared" si="352"/>
        <v>105</v>
      </c>
      <c r="AV739">
        <f t="shared" si="353"/>
        <v>94</v>
      </c>
      <c r="AW739">
        <f t="shared" si="354"/>
        <v>81</v>
      </c>
      <c r="AX739">
        <f t="shared" si="355"/>
        <v>90</v>
      </c>
      <c r="AY739">
        <f t="shared" si="356"/>
        <v>82</v>
      </c>
      <c r="AZ739">
        <f t="shared" si="357"/>
        <v>50</v>
      </c>
      <c r="BA739">
        <f t="shared" si="358"/>
        <v>45</v>
      </c>
      <c r="BB739">
        <f t="shared" si="359"/>
        <v>31</v>
      </c>
    </row>
    <row r="740" spans="1:54" x14ac:dyDescent="0.15">
      <c r="A740">
        <v>483</v>
      </c>
      <c r="B740" t="s">
        <v>2620</v>
      </c>
      <c r="C740">
        <v>580</v>
      </c>
      <c r="D740">
        <v>0</v>
      </c>
      <c r="E740" t="s">
        <v>2621</v>
      </c>
      <c r="G740" t="s">
        <v>2621</v>
      </c>
      <c r="H740" t="s">
        <v>2622</v>
      </c>
      <c r="J740" t="s">
        <v>1353</v>
      </c>
      <c r="K740">
        <v>5.5</v>
      </c>
      <c r="L740">
        <v>0.5</v>
      </c>
      <c r="M740" t="s">
        <v>71</v>
      </c>
      <c r="N740" t="s">
        <v>57</v>
      </c>
      <c r="O740" t="s">
        <v>121</v>
      </c>
      <c r="P740" t="s">
        <v>123</v>
      </c>
      <c r="Q740" t="s">
        <v>513</v>
      </c>
      <c r="R740">
        <v>9</v>
      </c>
      <c r="S740">
        <v>62</v>
      </c>
      <c r="T740">
        <v>44</v>
      </c>
      <c r="U740">
        <v>50</v>
      </c>
      <c r="V740">
        <v>44</v>
      </c>
      <c r="W740">
        <v>50</v>
      </c>
      <c r="X740">
        <v>55</v>
      </c>
      <c r="Y740">
        <f t="shared" si="330"/>
        <v>169</v>
      </c>
      <c r="Z740">
        <f t="shared" si="331"/>
        <v>169</v>
      </c>
      <c r="AA740">
        <f t="shared" si="332"/>
        <v>137</v>
      </c>
      <c r="AB740">
        <f t="shared" si="333"/>
        <v>137</v>
      </c>
      <c r="AC740">
        <f t="shared" si="334"/>
        <v>122</v>
      </c>
      <c r="AD740">
        <f t="shared" si="335"/>
        <v>105</v>
      </c>
      <c r="AE740">
        <f t="shared" si="336"/>
        <v>96</v>
      </c>
      <c r="AF740">
        <f t="shared" si="337"/>
        <v>64</v>
      </c>
      <c r="AG740">
        <f t="shared" si="338"/>
        <v>57</v>
      </c>
      <c r="AH740">
        <f t="shared" si="339"/>
        <v>44</v>
      </c>
      <c r="AI740">
        <f t="shared" si="340"/>
        <v>112</v>
      </c>
      <c r="AJ740">
        <f t="shared" si="341"/>
        <v>102</v>
      </c>
      <c r="AK740">
        <f t="shared" si="342"/>
        <v>70</v>
      </c>
      <c r="AL740">
        <f t="shared" si="343"/>
        <v>63</v>
      </c>
      <c r="AM740">
        <f t="shared" si="344"/>
        <v>49</v>
      </c>
      <c r="AN740">
        <f t="shared" si="345"/>
        <v>105</v>
      </c>
      <c r="AO740">
        <f t="shared" si="346"/>
        <v>96</v>
      </c>
      <c r="AP740">
        <f t="shared" si="347"/>
        <v>64</v>
      </c>
      <c r="AQ740">
        <f t="shared" si="348"/>
        <v>57</v>
      </c>
      <c r="AR740">
        <f t="shared" si="349"/>
        <v>44</v>
      </c>
      <c r="AS740">
        <f t="shared" si="350"/>
        <v>112</v>
      </c>
      <c r="AT740">
        <f t="shared" si="351"/>
        <v>102</v>
      </c>
      <c r="AU740">
        <f t="shared" si="352"/>
        <v>70</v>
      </c>
      <c r="AV740">
        <f t="shared" si="353"/>
        <v>63</v>
      </c>
      <c r="AW740">
        <f t="shared" si="354"/>
        <v>49</v>
      </c>
      <c r="AX740">
        <f t="shared" si="355"/>
        <v>117</v>
      </c>
      <c r="AY740">
        <f t="shared" si="356"/>
        <v>107</v>
      </c>
      <c r="AZ740">
        <f t="shared" si="357"/>
        <v>75</v>
      </c>
      <c r="BA740">
        <f t="shared" si="358"/>
        <v>67</v>
      </c>
      <c r="BB740">
        <f t="shared" si="359"/>
        <v>54</v>
      </c>
    </row>
    <row r="741" spans="1:54" x14ac:dyDescent="0.15">
      <c r="A741">
        <v>484</v>
      </c>
      <c r="B741" t="s">
        <v>2623</v>
      </c>
      <c r="C741">
        <v>581</v>
      </c>
      <c r="D741">
        <v>0</v>
      </c>
      <c r="E741" t="s">
        <v>2624</v>
      </c>
      <c r="G741" t="s">
        <v>2624</v>
      </c>
      <c r="H741" t="s">
        <v>2625</v>
      </c>
      <c r="J741" t="s">
        <v>2626</v>
      </c>
      <c r="K741">
        <v>24.2</v>
      </c>
      <c r="L741">
        <v>1.3</v>
      </c>
      <c r="M741" t="s">
        <v>71</v>
      </c>
      <c r="N741" t="s">
        <v>57</v>
      </c>
      <c r="O741" t="s">
        <v>121</v>
      </c>
      <c r="P741" t="s">
        <v>123</v>
      </c>
      <c r="Q741" t="s">
        <v>513</v>
      </c>
      <c r="R741">
        <v>9</v>
      </c>
      <c r="S741">
        <v>75</v>
      </c>
      <c r="T741">
        <v>87</v>
      </c>
      <c r="U741">
        <v>63</v>
      </c>
      <c r="V741">
        <v>87</v>
      </c>
      <c r="W741">
        <v>63</v>
      </c>
      <c r="X741">
        <v>98</v>
      </c>
      <c r="Y741">
        <f t="shared" si="330"/>
        <v>182</v>
      </c>
      <c r="Z741">
        <f t="shared" si="331"/>
        <v>182</v>
      </c>
      <c r="AA741">
        <f t="shared" si="332"/>
        <v>150</v>
      </c>
      <c r="AB741">
        <f t="shared" si="333"/>
        <v>150</v>
      </c>
      <c r="AC741">
        <f t="shared" si="334"/>
        <v>135</v>
      </c>
      <c r="AD741">
        <f t="shared" si="335"/>
        <v>152</v>
      </c>
      <c r="AE741">
        <f t="shared" si="336"/>
        <v>139</v>
      </c>
      <c r="AF741">
        <f t="shared" si="337"/>
        <v>107</v>
      </c>
      <c r="AG741">
        <f t="shared" si="338"/>
        <v>96</v>
      </c>
      <c r="AH741">
        <f t="shared" si="339"/>
        <v>82</v>
      </c>
      <c r="AI741">
        <f t="shared" si="340"/>
        <v>126</v>
      </c>
      <c r="AJ741">
        <f t="shared" si="341"/>
        <v>115</v>
      </c>
      <c r="AK741">
        <f t="shared" si="342"/>
        <v>83</v>
      </c>
      <c r="AL741">
        <f t="shared" si="343"/>
        <v>74</v>
      </c>
      <c r="AM741">
        <f t="shared" si="344"/>
        <v>61</v>
      </c>
      <c r="AN741">
        <f t="shared" si="345"/>
        <v>152</v>
      </c>
      <c r="AO741">
        <f t="shared" si="346"/>
        <v>139</v>
      </c>
      <c r="AP741">
        <f t="shared" si="347"/>
        <v>107</v>
      </c>
      <c r="AQ741">
        <f t="shared" si="348"/>
        <v>96</v>
      </c>
      <c r="AR741">
        <f t="shared" si="349"/>
        <v>82</v>
      </c>
      <c r="AS741">
        <f t="shared" si="350"/>
        <v>126</v>
      </c>
      <c r="AT741">
        <f t="shared" si="351"/>
        <v>115</v>
      </c>
      <c r="AU741">
        <f t="shared" si="352"/>
        <v>83</v>
      </c>
      <c r="AV741">
        <f t="shared" si="353"/>
        <v>74</v>
      </c>
      <c r="AW741">
        <f t="shared" si="354"/>
        <v>61</v>
      </c>
      <c r="AX741">
        <f t="shared" si="355"/>
        <v>165</v>
      </c>
      <c r="AY741">
        <f t="shared" si="356"/>
        <v>150</v>
      </c>
      <c r="AZ741">
        <f t="shared" si="357"/>
        <v>118</v>
      </c>
      <c r="BA741">
        <f t="shared" si="358"/>
        <v>106</v>
      </c>
      <c r="BB741">
        <f t="shared" si="359"/>
        <v>92</v>
      </c>
    </row>
    <row r="742" spans="1:54" x14ac:dyDescent="0.15">
      <c r="B742" t="s">
        <v>2627</v>
      </c>
      <c r="C742">
        <v>582</v>
      </c>
      <c r="D742">
        <v>0</v>
      </c>
      <c r="E742" t="s">
        <v>2628</v>
      </c>
      <c r="G742" t="s">
        <v>2628</v>
      </c>
      <c r="J742" t="s">
        <v>2133</v>
      </c>
      <c r="K742">
        <v>5.7</v>
      </c>
      <c r="L742">
        <v>0.4</v>
      </c>
      <c r="M742" t="s">
        <v>202</v>
      </c>
      <c r="O742" t="s">
        <v>514</v>
      </c>
      <c r="P742" t="s">
        <v>204</v>
      </c>
      <c r="Q742" t="s">
        <v>563</v>
      </c>
      <c r="R742">
        <v>8</v>
      </c>
      <c r="S742">
        <v>36</v>
      </c>
      <c r="T742">
        <v>50</v>
      </c>
      <c r="U742">
        <v>50</v>
      </c>
      <c r="V742">
        <v>65</v>
      </c>
      <c r="W742">
        <v>60</v>
      </c>
      <c r="X742">
        <v>44</v>
      </c>
      <c r="Y742">
        <f t="shared" si="330"/>
        <v>143</v>
      </c>
      <c r="Z742">
        <f t="shared" si="331"/>
        <v>143</v>
      </c>
      <c r="AA742">
        <f t="shared" si="332"/>
        <v>111</v>
      </c>
      <c r="AB742">
        <f t="shared" si="333"/>
        <v>111</v>
      </c>
      <c r="AC742">
        <f t="shared" si="334"/>
        <v>96</v>
      </c>
      <c r="AD742">
        <f t="shared" si="335"/>
        <v>112</v>
      </c>
      <c r="AE742">
        <f t="shared" si="336"/>
        <v>102</v>
      </c>
      <c r="AF742">
        <f t="shared" si="337"/>
        <v>70</v>
      </c>
      <c r="AG742">
        <f t="shared" si="338"/>
        <v>63</v>
      </c>
      <c r="AH742">
        <f t="shared" si="339"/>
        <v>49</v>
      </c>
      <c r="AI742">
        <f t="shared" si="340"/>
        <v>112</v>
      </c>
      <c r="AJ742">
        <f t="shared" si="341"/>
        <v>102</v>
      </c>
      <c r="AK742">
        <f t="shared" si="342"/>
        <v>70</v>
      </c>
      <c r="AL742">
        <f t="shared" si="343"/>
        <v>63</v>
      </c>
      <c r="AM742">
        <f t="shared" si="344"/>
        <v>49</v>
      </c>
      <c r="AN742">
        <f t="shared" si="345"/>
        <v>128</v>
      </c>
      <c r="AO742">
        <f t="shared" si="346"/>
        <v>117</v>
      </c>
      <c r="AP742">
        <f t="shared" si="347"/>
        <v>85</v>
      </c>
      <c r="AQ742">
        <f t="shared" si="348"/>
        <v>76</v>
      </c>
      <c r="AR742">
        <f t="shared" si="349"/>
        <v>63</v>
      </c>
      <c r="AS742">
        <f t="shared" si="350"/>
        <v>123</v>
      </c>
      <c r="AT742">
        <f t="shared" si="351"/>
        <v>112</v>
      </c>
      <c r="AU742">
        <f t="shared" si="352"/>
        <v>80</v>
      </c>
      <c r="AV742">
        <f t="shared" si="353"/>
        <v>72</v>
      </c>
      <c r="AW742">
        <f t="shared" si="354"/>
        <v>58</v>
      </c>
      <c r="AX742">
        <f t="shared" si="355"/>
        <v>105</v>
      </c>
      <c r="AY742">
        <f t="shared" si="356"/>
        <v>96</v>
      </c>
      <c r="AZ742">
        <f t="shared" si="357"/>
        <v>64</v>
      </c>
      <c r="BA742">
        <f t="shared" si="358"/>
        <v>57</v>
      </c>
      <c r="BB742">
        <f t="shared" si="359"/>
        <v>44</v>
      </c>
    </row>
    <row r="743" spans="1:54" x14ac:dyDescent="0.15">
      <c r="B743" t="s">
        <v>2629</v>
      </c>
      <c r="C743">
        <v>583</v>
      </c>
      <c r="D743">
        <v>0</v>
      </c>
      <c r="E743" t="s">
        <v>2630</v>
      </c>
      <c r="G743" t="s">
        <v>2630</v>
      </c>
      <c r="J743" t="s">
        <v>2631</v>
      </c>
      <c r="K743">
        <v>41</v>
      </c>
      <c r="L743">
        <v>1.1000000000000001</v>
      </c>
      <c r="M743" t="s">
        <v>202</v>
      </c>
      <c r="O743" t="s">
        <v>514</v>
      </c>
      <c r="P743" t="s">
        <v>204</v>
      </c>
      <c r="Q743" t="s">
        <v>563</v>
      </c>
      <c r="R743">
        <v>8</v>
      </c>
      <c r="S743">
        <v>51</v>
      </c>
      <c r="T743">
        <v>65</v>
      </c>
      <c r="U743">
        <v>65</v>
      </c>
      <c r="V743">
        <v>80</v>
      </c>
      <c r="W743">
        <v>75</v>
      </c>
      <c r="X743">
        <v>59</v>
      </c>
      <c r="Y743">
        <f t="shared" si="330"/>
        <v>158</v>
      </c>
      <c r="Z743">
        <f t="shared" si="331"/>
        <v>158</v>
      </c>
      <c r="AA743">
        <f t="shared" si="332"/>
        <v>126</v>
      </c>
      <c r="AB743">
        <f t="shared" si="333"/>
        <v>126</v>
      </c>
      <c r="AC743">
        <f t="shared" si="334"/>
        <v>111</v>
      </c>
      <c r="AD743">
        <f t="shared" si="335"/>
        <v>128</v>
      </c>
      <c r="AE743">
        <f t="shared" si="336"/>
        <v>117</v>
      </c>
      <c r="AF743">
        <f t="shared" si="337"/>
        <v>85</v>
      </c>
      <c r="AG743">
        <f t="shared" si="338"/>
        <v>76</v>
      </c>
      <c r="AH743">
        <f t="shared" si="339"/>
        <v>63</v>
      </c>
      <c r="AI743">
        <f t="shared" si="340"/>
        <v>128</v>
      </c>
      <c r="AJ743">
        <f t="shared" si="341"/>
        <v>117</v>
      </c>
      <c r="AK743">
        <f t="shared" si="342"/>
        <v>85</v>
      </c>
      <c r="AL743">
        <f t="shared" si="343"/>
        <v>76</v>
      </c>
      <c r="AM743">
        <f t="shared" si="344"/>
        <v>63</v>
      </c>
      <c r="AN743">
        <f t="shared" si="345"/>
        <v>145</v>
      </c>
      <c r="AO743">
        <f t="shared" si="346"/>
        <v>132</v>
      </c>
      <c r="AP743">
        <f t="shared" si="347"/>
        <v>100</v>
      </c>
      <c r="AQ743">
        <f t="shared" si="348"/>
        <v>90</v>
      </c>
      <c r="AR743">
        <f t="shared" si="349"/>
        <v>76</v>
      </c>
      <c r="AS743">
        <f t="shared" si="350"/>
        <v>139</v>
      </c>
      <c r="AT743">
        <f t="shared" si="351"/>
        <v>127</v>
      </c>
      <c r="AU743">
        <f t="shared" si="352"/>
        <v>95</v>
      </c>
      <c r="AV743">
        <f t="shared" si="353"/>
        <v>85</v>
      </c>
      <c r="AW743">
        <f t="shared" si="354"/>
        <v>72</v>
      </c>
      <c r="AX743">
        <f t="shared" si="355"/>
        <v>122</v>
      </c>
      <c r="AY743">
        <f t="shared" si="356"/>
        <v>111</v>
      </c>
      <c r="AZ743">
        <f t="shared" si="357"/>
        <v>79</v>
      </c>
      <c r="BA743">
        <f t="shared" si="358"/>
        <v>71</v>
      </c>
      <c r="BB743">
        <f t="shared" si="359"/>
        <v>57</v>
      </c>
    </row>
    <row r="744" spans="1:54" x14ac:dyDescent="0.15">
      <c r="B744" t="s">
        <v>2632</v>
      </c>
      <c r="C744">
        <v>584</v>
      </c>
      <c r="D744">
        <v>0</v>
      </c>
      <c r="E744" t="s">
        <v>2633</v>
      </c>
      <c r="G744" t="s">
        <v>2633</v>
      </c>
      <c r="J744" t="s">
        <v>2634</v>
      </c>
      <c r="K744">
        <v>57.5</v>
      </c>
      <c r="L744">
        <v>1.3</v>
      </c>
      <c r="M744" t="s">
        <v>202</v>
      </c>
      <c r="O744" t="s">
        <v>514</v>
      </c>
      <c r="P744" t="s">
        <v>249</v>
      </c>
      <c r="Q744" t="s">
        <v>563</v>
      </c>
      <c r="R744">
        <v>8</v>
      </c>
      <c r="S744">
        <v>71</v>
      </c>
      <c r="T744">
        <v>95</v>
      </c>
      <c r="U744">
        <v>85</v>
      </c>
      <c r="V744">
        <v>110</v>
      </c>
      <c r="W744">
        <v>95</v>
      </c>
      <c r="X744">
        <v>79</v>
      </c>
      <c r="Y744">
        <f t="shared" si="330"/>
        <v>178</v>
      </c>
      <c r="Z744">
        <f t="shared" si="331"/>
        <v>178</v>
      </c>
      <c r="AA744">
        <f t="shared" si="332"/>
        <v>146</v>
      </c>
      <c r="AB744">
        <f t="shared" si="333"/>
        <v>146</v>
      </c>
      <c r="AC744">
        <f t="shared" si="334"/>
        <v>131</v>
      </c>
      <c r="AD744">
        <f t="shared" si="335"/>
        <v>161</v>
      </c>
      <c r="AE744">
        <f t="shared" si="336"/>
        <v>147</v>
      </c>
      <c r="AF744">
        <f t="shared" si="337"/>
        <v>115</v>
      </c>
      <c r="AG744">
        <f t="shared" si="338"/>
        <v>103</v>
      </c>
      <c r="AH744">
        <f t="shared" si="339"/>
        <v>90</v>
      </c>
      <c r="AI744">
        <f t="shared" si="340"/>
        <v>150</v>
      </c>
      <c r="AJ744">
        <f t="shared" si="341"/>
        <v>137</v>
      </c>
      <c r="AK744">
        <f t="shared" si="342"/>
        <v>105</v>
      </c>
      <c r="AL744">
        <f t="shared" si="343"/>
        <v>94</v>
      </c>
      <c r="AM744">
        <f t="shared" si="344"/>
        <v>81</v>
      </c>
      <c r="AN744">
        <f t="shared" si="345"/>
        <v>178</v>
      </c>
      <c r="AO744">
        <f t="shared" si="346"/>
        <v>162</v>
      </c>
      <c r="AP744">
        <f t="shared" si="347"/>
        <v>130</v>
      </c>
      <c r="AQ744">
        <f t="shared" si="348"/>
        <v>117</v>
      </c>
      <c r="AR744">
        <f t="shared" si="349"/>
        <v>103</v>
      </c>
      <c r="AS744">
        <f t="shared" si="350"/>
        <v>161</v>
      </c>
      <c r="AT744">
        <f t="shared" si="351"/>
        <v>147</v>
      </c>
      <c r="AU744">
        <f t="shared" si="352"/>
        <v>115</v>
      </c>
      <c r="AV744">
        <f t="shared" si="353"/>
        <v>103</v>
      </c>
      <c r="AW744">
        <f t="shared" si="354"/>
        <v>90</v>
      </c>
      <c r="AX744">
        <f t="shared" si="355"/>
        <v>144</v>
      </c>
      <c r="AY744">
        <f t="shared" si="356"/>
        <v>131</v>
      </c>
      <c r="AZ744">
        <f t="shared" si="357"/>
        <v>99</v>
      </c>
      <c r="BA744">
        <f t="shared" si="358"/>
        <v>89</v>
      </c>
      <c r="BB744">
        <f t="shared" si="359"/>
        <v>75</v>
      </c>
    </row>
    <row r="745" spans="1:54" x14ac:dyDescent="0.15">
      <c r="A745">
        <v>485</v>
      </c>
      <c r="B745" t="s">
        <v>2635</v>
      </c>
      <c r="C745">
        <v>585</v>
      </c>
      <c r="D745">
        <v>0</v>
      </c>
      <c r="E745" t="s">
        <v>2636</v>
      </c>
      <c r="F745" t="s">
        <v>2637</v>
      </c>
      <c r="G745" t="s">
        <v>2636</v>
      </c>
      <c r="H745" t="s">
        <v>2638</v>
      </c>
      <c r="J745" t="s">
        <v>2639</v>
      </c>
      <c r="K745">
        <v>19.5</v>
      </c>
      <c r="L745">
        <v>0.6</v>
      </c>
      <c r="M745" t="s">
        <v>120</v>
      </c>
      <c r="N745" t="s">
        <v>26</v>
      </c>
      <c r="O745" t="s">
        <v>29</v>
      </c>
      <c r="P745" t="s">
        <v>965</v>
      </c>
      <c r="Q745" t="s">
        <v>655</v>
      </c>
      <c r="R745">
        <v>9</v>
      </c>
      <c r="S745">
        <v>60</v>
      </c>
      <c r="T745">
        <v>60</v>
      </c>
      <c r="U745">
        <v>50</v>
      </c>
      <c r="V745">
        <v>40</v>
      </c>
      <c r="W745">
        <v>50</v>
      </c>
      <c r="X745">
        <v>75</v>
      </c>
      <c r="Y745">
        <f t="shared" si="330"/>
        <v>167</v>
      </c>
      <c r="Z745">
        <f t="shared" si="331"/>
        <v>167</v>
      </c>
      <c r="AA745">
        <f t="shared" si="332"/>
        <v>135</v>
      </c>
      <c r="AB745">
        <f t="shared" si="333"/>
        <v>135</v>
      </c>
      <c r="AC745">
        <f t="shared" si="334"/>
        <v>120</v>
      </c>
      <c r="AD745">
        <f t="shared" si="335"/>
        <v>123</v>
      </c>
      <c r="AE745">
        <f t="shared" si="336"/>
        <v>112</v>
      </c>
      <c r="AF745">
        <f t="shared" si="337"/>
        <v>80</v>
      </c>
      <c r="AG745">
        <f t="shared" si="338"/>
        <v>72</v>
      </c>
      <c r="AH745">
        <f t="shared" si="339"/>
        <v>58</v>
      </c>
      <c r="AI745">
        <f t="shared" si="340"/>
        <v>112</v>
      </c>
      <c r="AJ745">
        <f t="shared" si="341"/>
        <v>102</v>
      </c>
      <c r="AK745">
        <f t="shared" si="342"/>
        <v>70</v>
      </c>
      <c r="AL745">
        <f t="shared" si="343"/>
        <v>63</v>
      </c>
      <c r="AM745">
        <f t="shared" si="344"/>
        <v>49</v>
      </c>
      <c r="AN745">
        <f t="shared" si="345"/>
        <v>101</v>
      </c>
      <c r="AO745">
        <f t="shared" si="346"/>
        <v>92</v>
      </c>
      <c r="AP745">
        <f t="shared" si="347"/>
        <v>60</v>
      </c>
      <c r="AQ745">
        <f t="shared" si="348"/>
        <v>54</v>
      </c>
      <c r="AR745">
        <f t="shared" si="349"/>
        <v>40</v>
      </c>
      <c r="AS745">
        <f t="shared" si="350"/>
        <v>112</v>
      </c>
      <c r="AT745">
        <f t="shared" si="351"/>
        <v>102</v>
      </c>
      <c r="AU745">
        <f t="shared" si="352"/>
        <v>70</v>
      </c>
      <c r="AV745">
        <f t="shared" si="353"/>
        <v>63</v>
      </c>
      <c r="AW745">
        <f t="shared" si="354"/>
        <v>49</v>
      </c>
      <c r="AX745">
        <f t="shared" si="355"/>
        <v>139</v>
      </c>
      <c r="AY745">
        <f t="shared" si="356"/>
        <v>127</v>
      </c>
      <c r="AZ745">
        <f t="shared" si="357"/>
        <v>95</v>
      </c>
      <c r="BA745">
        <f t="shared" si="358"/>
        <v>85</v>
      </c>
      <c r="BB745">
        <f t="shared" si="359"/>
        <v>72</v>
      </c>
    </row>
    <row r="746" spans="1:54" x14ac:dyDescent="0.15">
      <c r="A746">
        <v>486</v>
      </c>
      <c r="B746" t="s">
        <v>2635</v>
      </c>
      <c r="C746">
        <v>585</v>
      </c>
      <c r="D746">
        <v>1</v>
      </c>
      <c r="E746" t="s">
        <v>2636</v>
      </c>
      <c r="F746" t="s">
        <v>2640</v>
      </c>
      <c r="G746" t="s">
        <v>2636</v>
      </c>
      <c r="H746" t="s">
        <v>2641</v>
      </c>
      <c r="J746" t="s">
        <v>2639</v>
      </c>
      <c r="K746">
        <v>19.5</v>
      </c>
      <c r="L746">
        <v>0.6</v>
      </c>
      <c r="M746" t="s">
        <v>120</v>
      </c>
      <c r="N746" t="s">
        <v>26</v>
      </c>
      <c r="O746" t="s">
        <v>29</v>
      </c>
      <c r="P746" t="s">
        <v>965</v>
      </c>
      <c r="Q746" t="s">
        <v>655</v>
      </c>
      <c r="R746">
        <v>9</v>
      </c>
      <c r="S746">
        <v>60</v>
      </c>
      <c r="T746">
        <v>60</v>
      </c>
      <c r="U746">
        <v>50</v>
      </c>
      <c r="V746">
        <v>40</v>
      </c>
      <c r="W746">
        <v>50</v>
      </c>
      <c r="X746">
        <v>75</v>
      </c>
      <c r="Y746">
        <f t="shared" si="330"/>
        <v>167</v>
      </c>
      <c r="Z746">
        <f t="shared" si="331"/>
        <v>167</v>
      </c>
      <c r="AA746">
        <f t="shared" si="332"/>
        <v>135</v>
      </c>
      <c r="AB746">
        <f t="shared" si="333"/>
        <v>135</v>
      </c>
      <c r="AC746">
        <f t="shared" si="334"/>
        <v>120</v>
      </c>
      <c r="AD746">
        <f t="shared" si="335"/>
        <v>123</v>
      </c>
      <c r="AE746">
        <f t="shared" si="336"/>
        <v>112</v>
      </c>
      <c r="AF746">
        <f t="shared" si="337"/>
        <v>80</v>
      </c>
      <c r="AG746">
        <f t="shared" si="338"/>
        <v>72</v>
      </c>
      <c r="AH746">
        <f t="shared" si="339"/>
        <v>58</v>
      </c>
      <c r="AI746">
        <f t="shared" si="340"/>
        <v>112</v>
      </c>
      <c r="AJ746">
        <f t="shared" si="341"/>
        <v>102</v>
      </c>
      <c r="AK746">
        <f t="shared" si="342"/>
        <v>70</v>
      </c>
      <c r="AL746">
        <f t="shared" si="343"/>
        <v>63</v>
      </c>
      <c r="AM746">
        <f t="shared" si="344"/>
        <v>49</v>
      </c>
      <c r="AN746">
        <f t="shared" si="345"/>
        <v>101</v>
      </c>
      <c r="AO746">
        <f t="shared" si="346"/>
        <v>92</v>
      </c>
      <c r="AP746">
        <f t="shared" si="347"/>
        <v>60</v>
      </c>
      <c r="AQ746">
        <f t="shared" si="348"/>
        <v>54</v>
      </c>
      <c r="AR746">
        <f t="shared" si="349"/>
        <v>40</v>
      </c>
      <c r="AS746">
        <f t="shared" si="350"/>
        <v>112</v>
      </c>
      <c r="AT746">
        <f t="shared" si="351"/>
        <v>102</v>
      </c>
      <c r="AU746">
        <f t="shared" si="352"/>
        <v>70</v>
      </c>
      <c r="AV746">
        <f t="shared" si="353"/>
        <v>63</v>
      </c>
      <c r="AW746">
        <f t="shared" si="354"/>
        <v>49</v>
      </c>
      <c r="AX746">
        <f t="shared" si="355"/>
        <v>139</v>
      </c>
      <c r="AY746">
        <f t="shared" si="356"/>
        <v>127</v>
      </c>
      <c r="AZ746">
        <f t="shared" si="357"/>
        <v>95</v>
      </c>
      <c r="BA746">
        <f t="shared" si="358"/>
        <v>85</v>
      </c>
      <c r="BB746">
        <f t="shared" si="359"/>
        <v>72</v>
      </c>
    </row>
    <row r="747" spans="1:54" x14ac:dyDescent="0.15">
      <c r="A747">
        <v>487</v>
      </c>
      <c r="B747" t="s">
        <v>2635</v>
      </c>
      <c r="C747">
        <v>585</v>
      </c>
      <c r="D747">
        <v>2</v>
      </c>
      <c r="E747" t="s">
        <v>2636</v>
      </c>
      <c r="F747" t="s">
        <v>2642</v>
      </c>
      <c r="G747" t="s">
        <v>2636</v>
      </c>
      <c r="H747" t="s">
        <v>2643</v>
      </c>
      <c r="J747" t="s">
        <v>2639</v>
      </c>
      <c r="K747">
        <v>19.5</v>
      </c>
      <c r="L747">
        <v>0.6</v>
      </c>
      <c r="M747" t="s">
        <v>120</v>
      </c>
      <c r="N747" t="s">
        <v>26</v>
      </c>
      <c r="O747" t="s">
        <v>29</v>
      </c>
      <c r="P747" t="s">
        <v>965</v>
      </c>
      <c r="Q747" t="s">
        <v>655</v>
      </c>
      <c r="R747">
        <v>9</v>
      </c>
      <c r="S747">
        <v>60</v>
      </c>
      <c r="T747">
        <v>60</v>
      </c>
      <c r="U747">
        <v>50</v>
      </c>
      <c r="V747">
        <v>40</v>
      </c>
      <c r="W747">
        <v>50</v>
      </c>
      <c r="X747">
        <v>75</v>
      </c>
      <c r="Y747">
        <f t="shared" si="330"/>
        <v>167</v>
      </c>
      <c r="Z747">
        <f t="shared" si="331"/>
        <v>167</v>
      </c>
      <c r="AA747">
        <f t="shared" si="332"/>
        <v>135</v>
      </c>
      <c r="AB747">
        <f t="shared" si="333"/>
        <v>135</v>
      </c>
      <c r="AC747">
        <f t="shared" si="334"/>
        <v>120</v>
      </c>
      <c r="AD747">
        <f t="shared" si="335"/>
        <v>123</v>
      </c>
      <c r="AE747">
        <f t="shared" si="336"/>
        <v>112</v>
      </c>
      <c r="AF747">
        <f t="shared" si="337"/>
        <v>80</v>
      </c>
      <c r="AG747">
        <f t="shared" si="338"/>
        <v>72</v>
      </c>
      <c r="AH747">
        <f t="shared" si="339"/>
        <v>58</v>
      </c>
      <c r="AI747">
        <f t="shared" si="340"/>
        <v>112</v>
      </c>
      <c r="AJ747">
        <f t="shared" si="341"/>
        <v>102</v>
      </c>
      <c r="AK747">
        <f t="shared" si="342"/>
        <v>70</v>
      </c>
      <c r="AL747">
        <f t="shared" si="343"/>
        <v>63</v>
      </c>
      <c r="AM747">
        <f t="shared" si="344"/>
        <v>49</v>
      </c>
      <c r="AN747">
        <f t="shared" si="345"/>
        <v>101</v>
      </c>
      <c r="AO747">
        <f t="shared" si="346"/>
        <v>92</v>
      </c>
      <c r="AP747">
        <f t="shared" si="347"/>
        <v>60</v>
      </c>
      <c r="AQ747">
        <f t="shared" si="348"/>
        <v>54</v>
      </c>
      <c r="AR747">
        <f t="shared" si="349"/>
        <v>40</v>
      </c>
      <c r="AS747">
        <f t="shared" si="350"/>
        <v>112</v>
      </c>
      <c r="AT747">
        <f t="shared" si="351"/>
        <v>102</v>
      </c>
      <c r="AU747">
        <f t="shared" si="352"/>
        <v>70</v>
      </c>
      <c r="AV747">
        <f t="shared" si="353"/>
        <v>63</v>
      </c>
      <c r="AW747">
        <f t="shared" si="354"/>
        <v>49</v>
      </c>
      <c r="AX747">
        <f t="shared" si="355"/>
        <v>139</v>
      </c>
      <c r="AY747">
        <f t="shared" si="356"/>
        <v>127</v>
      </c>
      <c r="AZ747">
        <f t="shared" si="357"/>
        <v>95</v>
      </c>
      <c r="BA747">
        <f t="shared" si="358"/>
        <v>85</v>
      </c>
      <c r="BB747">
        <f t="shared" si="359"/>
        <v>72</v>
      </c>
    </row>
    <row r="748" spans="1:54" x14ac:dyDescent="0.15">
      <c r="A748">
        <v>488</v>
      </c>
      <c r="B748" t="s">
        <v>2635</v>
      </c>
      <c r="C748">
        <v>585</v>
      </c>
      <c r="D748">
        <v>3</v>
      </c>
      <c r="E748" t="s">
        <v>2636</v>
      </c>
      <c r="F748" t="s">
        <v>2644</v>
      </c>
      <c r="G748" t="s">
        <v>2636</v>
      </c>
      <c r="H748" t="s">
        <v>2645</v>
      </c>
      <c r="J748" t="s">
        <v>2639</v>
      </c>
      <c r="K748">
        <v>19.5</v>
      </c>
      <c r="L748">
        <v>0.6</v>
      </c>
      <c r="M748" t="s">
        <v>120</v>
      </c>
      <c r="N748" t="s">
        <v>26</v>
      </c>
      <c r="O748" t="s">
        <v>29</v>
      </c>
      <c r="P748" t="s">
        <v>965</v>
      </c>
      <c r="Q748" t="s">
        <v>655</v>
      </c>
      <c r="R748">
        <v>9</v>
      </c>
      <c r="S748">
        <v>60</v>
      </c>
      <c r="T748">
        <v>60</v>
      </c>
      <c r="U748">
        <v>50</v>
      </c>
      <c r="V748">
        <v>40</v>
      </c>
      <c r="W748">
        <v>50</v>
      </c>
      <c r="X748">
        <v>75</v>
      </c>
      <c r="Y748">
        <f t="shared" si="330"/>
        <v>167</v>
      </c>
      <c r="Z748">
        <f t="shared" si="331"/>
        <v>167</v>
      </c>
      <c r="AA748">
        <f t="shared" si="332"/>
        <v>135</v>
      </c>
      <c r="AB748">
        <f t="shared" si="333"/>
        <v>135</v>
      </c>
      <c r="AC748">
        <f t="shared" si="334"/>
        <v>120</v>
      </c>
      <c r="AD748">
        <f t="shared" si="335"/>
        <v>123</v>
      </c>
      <c r="AE748">
        <f t="shared" si="336"/>
        <v>112</v>
      </c>
      <c r="AF748">
        <f t="shared" si="337"/>
        <v>80</v>
      </c>
      <c r="AG748">
        <f t="shared" si="338"/>
        <v>72</v>
      </c>
      <c r="AH748">
        <f t="shared" si="339"/>
        <v>58</v>
      </c>
      <c r="AI748">
        <f t="shared" si="340"/>
        <v>112</v>
      </c>
      <c r="AJ748">
        <f t="shared" si="341"/>
        <v>102</v>
      </c>
      <c r="AK748">
        <f t="shared" si="342"/>
        <v>70</v>
      </c>
      <c r="AL748">
        <f t="shared" si="343"/>
        <v>63</v>
      </c>
      <c r="AM748">
        <f t="shared" si="344"/>
        <v>49</v>
      </c>
      <c r="AN748">
        <f t="shared" si="345"/>
        <v>101</v>
      </c>
      <c r="AO748">
        <f t="shared" si="346"/>
        <v>92</v>
      </c>
      <c r="AP748">
        <f t="shared" si="347"/>
        <v>60</v>
      </c>
      <c r="AQ748">
        <f t="shared" si="348"/>
        <v>54</v>
      </c>
      <c r="AR748">
        <f t="shared" si="349"/>
        <v>40</v>
      </c>
      <c r="AS748">
        <f t="shared" si="350"/>
        <v>112</v>
      </c>
      <c r="AT748">
        <f t="shared" si="351"/>
        <v>102</v>
      </c>
      <c r="AU748">
        <f t="shared" si="352"/>
        <v>70</v>
      </c>
      <c r="AV748">
        <f t="shared" si="353"/>
        <v>63</v>
      </c>
      <c r="AW748">
        <f t="shared" si="354"/>
        <v>49</v>
      </c>
      <c r="AX748">
        <f t="shared" si="355"/>
        <v>139</v>
      </c>
      <c r="AY748">
        <f t="shared" si="356"/>
        <v>127</v>
      </c>
      <c r="AZ748">
        <f t="shared" si="357"/>
        <v>95</v>
      </c>
      <c r="BA748">
        <f t="shared" si="358"/>
        <v>85</v>
      </c>
      <c r="BB748">
        <f t="shared" si="359"/>
        <v>72</v>
      </c>
    </row>
    <row r="749" spans="1:54" x14ac:dyDescent="0.15">
      <c r="A749">
        <v>489</v>
      </c>
      <c r="B749" t="s">
        <v>2646</v>
      </c>
      <c r="C749">
        <v>586</v>
      </c>
      <c r="D749">
        <v>0</v>
      </c>
      <c r="E749" t="s">
        <v>2647</v>
      </c>
      <c r="F749" t="s">
        <v>2637</v>
      </c>
      <c r="G749" t="s">
        <v>2647</v>
      </c>
      <c r="H749" t="s">
        <v>2648</v>
      </c>
      <c r="J749" t="s">
        <v>2639</v>
      </c>
      <c r="K749">
        <v>92.5</v>
      </c>
      <c r="L749">
        <v>1.9</v>
      </c>
      <c r="M749" t="s">
        <v>120</v>
      </c>
      <c r="N749" t="s">
        <v>26</v>
      </c>
      <c r="O749" t="s">
        <v>29</v>
      </c>
      <c r="P749" t="s">
        <v>965</v>
      </c>
      <c r="Q749" t="s">
        <v>655</v>
      </c>
      <c r="R749">
        <v>9</v>
      </c>
      <c r="S749">
        <v>80</v>
      </c>
      <c r="T749">
        <v>100</v>
      </c>
      <c r="U749">
        <v>70</v>
      </c>
      <c r="V749">
        <v>60</v>
      </c>
      <c r="W749">
        <v>70</v>
      </c>
      <c r="X749">
        <v>95</v>
      </c>
      <c r="Y749">
        <f t="shared" si="330"/>
        <v>187</v>
      </c>
      <c r="Z749">
        <f t="shared" si="331"/>
        <v>187</v>
      </c>
      <c r="AA749">
        <f t="shared" si="332"/>
        <v>155</v>
      </c>
      <c r="AB749">
        <f t="shared" si="333"/>
        <v>155</v>
      </c>
      <c r="AC749">
        <f t="shared" si="334"/>
        <v>140</v>
      </c>
      <c r="AD749">
        <f t="shared" si="335"/>
        <v>167</v>
      </c>
      <c r="AE749">
        <f t="shared" si="336"/>
        <v>152</v>
      </c>
      <c r="AF749">
        <f t="shared" si="337"/>
        <v>120</v>
      </c>
      <c r="AG749">
        <f t="shared" si="338"/>
        <v>108</v>
      </c>
      <c r="AH749">
        <f t="shared" si="339"/>
        <v>94</v>
      </c>
      <c r="AI749">
        <f t="shared" si="340"/>
        <v>134</v>
      </c>
      <c r="AJ749">
        <f t="shared" si="341"/>
        <v>122</v>
      </c>
      <c r="AK749">
        <f t="shared" si="342"/>
        <v>90</v>
      </c>
      <c r="AL749">
        <f t="shared" si="343"/>
        <v>81</v>
      </c>
      <c r="AM749">
        <f t="shared" si="344"/>
        <v>67</v>
      </c>
      <c r="AN749">
        <f t="shared" si="345"/>
        <v>123</v>
      </c>
      <c r="AO749">
        <f t="shared" si="346"/>
        <v>112</v>
      </c>
      <c r="AP749">
        <f t="shared" si="347"/>
        <v>80</v>
      </c>
      <c r="AQ749">
        <f t="shared" si="348"/>
        <v>72</v>
      </c>
      <c r="AR749">
        <f t="shared" si="349"/>
        <v>58</v>
      </c>
      <c r="AS749">
        <f t="shared" si="350"/>
        <v>134</v>
      </c>
      <c r="AT749">
        <f t="shared" si="351"/>
        <v>122</v>
      </c>
      <c r="AU749">
        <f t="shared" si="352"/>
        <v>90</v>
      </c>
      <c r="AV749">
        <f t="shared" si="353"/>
        <v>81</v>
      </c>
      <c r="AW749">
        <f t="shared" si="354"/>
        <v>67</v>
      </c>
      <c r="AX749">
        <f t="shared" si="355"/>
        <v>161</v>
      </c>
      <c r="AY749">
        <f t="shared" si="356"/>
        <v>147</v>
      </c>
      <c r="AZ749">
        <f t="shared" si="357"/>
        <v>115</v>
      </c>
      <c r="BA749">
        <f t="shared" si="358"/>
        <v>103</v>
      </c>
      <c r="BB749">
        <f t="shared" si="359"/>
        <v>90</v>
      </c>
    </row>
    <row r="750" spans="1:54" x14ac:dyDescent="0.15">
      <c r="A750">
        <v>490</v>
      </c>
      <c r="B750" t="s">
        <v>2646</v>
      </c>
      <c r="C750">
        <v>586</v>
      </c>
      <c r="D750">
        <v>1</v>
      </c>
      <c r="E750" t="s">
        <v>2647</v>
      </c>
      <c r="F750" t="s">
        <v>2640</v>
      </c>
      <c r="G750" t="s">
        <v>2647</v>
      </c>
      <c r="H750" t="s">
        <v>2649</v>
      </c>
      <c r="J750" t="s">
        <v>2639</v>
      </c>
      <c r="K750">
        <v>92.5</v>
      </c>
      <c r="L750">
        <v>1.9</v>
      </c>
      <c r="M750" t="s">
        <v>120</v>
      </c>
      <c r="N750" t="s">
        <v>26</v>
      </c>
      <c r="O750" t="s">
        <v>29</v>
      </c>
      <c r="P750" t="s">
        <v>965</v>
      </c>
      <c r="Q750" t="s">
        <v>655</v>
      </c>
      <c r="R750">
        <v>9</v>
      </c>
      <c r="S750">
        <v>80</v>
      </c>
      <c r="T750">
        <v>100</v>
      </c>
      <c r="U750">
        <v>70</v>
      </c>
      <c r="V750">
        <v>60</v>
      </c>
      <c r="W750">
        <v>70</v>
      </c>
      <c r="X750">
        <v>95</v>
      </c>
      <c r="Y750">
        <f t="shared" si="330"/>
        <v>187</v>
      </c>
      <c r="Z750">
        <f t="shared" si="331"/>
        <v>187</v>
      </c>
      <c r="AA750">
        <f t="shared" si="332"/>
        <v>155</v>
      </c>
      <c r="AB750">
        <f t="shared" si="333"/>
        <v>155</v>
      </c>
      <c r="AC750">
        <f t="shared" si="334"/>
        <v>140</v>
      </c>
      <c r="AD750">
        <f t="shared" si="335"/>
        <v>167</v>
      </c>
      <c r="AE750">
        <f t="shared" si="336"/>
        <v>152</v>
      </c>
      <c r="AF750">
        <f t="shared" si="337"/>
        <v>120</v>
      </c>
      <c r="AG750">
        <f t="shared" si="338"/>
        <v>108</v>
      </c>
      <c r="AH750">
        <f t="shared" si="339"/>
        <v>94</v>
      </c>
      <c r="AI750">
        <f t="shared" si="340"/>
        <v>134</v>
      </c>
      <c r="AJ750">
        <f t="shared" si="341"/>
        <v>122</v>
      </c>
      <c r="AK750">
        <f t="shared" si="342"/>
        <v>90</v>
      </c>
      <c r="AL750">
        <f t="shared" si="343"/>
        <v>81</v>
      </c>
      <c r="AM750">
        <f t="shared" si="344"/>
        <v>67</v>
      </c>
      <c r="AN750">
        <f t="shared" si="345"/>
        <v>123</v>
      </c>
      <c r="AO750">
        <f t="shared" si="346"/>
        <v>112</v>
      </c>
      <c r="AP750">
        <f t="shared" si="347"/>
        <v>80</v>
      </c>
      <c r="AQ750">
        <f t="shared" si="348"/>
        <v>72</v>
      </c>
      <c r="AR750">
        <f t="shared" si="349"/>
        <v>58</v>
      </c>
      <c r="AS750">
        <f t="shared" si="350"/>
        <v>134</v>
      </c>
      <c r="AT750">
        <f t="shared" si="351"/>
        <v>122</v>
      </c>
      <c r="AU750">
        <f t="shared" si="352"/>
        <v>90</v>
      </c>
      <c r="AV750">
        <f t="shared" si="353"/>
        <v>81</v>
      </c>
      <c r="AW750">
        <f t="shared" si="354"/>
        <v>67</v>
      </c>
      <c r="AX750">
        <f t="shared" si="355"/>
        <v>161</v>
      </c>
      <c r="AY750">
        <f t="shared" si="356"/>
        <v>147</v>
      </c>
      <c r="AZ750">
        <f t="shared" si="357"/>
        <v>115</v>
      </c>
      <c r="BA750">
        <f t="shared" si="358"/>
        <v>103</v>
      </c>
      <c r="BB750">
        <f t="shared" si="359"/>
        <v>90</v>
      </c>
    </row>
    <row r="751" spans="1:54" x14ac:dyDescent="0.15">
      <c r="A751">
        <v>491</v>
      </c>
      <c r="B751" t="s">
        <v>2646</v>
      </c>
      <c r="C751">
        <v>586</v>
      </c>
      <c r="D751">
        <v>2</v>
      </c>
      <c r="E751" t="s">
        <v>2647</v>
      </c>
      <c r="F751" t="s">
        <v>2642</v>
      </c>
      <c r="G751" t="s">
        <v>2647</v>
      </c>
      <c r="H751" t="s">
        <v>2650</v>
      </c>
      <c r="J751" t="s">
        <v>2639</v>
      </c>
      <c r="K751">
        <v>92.5</v>
      </c>
      <c r="L751">
        <v>1.9</v>
      </c>
      <c r="M751" t="s">
        <v>120</v>
      </c>
      <c r="N751" t="s">
        <v>26</v>
      </c>
      <c r="O751" t="s">
        <v>29</v>
      </c>
      <c r="P751" t="s">
        <v>965</v>
      </c>
      <c r="Q751" t="s">
        <v>655</v>
      </c>
      <c r="R751">
        <v>9</v>
      </c>
      <c r="S751">
        <v>80</v>
      </c>
      <c r="T751">
        <v>100</v>
      </c>
      <c r="U751">
        <v>70</v>
      </c>
      <c r="V751">
        <v>60</v>
      </c>
      <c r="W751">
        <v>70</v>
      </c>
      <c r="X751">
        <v>95</v>
      </c>
      <c r="Y751">
        <f t="shared" si="330"/>
        <v>187</v>
      </c>
      <c r="Z751">
        <f t="shared" si="331"/>
        <v>187</v>
      </c>
      <c r="AA751">
        <f t="shared" si="332"/>
        <v>155</v>
      </c>
      <c r="AB751">
        <f t="shared" si="333"/>
        <v>155</v>
      </c>
      <c r="AC751">
        <f t="shared" si="334"/>
        <v>140</v>
      </c>
      <c r="AD751">
        <f t="shared" si="335"/>
        <v>167</v>
      </c>
      <c r="AE751">
        <f t="shared" si="336"/>
        <v>152</v>
      </c>
      <c r="AF751">
        <f t="shared" si="337"/>
        <v>120</v>
      </c>
      <c r="AG751">
        <f t="shared" si="338"/>
        <v>108</v>
      </c>
      <c r="AH751">
        <f t="shared" si="339"/>
        <v>94</v>
      </c>
      <c r="AI751">
        <f t="shared" si="340"/>
        <v>134</v>
      </c>
      <c r="AJ751">
        <f t="shared" si="341"/>
        <v>122</v>
      </c>
      <c r="AK751">
        <f t="shared" si="342"/>
        <v>90</v>
      </c>
      <c r="AL751">
        <f t="shared" si="343"/>
        <v>81</v>
      </c>
      <c r="AM751">
        <f t="shared" si="344"/>
        <v>67</v>
      </c>
      <c r="AN751">
        <f t="shared" si="345"/>
        <v>123</v>
      </c>
      <c r="AO751">
        <f t="shared" si="346"/>
        <v>112</v>
      </c>
      <c r="AP751">
        <f t="shared" si="347"/>
        <v>80</v>
      </c>
      <c r="AQ751">
        <f t="shared" si="348"/>
        <v>72</v>
      </c>
      <c r="AR751">
        <f t="shared" si="349"/>
        <v>58</v>
      </c>
      <c r="AS751">
        <f t="shared" si="350"/>
        <v>134</v>
      </c>
      <c r="AT751">
        <f t="shared" si="351"/>
        <v>122</v>
      </c>
      <c r="AU751">
        <f t="shared" si="352"/>
        <v>90</v>
      </c>
      <c r="AV751">
        <f t="shared" si="353"/>
        <v>81</v>
      </c>
      <c r="AW751">
        <f t="shared" si="354"/>
        <v>67</v>
      </c>
      <c r="AX751">
        <f t="shared" si="355"/>
        <v>161</v>
      </c>
      <c r="AY751">
        <f t="shared" si="356"/>
        <v>147</v>
      </c>
      <c r="AZ751">
        <f t="shared" si="357"/>
        <v>115</v>
      </c>
      <c r="BA751">
        <f t="shared" si="358"/>
        <v>103</v>
      </c>
      <c r="BB751">
        <f t="shared" si="359"/>
        <v>90</v>
      </c>
    </row>
    <row r="752" spans="1:54" x14ac:dyDescent="0.15">
      <c r="A752">
        <v>492</v>
      </c>
      <c r="B752" t="s">
        <v>2646</v>
      </c>
      <c r="C752">
        <v>586</v>
      </c>
      <c r="D752">
        <v>3</v>
      </c>
      <c r="E752" t="s">
        <v>2647</v>
      </c>
      <c r="F752" t="s">
        <v>2644</v>
      </c>
      <c r="G752" t="s">
        <v>2647</v>
      </c>
      <c r="H752" t="s">
        <v>2651</v>
      </c>
      <c r="J752" t="s">
        <v>2639</v>
      </c>
      <c r="K752">
        <v>92.5</v>
      </c>
      <c r="L752">
        <v>1.9</v>
      </c>
      <c r="M752" t="s">
        <v>120</v>
      </c>
      <c r="N752" t="s">
        <v>26</v>
      </c>
      <c r="O752" t="s">
        <v>29</v>
      </c>
      <c r="P752" t="s">
        <v>965</v>
      </c>
      <c r="Q752" t="s">
        <v>655</v>
      </c>
      <c r="R752">
        <v>9</v>
      </c>
      <c r="S752">
        <v>80</v>
      </c>
      <c r="T752">
        <v>100</v>
      </c>
      <c r="U752">
        <v>70</v>
      </c>
      <c r="V752">
        <v>60</v>
      </c>
      <c r="W752">
        <v>70</v>
      </c>
      <c r="X752">
        <v>95</v>
      </c>
      <c r="Y752">
        <f t="shared" si="330"/>
        <v>187</v>
      </c>
      <c r="Z752">
        <f t="shared" si="331"/>
        <v>187</v>
      </c>
      <c r="AA752">
        <f t="shared" si="332"/>
        <v>155</v>
      </c>
      <c r="AB752">
        <f t="shared" si="333"/>
        <v>155</v>
      </c>
      <c r="AC752">
        <f t="shared" si="334"/>
        <v>140</v>
      </c>
      <c r="AD752">
        <f t="shared" si="335"/>
        <v>167</v>
      </c>
      <c r="AE752">
        <f t="shared" si="336"/>
        <v>152</v>
      </c>
      <c r="AF752">
        <f t="shared" si="337"/>
        <v>120</v>
      </c>
      <c r="AG752">
        <f t="shared" si="338"/>
        <v>108</v>
      </c>
      <c r="AH752">
        <f t="shared" si="339"/>
        <v>94</v>
      </c>
      <c r="AI752">
        <f t="shared" si="340"/>
        <v>134</v>
      </c>
      <c r="AJ752">
        <f t="shared" si="341"/>
        <v>122</v>
      </c>
      <c r="AK752">
        <f t="shared" si="342"/>
        <v>90</v>
      </c>
      <c r="AL752">
        <f t="shared" si="343"/>
        <v>81</v>
      </c>
      <c r="AM752">
        <f t="shared" si="344"/>
        <v>67</v>
      </c>
      <c r="AN752">
        <f t="shared" si="345"/>
        <v>123</v>
      </c>
      <c r="AO752">
        <f t="shared" si="346"/>
        <v>112</v>
      </c>
      <c r="AP752">
        <f t="shared" si="347"/>
        <v>80</v>
      </c>
      <c r="AQ752">
        <f t="shared" si="348"/>
        <v>72</v>
      </c>
      <c r="AR752">
        <f t="shared" si="349"/>
        <v>58</v>
      </c>
      <c r="AS752">
        <f t="shared" si="350"/>
        <v>134</v>
      </c>
      <c r="AT752">
        <f t="shared" si="351"/>
        <v>122</v>
      </c>
      <c r="AU752">
        <f t="shared" si="352"/>
        <v>90</v>
      </c>
      <c r="AV752">
        <f t="shared" si="353"/>
        <v>81</v>
      </c>
      <c r="AW752">
        <f t="shared" si="354"/>
        <v>67</v>
      </c>
      <c r="AX752">
        <f t="shared" si="355"/>
        <v>161</v>
      </c>
      <c r="AY752">
        <f t="shared" si="356"/>
        <v>147</v>
      </c>
      <c r="AZ752">
        <f t="shared" si="357"/>
        <v>115</v>
      </c>
      <c r="BA752">
        <f t="shared" si="358"/>
        <v>103</v>
      </c>
      <c r="BB752">
        <f t="shared" si="359"/>
        <v>90</v>
      </c>
    </row>
    <row r="753" spans="1:54" x14ac:dyDescent="0.15">
      <c r="B753" t="s">
        <v>2652</v>
      </c>
      <c r="C753">
        <v>587</v>
      </c>
      <c r="D753">
        <v>0</v>
      </c>
      <c r="E753" t="s">
        <v>2653</v>
      </c>
      <c r="G753" t="s">
        <v>2653</v>
      </c>
      <c r="J753" t="s">
        <v>2654</v>
      </c>
      <c r="K753">
        <v>5</v>
      </c>
      <c r="L753">
        <v>0.4</v>
      </c>
      <c r="M753" t="s">
        <v>164</v>
      </c>
      <c r="N753" t="s">
        <v>57</v>
      </c>
      <c r="O753" t="s">
        <v>165</v>
      </c>
      <c r="P753" t="s">
        <v>2114</v>
      </c>
      <c r="R753">
        <v>8</v>
      </c>
      <c r="S753">
        <v>55</v>
      </c>
      <c r="T753">
        <v>75</v>
      </c>
      <c r="U753">
        <v>60</v>
      </c>
      <c r="V753">
        <v>75</v>
      </c>
      <c r="W753">
        <v>60</v>
      </c>
      <c r="X753">
        <v>103</v>
      </c>
      <c r="Y753">
        <f t="shared" si="330"/>
        <v>162</v>
      </c>
      <c r="Z753">
        <f t="shared" si="331"/>
        <v>162</v>
      </c>
      <c r="AA753">
        <f t="shared" si="332"/>
        <v>130</v>
      </c>
      <c r="AB753">
        <f t="shared" si="333"/>
        <v>130</v>
      </c>
      <c r="AC753">
        <f t="shared" si="334"/>
        <v>115</v>
      </c>
      <c r="AD753">
        <f t="shared" si="335"/>
        <v>139</v>
      </c>
      <c r="AE753">
        <f t="shared" si="336"/>
        <v>127</v>
      </c>
      <c r="AF753">
        <f t="shared" si="337"/>
        <v>95</v>
      </c>
      <c r="AG753">
        <f t="shared" si="338"/>
        <v>85</v>
      </c>
      <c r="AH753">
        <f t="shared" si="339"/>
        <v>72</v>
      </c>
      <c r="AI753">
        <f t="shared" si="340"/>
        <v>123</v>
      </c>
      <c r="AJ753">
        <f t="shared" si="341"/>
        <v>112</v>
      </c>
      <c r="AK753">
        <f t="shared" si="342"/>
        <v>80</v>
      </c>
      <c r="AL753">
        <f t="shared" si="343"/>
        <v>72</v>
      </c>
      <c r="AM753">
        <f t="shared" si="344"/>
        <v>58</v>
      </c>
      <c r="AN753">
        <f t="shared" si="345"/>
        <v>139</v>
      </c>
      <c r="AO753">
        <f t="shared" si="346"/>
        <v>127</v>
      </c>
      <c r="AP753">
        <f t="shared" si="347"/>
        <v>95</v>
      </c>
      <c r="AQ753">
        <f t="shared" si="348"/>
        <v>85</v>
      </c>
      <c r="AR753">
        <f t="shared" si="349"/>
        <v>72</v>
      </c>
      <c r="AS753">
        <f t="shared" si="350"/>
        <v>123</v>
      </c>
      <c r="AT753">
        <f t="shared" si="351"/>
        <v>112</v>
      </c>
      <c r="AU753">
        <f t="shared" si="352"/>
        <v>80</v>
      </c>
      <c r="AV753">
        <f t="shared" si="353"/>
        <v>72</v>
      </c>
      <c r="AW753">
        <f t="shared" si="354"/>
        <v>58</v>
      </c>
      <c r="AX753">
        <f t="shared" si="355"/>
        <v>170</v>
      </c>
      <c r="AY753">
        <f t="shared" si="356"/>
        <v>155</v>
      </c>
      <c r="AZ753">
        <f t="shared" si="357"/>
        <v>123</v>
      </c>
      <c r="BA753">
        <f t="shared" si="358"/>
        <v>110</v>
      </c>
      <c r="BB753">
        <f t="shared" si="359"/>
        <v>97</v>
      </c>
    </row>
    <row r="754" spans="1:54" x14ac:dyDescent="0.15">
      <c r="B754" t="s">
        <v>2655</v>
      </c>
      <c r="C754">
        <v>588</v>
      </c>
      <c r="D754">
        <v>0</v>
      </c>
      <c r="E754" t="s">
        <v>2656</v>
      </c>
      <c r="G754" t="s">
        <v>2656</v>
      </c>
      <c r="J754" t="s">
        <v>2657</v>
      </c>
      <c r="K754">
        <v>5.9</v>
      </c>
      <c r="L754">
        <v>0.5</v>
      </c>
      <c r="M754" t="s">
        <v>90</v>
      </c>
      <c r="O754" t="s">
        <v>112</v>
      </c>
      <c r="P754" t="s">
        <v>96</v>
      </c>
      <c r="Q754" t="s">
        <v>131</v>
      </c>
      <c r="R754">
        <v>8</v>
      </c>
      <c r="S754">
        <v>50</v>
      </c>
      <c r="T754">
        <v>75</v>
      </c>
      <c r="U754">
        <v>45</v>
      </c>
      <c r="V754">
        <v>40</v>
      </c>
      <c r="W754">
        <v>45</v>
      </c>
      <c r="X754">
        <v>60</v>
      </c>
      <c r="Y754">
        <f t="shared" si="330"/>
        <v>157</v>
      </c>
      <c r="Z754">
        <f t="shared" si="331"/>
        <v>157</v>
      </c>
      <c r="AA754">
        <f t="shared" si="332"/>
        <v>125</v>
      </c>
      <c r="AB754">
        <f t="shared" si="333"/>
        <v>125</v>
      </c>
      <c r="AC754">
        <f t="shared" si="334"/>
        <v>110</v>
      </c>
      <c r="AD754">
        <f t="shared" si="335"/>
        <v>139</v>
      </c>
      <c r="AE754">
        <f t="shared" si="336"/>
        <v>127</v>
      </c>
      <c r="AF754">
        <f t="shared" si="337"/>
        <v>95</v>
      </c>
      <c r="AG754">
        <f t="shared" si="338"/>
        <v>85</v>
      </c>
      <c r="AH754">
        <f t="shared" si="339"/>
        <v>72</v>
      </c>
      <c r="AI754">
        <f t="shared" si="340"/>
        <v>106</v>
      </c>
      <c r="AJ754">
        <f t="shared" si="341"/>
        <v>97</v>
      </c>
      <c r="AK754">
        <f t="shared" si="342"/>
        <v>65</v>
      </c>
      <c r="AL754">
        <f t="shared" si="343"/>
        <v>58</v>
      </c>
      <c r="AM754">
        <f t="shared" si="344"/>
        <v>45</v>
      </c>
      <c r="AN754">
        <f t="shared" si="345"/>
        <v>101</v>
      </c>
      <c r="AO754">
        <f t="shared" si="346"/>
        <v>92</v>
      </c>
      <c r="AP754">
        <f t="shared" si="347"/>
        <v>60</v>
      </c>
      <c r="AQ754">
        <f t="shared" si="348"/>
        <v>54</v>
      </c>
      <c r="AR754">
        <f t="shared" si="349"/>
        <v>40</v>
      </c>
      <c r="AS754">
        <f t="shared" si="350"/>
        <v>106</v>
      </c>
      <c r="AT754">
        <f t="shared" si="351"/>
        <v>97</v>
      </c>
      <c r="AU754">
        <f t="shared" si="352"/>
        <v>65</v>
      </c>
      <c r="AV754">
        <f t="shared" si="353"/>
        <v>58</v>
      </c>
      <c r="AW754">
        <f t="shared" si="354"/>
        <v>45</v>
      </c>
      <c r="AX754">
        <f t="shared" si="355"/>
        <v>123</v>
      </c>
      <c r="AY754">
        <f t="shared" si="356"/>
        <v>112</v>
      </c>
      <c r="AZ754">
        <f t="shared" si="357"/>
        <v>80</v>
      </c>
      <c r="BA754">
        <f t="shared" si="358"/>
        <v>72</v>
      </c>
      <c r="BB754">
        <f t="shared" si="359"/>
        <v>58</v>
      </c>
    </row>
    <row r="755" spans="1:54" x14ac:dyDescent="0.15">
      <c r="B755" t="s">
        <v>2658</v>
      </c>
      <c r="C755">
        <v>589</v>
      </c>
      <c r="D755">
        <v>0</v>
      </c>
      <c r="E755" t="s">
        <v>2659</v>
      </c>
      <c r="G755" t="s">
        <v>2659</v>
      </c>
      <c r="J755" t="s">
        <v>2660</v>
      </c>
      <c r="K755">
        <v>33</v>
      </c>
      <c r="L755">
        <v>1</v>
      </c>
      <c r="M755" t="s">
        <v>90</v>
      </c>
      <c r="N755" t="s">
        <v>203</v>
      </c>
      <c r="O755" t="s">
        <v>112</v>
      </c>
      <c r="P755" t="s">
        <v>481</v>
      </c>
      <c r="Q755" t="s">
        <v>538</v>
      </c>
      <c r="R755">
        <v>8</v>
      </c>
      <c r="S755">
        <v>70</v>
      </c>
      <c r="T755">
        <v>135</v>
      </c>
      <c r="U755">
        <v>105</v>
      </c>
      <c r="V755">
        <v>60</v>
      </c>
      <c r="W755">
        <v>105</v>
      </c>
      <c r="X755">
        <v>20</v>
      </c>
      <c r="Y755">
        <f t="shared" si="330"/>
        <v>177</v>
      </c>
      <c r="Z755">
        <f t="shared" si="331"/>
        <v>177</v>
      </c>
      <c r="AA755">
        <f t="shared" si="332"/>
        <v>145</v>
      </c>
      <c r="AB755">
        <f t="shared" si="333"/>
        <v>145</v>
      </c>
      <c r="AC755">
        <f t="shared" si="334"/>
        <v>130</v>
      </c>
      <c r="AD755">
        <f t="shared" si="335"/>
        <v>205</v>
      </c>
      <c r="AE755">
        <f t="shared" si="336"/>
        <v>187</v>
      </c>
      <c r="AF755">
        <f t="shared" si="337"/>
        <v>155</v>
      </c>
      <c r="AG755">
        <f t="shared" si="338"/>
        <v>139</v>
      </c>
      <c r="AH755">
        <f t="shared" si="339"/>
        <v>126</v>
      </c>
      <c r="AI755">
        <f t="shared" si="340"/>
        <v>172</v>
      </c>
      <c r="AJ755">
        <f t="shared" si="341"/>
        <v>157</v>
      </c>
      <c r="AK755">
        <f t="shared" si="342"/>
        <v>125</v>
      </c>
      <c r="AL755">
        <f t="shared" si="343"/>
        <v>112</v>
      </c>
      <c r="AM755">
        <f t="shared" si="344"/>
        <v>99</v>
      </c>
      <c r="AN755">
        <f t="shared" si="345"/>
        <v>123</v>
      </c>
      <c r="AO755">
        <f t="shared" si="346"/>
        <v>112</v>
      </c>
      <c r="AP755">
        <f t="shared" si="347"/>
        <v>80</v>
      </c>
      <c r="AQ755">
        <f t="shared" si="348"/>
        <v>72</v>
      </c>
      <c r="AR755">
        <f t="shared" si="349"/>
        <v>58</v>
      </c>
      <c r="AS755">
        <f t="shared" si="350"/>
        <v>172</v>
      </c>
      <c r="AT755">
        <f t="shared" si="351"/>
        <v>157</v>
      </c>
      <c r="AU755">
        <f t="shared" si="352"/>
        <v>125</v>
      </c>
      <c r="AV755">
        <f t="shared" si="353"/>
        <v>112</v>
      </c>
      <c r="AW755">
        <f t="shared" si="354"/>
        <v>99</v>
      </c>
      <c r="AX755">
        <f t="shared" si="355"/>
        <v>79</v>
      </c>
      <c r="AY755">
        <f t="shared" si="356"/>
        <v>72</v>
      </c>
      <c r="AZ755">
        <f t="shared" si="357"/>
        <v>40</v>
      </c>
      <c r="BA755">
        <f t="shared" si="358"/>
        <v>36</v>
      </c>
      <c r="BB755">
        <f t="shared" si="359"/>
        <v>22</v>
      </c>
    </row>
    <row r="756" spans="1:54" x14ac:dyDescent="0.15">
      <c r="A756">
        <v>493</v>
      </c>
      <c r="B756" t="s">
        <v>2661</v>
      </c>
      <c r="C756">
        <v>590</v>
      </c>
      <c r="D756">
        <v>0</v>
      </c>
      <c r="E756" t="s">
        <v>2662</v>
      </c>
      <c r="G756" t="s">
        <v>2662</v>
      </c>
      <c r="H756" t="s">
        <v>2663</v>
      </c>
      <c r="J756" t="s">
        <v>287</v>
      </c>
      <c r="K756">
        <v>1</v>
      </c>
      <c r="L756">
        <v>0.2</v>
      </c>
      <c r="M756" t="s">
        <v>26</v>
      </c>
      <c r="N756" t="s">
        <v>27</v>
      </c>
      <c r="O756" t="s">
        <v>284</v>
      </c>
      <c r="P756" t="s">
        <v>471</v>
      </c>
      <c r="R756">
        <v>9</v>
      </c>
      <c r="S756">
        <v>69</v>
      </c>
      <c r="T756">
        <v>55</v>
      </c>
      <c r="U756">
        <v>45</v>
      </c>
      <c r="V756">
        <v>55</v>
      </c>
      <c r="W756">
        <v>55</v>
      </c>
      <c r="X756">
        <v>15</v>
      </c>
      <c r="Y756">
        <f t="shared" si="330"/>
        <v>176</v>
      </c>
      <c r="Z756">
        <f t="shared" si="331"/>
        <v>176</v>
      </c>
      <c r="AA756">
        <f t="shared" si="332"/>
        <v>144</v>
      </c>
      <c r="AB756">
        <f t="shared" si="333"/>
        <v>144</v>
      </c>
      <c r="AC756">
        <f t="shared" si="334"/>
        <v>129</v>
      </c>
      <c r="AD756">
        <f t="shared" si="335"/>
        <v>117</v>
      </c>
      <c r="AE756">
        <f t="shared" si="336"/>
        <v>107</v>
      </c>
      <c r="AF756">
        <f t="shared" si="337"/>
        <v>75</v>
      </c>
      <c r="AG756">
        <f t="shared" si="338"/>
        <v>67</v>
      </c>
      <c r="AH756">
        <f t="shared" si="339"/>
        <v>54</v>
      </c>
      <c r="AI756">
        <f t="shared" si="340"/>
        <v>106</v>
      </c>
      <c r="AJ756">
        <f t="shared" si="341"/>
        <v>97</v>
      </c>
      <c r="AK756">
        <f t="shared" si="342"/>
        <v>65</v>
      </c>
      <c r="AL756">
        <f t="shared" si="343"/>
        <v>58</v>
      </c>
      <c r="AM756">
        <f t="shared" si="344"/>
        <v>45</v>
      </c>
      <c r="AN756">
        <f t="shared" si="345"/>
        <v>117</v>
      </c>
      <c r="AO756">
        <f t="shared" si="346"/>
        <v>107</v>
      </c>
      <c r="AP756">
        <f t="shared" si="347"/>
        <v>75</v>
      </c>
      <c r="AQ756">
        <f t="shared" si="348"/>
        <v>67</v>
      </c>
      <c r="AR756">
        <f t="shared" si="349"/>
        <v>54</v>
      </c>
      <c r="AS756">
        <f t="shared" si="350"/>
        <v>117</v>
      </c>
      <c r="AT756">
        <f t="shared" si="351"/>
        <v>107</v>
      </c>
      <c r="AU756">
        <f t="shared" si="352"/>
        <v>75</v>
      </c>
      <c r="AV756">
        <f t="shared" si="353"/>
        <v>67</v>
      </c>
      <c r="AW756">
        <f t="shared" si="354"/>
        <v>54</v>
      </c>
      <c r="AX756">
        <f t="shared" si="355"/>
        <v>73</v>
      </c>
      <c r="AY756">
        <f t="shared" si="356"/>
        <v>67</v>
      </c>
      <c r="AZ756">
        <f t="shared" si="357"/>
        <v>35</v>
      </c>
      <c r="BA756">
        <f t="shared" si="358"/>
        <v>31</v>
      </c>
      <c r="BB756">
        <f t="shared" si="359"/>
        <v>18</v>
      </c>
    </row>
    <row r="757" spans="1:54" x14ac:dyDescent="0.15">
      <c r="A757">
        <v>494</v>
      </c>
      <c r="B757" t="s">
        <v>2664</v>
      </c>
      <c r="C757">
        <v>591</v>
      </c>
      <c r="D757">
        <v>0</v>
      </c>
      <c r="E757" t="s">
        <v>2665</v>
      </c>
      <c r="G757" t="s">
        <v>2665</v>
      </c>
      <c r="H757" t="s">
        <v>2666</v>
      </c>
      <c r="J757" t="s">
        <v>287</v>
      </c>
      <c r="K757">
        <v>10.5</v>
      </c>
      <c r="L757">
        <v>0.6</v>
      </c>
      <c r="M757" t="s">
        <v>26</v>
      </c>
      <c r="N757" t="s">
        <v>27</v>
      </c>
      <c r="O757" t="s">
        <v>284</v>
      </c>
      <c r="P757" t="s">
        <v>471</v>
      </c>
      <c r="R757">
        <v>9</v>
      </c>
      <c r="S757">
        <v>114</v>
      </c>
      <c r="T757">
        <v>85</v>
      </c>
      <c r="U757">
        <v>70</v>
      </c>
      <c r="V757">
        <v>85</v>
      </c>
      <c r="W757">
        <v>80</v>
      </c>
      <c r="X757">
        <v>30</v>
      </c>
      <c r="Y757">
        <f t="shared" si="330"/>
        <v>221</v>
      </c>
      <c r="Z757">
        <f t="shared" si="331"/>
        <v>221</v>
      </c>
      <c r="AA757">
        <f t="shared" si="332"/>
        <v>189</v>
      </c>
      <c r="AB757">
        <f t="shared" si="333"/>
        <v>189</v>
      </c>
      <c r="AC757">
        <f t="shared" si="334"/>
        <v>174</v>
      </c>
      <c r="AD757">
        <f t="shared" si="335"/>
        <v>150</v>
      </c>
      <c r="AE757">
        <f t="shared" si="336"/>
        <v>137</v>
      </c>
      <c r="AF757">
        <f t="shared" si="337"/>
        <v>105</v>
      </c>
      <c r="AG757">
        <f t="shared" si="338"/>
        <v>94</v>
      </c>
      <c r="AH757">
        <f t="shared" si="339"/>
        <v>81</v>
      </c>
      <c r="AI757">
        <f t="shared" si="340"/>
        <v>134</v>
      </c>
      <c r="AJ757">
        <f t="shared" si="341"/>
        <v>122</v>
      </c>
      <c r="AK757">
        <f t="shared" si="342"/>
        <v>90</v>
      </c>
      <c r="AL757">
        <f t="shared" si="343"/>
        <v>81</v>
      </c>
      <c r="AM757">
        <f t="shared" si="344"/>
        <v>67</v>
      </c>
      <c r="AN757">
        <f t="shared" si="345"/>
        <v>150</v>
      </c>
      <c r="AO757">
        <f t="shared" si="346"/>
        <v>137</v>
      </c>
      <c r="AP757">
        <f t="shared" si="347"/>
        <v>105</v>
      </c>
      <c r="AQ757">
        <f t="shared" si="348"/>
        <v>94</v>
      </c>
      <c r="AR757">
        <f t="shared" si="349"/>
        <v>81</v>
      </c>
      <c r="AS757">
        <f t="shared" si="350"/>
        <v>145</v>
      </c>
      <c r="AT757">
        <f t="shared" si="351"/>
        <v>132</v>
      </c>
      <c r="AU757">
        <f t="shared" si="352"/>
        <v>100</v>
      </c>
      <c r="AV757">
        <f t="shared" si="353"/>
        <v>90</v>
      </c>
      <c r="AW757">
        <f t="shared" si="354"/>
        <v>76</v>
      </c>
      <c r="AX757">
        <f t="shared" si="355"/>
        <v>90</v>
      </c>
      <c r="AY757">
        <f t="shared" si="356"/>
        <v>82</v>
      </c>
      <c r="AZ757">
        <f t="shared" si="357"/>
        <v>50</v>
      </c>
      <c r="BA757">
        <f t="shared" si="358"/>
        <v>45</v>
      </c>
      <c r="BB757">
        <f t="shared" si="359"/>
        <v>31</v>
      </c>
    </row>
    <row r="758" spans="1:54" x14ac:dyDescent="0.15">
      <c r="B758" t="s">
        <v>2667</v>
      </c>
      <c r="C758">
        <v>592</v>
      </c>
      <c r="D758">
        <v>0</v>
      </c>
      <c r="E758" t="s">
        <v>2668</v>
      </c>
      <c r="G758" t="s">
        <v>2668</v>
      </c>
      <c r="J758" t="s">
        <v>2669</v>
      </c>
      <c r="K758">
        <v>33</v>
      </c>
      <c r="L758">
        <v>1.2</v>
      </c>
      <c r="M758" t="s">
        <v>71</v>
      </c>
      <c r="N758" t="s">
        <v>546</v>
      </c>
      <c r="O758" t="s">
        <v>383</v>
      </c>
      <c r="P758" t="s">
        <v>554</v>
      </c>
      <c r="Q758" t="s">
        <v>289</v>
      </c>
      <c r="R758">
        <v>8</v>
      </c>
      <c r="S758">
        <v>55</v>
      </c>
      <c r="T758">
        <v>40</v>
      </c>
      <c r="U758">
        <v>50</v>
      </c>
      <c r="V758">
        <v>65</v>
      </c>
      <c r="W758">
        <v>85</v>
      </c>
      <c r="X758">
        <v>40</v>
      </c>
      <c r="Y758">
        <f t="shared" si="330"/>
        <v>162</v>
      </c>
      <c r="Z758">
        <f t="shared" si="331"/>
        <v>162</v>
      </c>
      <c r="AA758">
        <f t="shared" si="332"/>
        <v>130</v>
      </c>
      <c r="AB758">
        <f t="shared" si="333"/>
        <v>130</v>
      </c>
      <c r="AC758">
        <f t="shared" si="334"/>
        <v>115</v>
      </c>
      <c r="AD758">
        <f t="shared" si="335"/>
        <v>101</v>
      </c>
      <c r="AE758">
        <f t="shared" si="336"/>
        <v>92</v>
      </c>
      <c r="AF758">
        <f t="shared" si="337"/>
        <v>60</v>
      </c>
      <c r="AG758">
        <f t="shared" si="338"/>
        <v>54</v>
      </c>
      <c r="AH758">
        <f t="shared" si="339"/>
        <v>40</v>
      </c>
      <c r="AI758">
        <f t="shared" si="340"/>
        <v>112</v>
      </c>
      <c r="AJ758">
        <f t="shared" si="341"/>
        <v>102</v>
      </c>
      <c r="AK758">
        <f t="shared" si="342"/>
        <v>70</v>
      </c>
      <c r="AL758">
        <f t="shared" si="343"/>
        <v>63</v>
      </c>
      <c r="AM758">
        <f t="shared" si="344"/>
        <v>49</v>
      </c>
      <c r="AN758">
        <f t="shared" si="345"/>
        <v>128</v>
      </c>
      <c r="AO758">
        <f t="shared" si="346"/>
        <v>117</v>
      </c>
      <c r="AP758">
        <f t="shared" si="347"/>
        <v>85</v>
      </c>
      <c r="AQ758">
        <f t="shared" si="348"/>
        <v>76</v>
      </c>
      <c r="AR758">
        <f t="shared" si="349"/>
        <v>63</v>
      </c>
      <c r="AS758">
        <f t="shared" si="350"/>
        <v>150</v>
      </c>
      <c r="AT758">
        <f t="shared" si="351"/>
        <v>137</v>
      </c>
      <c r="AU758">
        <f t="shared" si="352"/>
        <v>105</v>
      </c>
      <c r="AV758">
        <f t="shared" si="353"/>
        <v>94</v>
      </c>
      <c r="AW758">
        <f t="shared" si="354"/>
        <v>81</v>
      </c>
      <c r="AX758">
        <f t="shared" si="355"/>
        <v>101</v>
      </c>
      <c r="AY758">
        <f t="shared" si="356"/>
        <v>92</v>
      </c>
      <c r="AZ758">
        <f t="shared" si="357"/>
        <v>60</v>
      </c>
      <c r="BA758">
        <f t="shared" si="358"/>
        <v>54</v>
      </c>
      <c r="BB758">
        <f t="shared" si="359"/>
        <v>40</v>
      </c>
    </row>
    <row r="759" spans="1:54" x14ac:dyDescent="0.15">
      <c r="B759" t="s">
        <v>2670</v>
      </c>
      <c r="C759">
        <v>593</v>
      </c>
      <c r="D759">
        <v>0</v>
      </c>
      <c r="E759" t="s">
        <v>2671</v>
      </c>
      <c r="G759" t="s">
        <v>2671</v>
      </c>
      <c r="J759" t="s">
        <v>2669</v>
      </c>
      <c r="K759">
        <v>135</v>
      </c>
      <c r="L759">
        <v>2.2000000000000002</v>
      </c>
      <c r="M759" t="s">
        <v>71</v>
      </c>
      <c r="N759" t="s">
        <v>546</v>
      </c>
      <c r="O759" t="s">
        <v>383</v>
      </c>
      <c r="P759" t="s">
        <v>554</v>
      </c>
      <c r="Q759" t="s">
        <v>289</v>
      </c>
      <c r="R759">
        <v>8</v>
      </c>
      <c r="S759">
        <v>100</v>
      </c>
      <c r="T759">
        <v>60</v>
      </c>
      <c r="U759">
        <v>70</v>
      </c>
      <c r="V759">
        <v>85</v>
      </c>
      <c r="W759">
        <v>105</v>
      </c>
      <c r="X759">
        <v>60</v>
      </c>
      <c r="Y759">
        <f t="shared" si="330"/>
        <v>207</v>
      </c>
      <c r="Z759">
        <f t="shared" si="331"/>
        <v>207</v>
      </c>
      <c r="AA759">
        <f t="shared" si="332"/>
        <v>175</v>
      </c>
      <c r="AB759">
        <f t="shared" si="333"/>
        <v>175</v>
      </c>
      <c r="AC759">
        <f t="shared" si="334"/>
        <v>160</v>
      </c>
      <c r="AD759">
        <f t="shared" si="335"/>
        <v>123</v>
      </c>
      <c r="AE759">
        <f t="shared" si="336"/>
        <v>112</v>
      </c>
      <c r="AF759">
        <f t="shared" si="337"/>
        <v>80</v>
      </c>
      <c r="AG759">
        <f t="shared" si="338"/>
        <v>72</v>
      </c>
      <c r="AH759">
        <f t="shared" si="339"/>
        <v>58</v>
      </c>
      <c r="AI759">
        <f t="shared" si="340"/>
        <v>134</v>
      </c>
      <c r="AJ759">
        <f t="shared" si="341"/>
        <v>122</v>
      </c>
      <c r="AK759">
        <f t="shared" si="342"/>
        <v>90</v>
      </c>
      <c r="AL759">
        <f t="shared" si="343"/>
        <v>81</v>
      </c>
      <c r="AM759">
        <f t="shared" si="344"/>
        <v>67</v>
      </c>
      <c r="AN759">
        <f t="shared" si="345"/>
        <v>150</v>
      </c>
      <c r="AO759">
        <f t="shared" si="346"/>
        <v>137</v>
      </c>
      <c r="AP759">
        <f t="shared" si="347"/>
        <v>105</v>
      </c>
      <c r="AQ759">
        <f t="shared" si="348"/>
        <v>94</v>
      </c>
      <c r="AR759">
        <f t="shared" si="349"/>
        <v>81</v>
      </c>
      <c r="AS759">
        <f t="shared" si="350"/>
        <v>172</v>
      </c>
      <c r="AT759">
        <f t="shared" si="351"/>
        <v>157</v>
      </c>
      <c r="AU759">
        <f t="shared" si="352"/>
        <v>125</v>
      </c>
      <c r="AV759">
        <f t="shared" si="353"/>
        <v>112</v>
      </c>
      <c r="AW759">
        <f t="shared" si="354"/>
        <v>99</v>
      </c>
      <c r="AX759">
        <f t="shared" si="355"/>
        <v>123</v>
      </c>
      <c r="AY759">
        <f t="shared" si="356"/>
        <v>112</v>
      </c>
      <c r="AZ759">
        <f t="shared" si="357"/>
        <v>80</v>
      </c>
      <c r="BA759">
        <f t="shared" si="358"/>
        <v>72</v>
      </c>
      <c r="BB759">
        <f t="shared" si="359"/>
        <v>58</v>
      </c>
    </row>
    <row r="760" spans="1:54" x14ac:dyDescent="0.15">
      <c r="A760">
        <v>495</v>
      </c>
      <c r="B760" t="s">
        <v>2672</v>
      </c>
      <c r="C760">
        <v>594</v>
      </c>
      <c r="D760">
        <v>0</v>
      </c>
      <c r="E760" t="s">
        <v>2673</v>
      </c>
      <c r="G760" t="s">
        <v>2673</v>
      </c>
      <c r="H760" t="s">
        <v>2674</v>
      </c>
      <c r="J760" t="s">
        <v>2675</v>
      </c>
      <c r="K760">
        <v>31.6</v>
      </c>
      <c r="L760">
        <v>1.2</v>
      </c>
      <c r="M760" t="s">
        <v>71</v>
      </c>
      <c r="O760" t="s">
        <v>656</v>
      </c>
      <c r="P760" t="s">
        <v>513</v>
      </c>
      <c r="Q760" t="s">
        <v>471</v>
      </c>
      <c r="R760">
        <v>9</v>
      </c>
      <c r="S760">
        <v>165</v>
      </c>
      <c r="T760">
        <v>75</v>
      </c>
      <c r="U760">
        <v>80</v>
      </c>
      <c r="V760">
        <v>40</v>
      </c>
      <c r="W760">
        <v>45</v>
      </c>
      <c r="X760">
        <v>65</v>
      </c>
      <c r="Y760">
        <f t="shared" si="330"/>
        <v>272</v>
      </c>
      <c r="Z760">
        <f t="shared" si="331"/>
        <v>272</v>
      </c>
      <c r="AA760">
        <f t="shared" si="332"/>
        <v>240</v>
      </c>
      <c r="AB760">
        <f t="shared" si="333"/>
        <v>240</v>
      </c>
      <c r="AC760">
        <f t="shared" si="334"/>
        <v>225</v>
      </c>
      <c r="AD760">
        <f t="shared" si="335"/>
        <v>139</v>
      </c>
      <c r="AE760">
        <f t="shared" si="336"/>
        <v>127</v>
      </c>
      <c r="AF760">
        <f t="shared" si="337"/>
        <v>95</v>
      </c>
      <c r="AG760">
        <f t="shared" si="338"/>
        <v>85</v>
      </c>
      <c r="AH760">
        <f t="shared" si="339"/>
        <v>72</v>
      </c>
      <c r="AI760">
        <f t="shared" si="340"/>
        <v>145</v>
      </c>
      <c r="AJ760">
        <f t="shared" si="341"/>
        <v>132</v>
      </c>
      <c r="AK760">
        <f t="shared" si="342"/>
        <v>100</v>
      </c>
      <c r="AL760">
        <f t="shared" si="343"/>
        <v>90</v>
      </c>
      <c r="AM760">
        <f t="shared" si="344"/>
        <v>76</v>
      </c>
      <c r="AN760">
        <f t="shared" si="345"/>
        <v>101</v>
      </c>
      <c r="AO760">
        <f t="shared" si="346"/>
        <v>92</v>
      </c>
      <c r="AP760">
        <f t="shared" si="347"/>
        <v>60</v>
      </c>
      <c r="AQ760">
        <f t="shared" si="348"/>
        <v>54</v>
      </c>
      <c r="AR760">
        <f t="shared" si="349"/>
        <v>40</v>
      </c>
      <c r="AS760">
        <f t="shared" si="350"/>
        <v>106</v>
      </c>
      <c r="AT760">
        <f t="shared" si="351"/>
        <v>97</v>
      </c>
      <c r="AU760">
        <f t="shared" si="352"/>
        <v>65</v>
      </c>
      <c r="AV760">
        <f t="shared" si="353"/>
        <v>58</v>
      </c>
      <c r="AW760">
        <f t="shared" si="354"/>
        <v>45</v>
      </c>
      <c r="AX760">
        <f t="shared" si="355"/>
        <v>128</v>
      </c>
      <c r="AY760">
        <f t="shared" si="356"/>
        <v>117</v>
      </c>
      <c r="AZ760">
        <f t="shared" si="357"/>
        <v>85</v>
      </c>
      <c r="BA760">
        <f t="shared" si="358"/>
        <v>76</v>
      </c>
      <c r="BB760">
        <f t="shared" si="359"/>
        <v>63</v>
      </c>
    </row>
    <row r="761" spans="1:54" x14ac:dyDescent="0.15">
      <c r="A761">
        <v>496</v>
      </c>
      <c r="B761" t="s">
        <v>2676</v>
      </c>
      <c r="C761">
        <v>595</v>
      </c>
      <c r="D761">
        <v>0</v>
      </c>
      <c r="E761" t="s">
        <v>2677</v>
      </c>
      <c r="G761" t="s">
        <v>2677</v>
      </c>
      <c r="H761" t="s">
        <v>2678</v>
      </c>
      <c r="J761" t="s">
        <v>2679</v>
      </c>
      <c r="K761">
        <v>0.6</v>
      </c>
      <c r="L761">
        <v>0.1</v>
      </c>
      <c r="M761" t="s">
        <v>90</v>
      </c>
      <c r="N761" t="s">
        <v>164</v>
      </c>
      <c r="O761" t="s">
        <v>100</v>
      </c>
      <c r="P761" t="s">
        <v>156</v>
      </c>
      <c r="Q761" t="s">
        <v>112</v>
      </c>
      <c r="R761">
        <v>9</v>
      </c>
      <c r="S761">
        <v>50</v>
      </c>
      <c r="T761">
        <v>47</v>
      </c>
      <c r="U761">
        <v>50</v>
      </c>
      <c r="V761">
        <v>57</v>
      </c>
      <c r="W761">
        <v>50</v>
      </c>
      <c r="X761">
        <v>65</v>
      </c>
      <c r="Y761">
        <f t="shared" si="330"/>
        <v>157</v>
      </c>
      <c r="Z761">
        <f t="shared" si="331"/>
        <v>157</v>
      </c>
      <c r="AA761">
        <f t="shared" si="332"/>
        <v>125</v>
      </c>
      <c r="AB761">
        <f t="shared" si="333"/>
        <v>125</v>
      </c>
      <c r="AC761">
        <f t="shared" si="334"/>
        <v>110</v>
      </c>
      <c r="AD761">
        <f t="shared" si="335"/>
        <v>108</v>
      </c>
      <c r="AE761">
        <f t="shared" si="336"/>
        <v>99</v>
      </c>
      <c r="AF761">
        <f t="shared" si="337"/>
        <v>67</v>
      </c>
      <c r="AG761">
        <f t="shared" si="338"/>
        <v>60</v>
      </c>
      <c r="AH761">
        <f t="shared" si="339"/>
        <v>46</v>
      </c>
      <c r="AI761">
        <f t="shared" si="340"/>
        <v>112</v>
      </c>
      <c r="AJ761">
        <f t="shared" si="341"/>
        <v>102</v>
      </c>
      <c r="AK761">
        <f t="shared" si="342"/>
        <v>70</v>
      </c>
      <c r="AL761">
        <f t="shared" si="343"/>
        <v>63</v>
      </c>
      <c r="AM761">
        <f t="shared" si="344"/>
        <v>49</v>
      </c>
      <c r="AN761">
        <f t="shared" si="345"/>
        <v>119</v>
      </c>
      <c r="AO761">
        <f t="shared" si="346"/>
        <v>109</v>
      </c>
      <c r="AP761">
        <f t="shared" si="347"/>
        <v>77</v>
      </c>
      <c r="AQ761">
        <f t="shared" si="348"/>
        <v>69</v>
      </c>
      <c r="AR761">
        <f t="shared" si="349"/>
        <v>55</v>
      </c>
      <c r="AS761">
        <f t="shared" si="350"/>
        <v>112</v>
      </c>
      <c r="AT761">
        <f t="shared" si="351"/>
        <v>102</v>
      </c>
      <c r="AU761">
        <f t="shared" si="352"/>
        <v>70</v>
      </c>
      <c r="AV761">
        <f t="shared" si="353"/>
        <v>63</v>
      </c>
      <c r="AW761">
        <f t="shared" si="354"/>
        <v>49</v>
      </c>
      <c r="AX761">
        <f t="shared" si="355"/>
        <v>128</v>
      </c>
      <c r="AY761">
        <f t="shared" si="356"/>
        <v>117</v>
      </c>
      <c r="AZ761">
        <f t="shared" si="357"/>
        <v>85</v>
      </c>
      <c r="BA761">
        <f t="shared" si="358"/>
        <v>76</v>
      </c>
      <c r="BB761">
        <f t="shared" si="359"/>
        <v>63</v>
      </c>
    </row>
    <row r="762" spans="1:54" x14ac:dyDescent="0.15">
      <c r="A762">
        <v>497</v>
      </c>
      <c r="B762" t="s">
        <v>2680</v>
      </c>
      <c r="C762">
        <v>596</v>
      </c>
      <c r="D762">
        <v>0</v>
      </c>
      <c r="E762" t="s">
        <v>2681</v>
      </c>
      <c r="G762" t="s">
        <v>2681</v>
      </c>
      <c r="H762" t="s">
        <v>2682</v>
      </c>
      <c r="J762" t="s">
        <v>2683</v>
      </c>
      <c r="K762">
        <v>14.3</v>
      </c>
      <c r="L762">
        <v>0.8</v>
      </c>
      <c r="M762" t="s">
        <v>90</v>
      </c>
      <c r="N762" t="s">
        <v>164</v>
      </c>
      <c r="O762" t="s">
        <v>100</v>
      </c>
      <c r="P762" t="s">
        <v>156</v>
      </c>
      <c r="Q762" t="s">
        <v>112</v>
      </c>
      <c r="R762">
        <v>9</v>
      </c>
      <c r="S762">
        <v>70</v>
      </c>
      <c r="T762">
        <v>77</v>
      </c>
      <c r="U762">
        <v>60</v>
      </c>
      <c r="V762">
        <v>97</v>
      </c>
      <c r="W762">
        <v>60</v>
      </c>
      <c r="X762">
        <v>108</v>
      </c>
      <c r="Y762">
        <f t="shared" si="330"/>
        <v>177</v>
      </c>
      <c r="Z762">
        <f t="shared" si="331"/>
        <v>177</v>
      </c>
      <c r="AA762">
        <f t="shared" si="332"/>
        <v>145</v>
      </c>
      <c r="AB762">
        <f t="shared" si="333"/>
        <v>145</v>
      </c>
      <c r="AC762">
        <f t="shared" si="334"/>
        <v>130</v>
      </c>
      <c r="AD762">
        <f t="shared" si="335"/>
        <v>141</v>
      </c>
      <c r="AE762">
        <f t="shared" si="336"/>
        <v>129</v>
      </c>
      <c r="AF762">
        <f t="shared" si="337"/>
        <v>97</v>
      </c>
      <c r="AG762">
        <f t="shared" si="338"/>
        <v>87</v>
      </c>
      <c r="AH762">
        <f t="shared" si="339"/>
        <v>73</v>
      </c>
      <c r="AI762">
        <f t="shared" si="340"/>
        <v>123</v>
      </c>
      <c r="AJ762">
        <f t="shared" si="341"/>
        <v>112</v>
      </c>
      <c r="AK762">
        <f t="shared" si="342"/>
        <v>80</v>
      </c>
      <c r="AL762">
        <f t="shared" si="343"/>
        <v>72</v>
      </c>
      <c r="AM762">
        <f t="shared" si="344"/>
        <v>58</v>
      </c>
      <c r="AN762">
        <f t="shared" si="345"/>
        <v>163</v>
      </c>
      <c r="AO762">
        <f t="shared" si="346"/>
        <v>149</v>
      </c>
      <c r="AP762">
        <f t="shared" si="347"/>
        <v>117</v>
      </c>
      <c r="AQ762">
        <f t="shared" si="348"/>
        <v>105</v>
      </c>
      <c r="AR762">
        <f t="shared" si="349"/>
        <v>91</v>
      </c>
      <c r="AS762">
        <f t="shared" si="350"/>
        <v>123</v>
      </c>
      <c r="AT762">
        <f t="shared" si="351"/>
        <v>112</v>
      </c>
      <c r="AU762">
        <f t="shared" si="352"/>
        <v>80</v>
      </c>
      <c r="AV762">
        <f t="shared" si="353"/>
        <v>72</v>
      </c>
      <c r="AW762">
        <f t="shared" si="354"/>
        <v>58</v>
      </c>
      <c r="AX762">
        <f t="shared" si="355"/>
        <v>176</v>
      </c>
      <c r="AY762">
        <f t="shared" si="356"/>
        <v>160</v>
      </c>
      <c r="AZ762">
        <f t="shared" si="357"/>
        <v>128</v>
      </c>
      <c r="BA762">
        <f t="shared" si="358"/>
        <v>115</v>
      </c>
      <c r="BB762">
        <f t="shared" si="359"/>
        <v>101</v>
      </c>
    </row>
    <row r="763" spans="1:54" x14ac:dyDescent="0.15">
      <c r="B763" t="s">
        <v>2684</v>
      </c>
      <c r="C763">
        <v>597</v>
      </c>
      <c r="D763">
        <v>0</v>
      </c>
      <c r="E763" t="s">
        <v>2685</v>
      </c>
      <c r="G763" t="s">
        <v>2685</v>
      </c>
      <c r="J763" t="s">
        <v>2686</v>
      </c>
      <c r="K763">
        <v>18.8</v>
      </c>
      <c r="L763">
        <v>0.6</v>
      </c>
      <c r="M763" t="s">
        <v>26</v>
      </c>
      <c r="N763" t="s">
        <v>203</v>
      </c>
      <c r="O763" t="s">
        <v>2687</v>
      </c>
      <c r="R763">
        <v>8</v>
      </c>
      <c r="S763">
        <v>44</v>
      </c>
      <c r="T763">
        <v>50</v>
      </c>
      <c r="U763">
        <v>91</v>
      </c>
      <c r="V763">
        <v>24</v>
      </c>
      <c r="W763">
        <v>86</v>
      </c>
      <c r="X763">
        <v>10</v>
      </c>
      <c r="Y763">
        <f t="shared" si="330"/>
        <v>151</v>
      </c>
      <c r="Z763">
        <f t="shared" si="331"/>
        <v>151</v>
      </c>
      <c r="AA763">
        <f t="shared" si="332"/>
        <v>119</v>
      </c>
      <c r="AB763">
        <f t="shared" si="333"/>
        <v>119</v>
      </c>
      <c r="AC763">
        <f t="shared" si="334"/>
        <v>104</v>
      </c>
      <c r="AD763">
        <f t="shared" si="335"/>
        <v>112</v>
      </c>
      <c r="AE763">
        <f t="shared" si="336"/>
        <v>102</v>
      </c>
      <c r="AF763">
        <f t="shared" si="337"/>
        <v>70</v>
      </c>
      <c r="AG763">
        <f t="shared" si="338"/>
        <v>63</v>
      </c>
      <c r="AH763">
        <f t="shared" si="339"/>
        <v>49</v>
      </c>
      <c r="AI763">
        <f t="shared" si="340"/>
        <v>157</v>
      </c>
      <c r="AJ763">
        <f t="shared" si="341"/>
        <v>143</v>
      </c>
      <c r="AK763">
        <f t="shared" si="342"/>
        <v>111</v>
      </c>
      <c r="AL763">
        <f t="shared" si="343"/>
        <v>99</v>
      </c>
      <c r="AM763">
        <f t="shared" si="344"/>
        <v>86</v>
      </c>
      <c r="AN763">
        <f t="shared" si="345"/>
        <v>83</v>
      </c>
      <c r="AO763">
        <f t="shared" si="346"/>
        <v>76</v>
      </c>
      <c r="AP763">
        <f t="shared" si="347"/>
        <v>44</v>
      </c>
      <c r="AQ763">
        <f t="shared" si="348"/>
        <v>39</v>
      </c>
      <c r="AR763">
        <f t="shared" si="349"/>
        <v>26</v>
      </c>
      <c r="AS763">
        <f t="shared" si="350"/>
        <v>151</v>
      </c>
      <c r="AT763">
        <f t="shared" si="351"/>
        <v>138</v>
      </c>
      <c r="AU763">
        <f t="shared" si="352"/>
        <v>106</v>
      </c>
      <c r="AV763">
        <f t="shared" si="353"/>
        <v>95</v>
      </c>
      <c r="AW763">
        <f t="shared" si="354"/>
        <v>81</v>
      </c>
      <c r="AX763">
        <f t="shared" si="355"/>
        <v>68</v>
      </c>
      <c r="AY763">
        <f t="shared" si="356"/>
        <v>62</v>
      </c>
      <c r="AZ763">
        <f t="shared" si="357"/>
        <v>30</v>
      </c>
      <c r="BA763">
        <f t="shared" si="358"/>
        <v>27</v>
      </c>
      <c r="BB763">
        <f t="shared" si="359"/>
        <v>13</v>
      </c>
    </row>
    <row r="764" spans="1:54" x14ac:dyDescent="0.15">
      <c r="B764" t="s">
        <v>2688</v>
      </c>
      <c r="C764">
        <v>598</v>
      </c>
      <c r="D764">
        <v>0</v>
      </c>
      <c r="E764" t="s">
        <v>2689</v>
      </c>
      <c r="G764" t="s">
        <v>2689</v>
      </c>
      <c r="J764" t="s">
        <v>2690</v>
      </c>
      <c r="K764">
        <v>110</v>
      </c>
      <c r="L764">
        <v>1</v>
      </c>
      <c r="M764" t="s">
        <v>26</v>
      </c>
      <c r="N764" t="s">
        <v>203</v>
      </c>
      <c r="O764" t="s">
        <v>2687</v>
      </c>
      <c r="P764" t="s">
        <v>758</v>
      </c>
      <c r="R764">
        <v>8</v>
      </c>
      <c r="S764">
        <v>74</v>
      </c>
      <c r="T764">
        <v>94</v>
      </c>
      <c r="U764">
        <v>131</v>
      </c>
      <c r="V764">
        <v>54</v>
      </c>
      <c r="W764">
        <v>116</v>
      </c>
      <c r="X764">
        <v>20</v>
      </c>
      <c r="Y764">
        <f t="shared" si="330"/>
        <v>181</v>
      </c>
      <c r="Z764">
        <f t="shared" si="331"/>
        <v>181</v>
      </c>
      <c r="AA764">
        <f t="shared" si="332"/>
        <v>149</v>
      </c>
      <c r="AB764">
        <f t="shared" si="333"/>
        <v>149</v>
      </c>
      <c r="AC764">
        <f t="shared" si="334"/>
        <v>134</v>
      </c>
      <c r="AD764">
        <f t="shared" si="335"/>
        <v>160</v>
      </c>
      <c r="AE764">
        <f t="shared" si="336"/>
        <v>146</v>
      </c>
      <c r="AF764">
        <f t="shared" si="337"/>
        <v>114</v>
      </c>
      <c r="AG764">
        <f t="shared" si="338"/>
        <v>102</v>
      </c>
      <c r="AH764">
        <f t="shared" si="339"/>
        <v>89</v>
      </c>
      <c r="AI764">
        <f t="shared" si="340"/>
        <v>201</v>
      </c>
      <c r="AJ764">
        <f t="shared" si="341"/>
        <v>183</v>
      </c>
      <c r="AK764">
        <f t="shared" si="342"/>
        <v>151</v>
      </c>
      <c r="AL764">
        <f t="shared" si="343"/>
        <v>135</v>
      </c>
      <c r="AM764">
        <f t="shared" si="344"/>
        <v>122</v>
      </c>
      <c r="AN764">
        <f t="shared" si="345"/>
        <v>116</v>
      </c>
      <c r="AO764">
        <f t="shared" si="346"/>
        <v>106</v>
      </c>
      <c r="AP764">
        <f t="shared" si="347"/>
        <v>74</v>
      </c>
      <c r="AQ764">
        <f t="shared" si="348"/>
        <v>66</v>
      </c>
      <c r="AR764">
        <f t="shared" si="349"/>
        <v>53</v>
      </c>
      <c r="AS764">
        <f t="shared" si="350"/>
        <v>184</v>
      </c>
      <c r="AT764">
        <f t="shared" si="351"/>
        <v>168</v>
      </c>
      <c r="AU764">
        <f t="shared" si="352"/>
        <v>136</v>
      </c>
      <c r="AV764">
        <f t="shared" si="353"/>
        <v>122</v>
      </c>
      <c r="AW764">
        <f t="shared" si="354"/>
        <v>108</v>
      </c>
      <c r="AX764">
        <f t="shared" si="355"/>
        <v>79</v>
      </c>
      <c r="AY764">
        <f t="shared" si="356"/>
        <v>72</v>
      </c>
      <c r="AZ764">
        <f t="shared" si="357"/>
        <v>40</v>
      </c>
      <c r="BA764">
        <f t="shared" si="358"/>
        <v>36</v>
      </c>
      <c r="BB764">
        <f t="shared" si="359"/>
        <v>22</v>
      </c>
    </row>
    <row r="765" spans="1:54" x14ac:dyDescent="0.15">
      <c r="B765" t="s">
        <v>2691</v>
      </c>
      <c r="C765">
        <v>599</v>
      </c>
      <c r="D765">
        <v>0</v>
      </c>
      <c r="E765" t="s">
        <v>2692</v>
      </c>
      <c r="G765" t="s">
        <v>2692</v>
      </c>
      <c r="J765" t="s">
        <v>2693</v>
      </c>
      <c r="K765">
        <v>21</v>
      </c>
      <c r="L765">
        <v>0.3</v>
      </c>
      <c r="M765" t="s">
        <v>203</v>
      </c>
      <c r="O765" t="s">
        <v>948</v>
      </c>
      <c r="P765" t="s">
        <v>1473</v>
      </c>
      <c r="Q765" t="s">
        <v>425</v>
      </c>
      <c r="R765">
        <v>8</v>
      </c>
      <c r="S765">
        <v>40</v>
      </c>
      <c r="T765">
        <v>55</v>
      </c>
      <c r="U765">
        <v>70</v>
      </c>
      <c r="V765">
        <v>45</v>
      </c>
      <c r="W765">
        <v>60</v>
      </c>
      <c r="X765">
        <v>30</v>
      </c>
      <c r="Y765">
        <f t="shared" si="330"/>
        <v>147</v>
      </c>
      <c r="Z765">
        <f t="shared" si="331"/>
        <v>147</v>
      </c>
      <c r="AA765">
        <f t="shared" si="332"/>
        <v>115</v>
      </c>
      <c r="AB765">
        <f t="shared" si="333"/>
        <v>115</v>
      </c>
      <c r="AC765">
        <f t="shared" si="334"/>
        <v>100</v>
      </c>
      <c r="AD765">
        <f t="shared" si="335"/>
        <v>117</v>
      </c>
      <c r="AE765">
        <f t="shared" si="336"/>
        <v>107</v>
      </c>
      <c r="AF765">
        <f t="shared" si="337"/>
        <v>75</v>
      </c>
      <c r="AG765">
        <f t="shared" si="338"/>
        <v>67</v>
      </c>
      <c r="AH765">
        <f t="shared" si="339"/>
        <v>54</v>
      </c>
      <c r="AI765">
        <f t="shared" si="340"/>
        <v>134</v>
      </c>
      <c r="AJ765">
        <f t="shared" si="341"/>
        <v>122</v>
      </c>
      <c r="AK765">
        <f t="shared" si="342"/>
        <v>90</v>
      </c>
      <c r="AL765">
        <f t="shared" si="343"/>
        <v>81</v>
      </c>
      <c r="AM765">
        <f t="shared" si="344"/>
        <v>67</v>
      </c>
      <c r="AN765">
        <f t="shared" si="345"/>
        <v>106</v>
      </c>
      <c r="AO765">
        <f t="shared" si="346"/>
        <v>97</v>
      </c>
      <c r="AP765">
        <f t="shared" si="347"/>
        <v>65</v>
      </c>
      <c r="AQ765">
        <f t="shared" si="348"/>
        <v>58</v>
      </c>
      <c r="AR765">
        <f t="shared" si="349"/>
        <v>45</v>
      </c>
      <c r="AS765">
        <f t="shared" si="350"/>
        <v>123</v>
      </c>
      <c r="AT765">
        <f t="shared" si="351"/>
        <v>112</v>
      </c>
      <c r="AU765">
        <f t="shared" si="352"/>
        <v>80</v>
      </c>
      <c r="AV765">
        <f t="shared" si="353"/>
        <v>72</v>
      </c>
      <c r="AW765">
        <f t="shared" si="354"/>
        <v>58</v>
      </c>
      <c r="AX765">
        <f t="shared" si="355"/>
        <v>90</v>
      </c>
      <c r="AY765">
        <f t="shared" si="356"/>
        <v>82</v>
      </c>
      <c r="AZ765">
        <f t="shared" si="357"/>
        <v>50</v>
      </c>
      <c r="BA765">
        <f t="shared" si="358"/>
        <v>45</v>
      </c>
      <c r="BB765">
        <f t="shared" si="359"/>
        <v>31</v>
      </c>
    </row>
    <row r="766" spans="1:54" x14ac:dyDescent="0.15">
      <c r="B766" t="s">
        <v>2694</v>
      </c>
      <c r="C766">
        <v>600</v>
      </c>
      <c r="D766">
        <v>0</v>
      </c>
      <c r="E766" t="s">
        <v>2695</v>
      </c>
      <c r="G766" t="s">
        <v>2695</v>
      </c>
      <c r="J766" t="s">
        <v>2693</v>
      </c>
      <c r="K766">
        <v>51</v>
      </c>
      <c r="L766">
        <v>0.6</v>
      </c>
      <c r="M766" t="s">
        <v>203</v>
      </c>
      <c r="O766" t="s">
        <v>948</v>
      </c>
      <c r="P766" t="s">
        <v>1473</v>
      </c>
      <c r="Q766" t="s">
        <v>425</v>
      </c>
      <c r="R766">
        <v>8</v>
      </c>
      <c r="S766">
        <v>60</v>
      </c>
      <c r="T766">
        <v>80</v>
      </c>
      <c r="U766">
        <v>95</v>
      </c>
      <c r="V766">
        <v>70</v>
      </c>
      <c r="W766">
        <v>85</v>
      </c>
      <c r="X766">
        <v>50</v>
      </c>
      <c r="Y766">
        <f t="shared" si="330"/>
        <v>167</v>
      </c>
      <c r="Z766">
        <f t="shared" si="331"/>
        <v>167</v>
      </c>
      <c r="AA766">
        <f t="shared" si="332"/>
        <v>135</v>
      </c>
      <c r="AB766">
        <f t="shared" si="333"/>
        <v>135</v>
      </c>
      <c r="AC766">
        <f t="shared" si="334"/>
        <v>120</v>
      </c>
      <c r="AD766">
        <f t="shared" si="335"/>
        <v>145</v>
      </c>
      <c r="AE766">
        <f t="shared" si="336"/>
        <v>132</v>
      </c>
      <c r="AF766">
        <f t="shared" si="337"/>
        <v>100</v>
      </c>
      <c r="AG766">
        <f t="shared" si="338"/>
        <v>90</v>
      </c>
      <c r="AH766">
        <f t="shared" si="339"/>
        <v>76</v>
      </c>
      <c r="AI766">
        <f t="shared" si="340"/>
        <v>161</v>
      </c>
      <c r="AJ766">
        <f t="shared" si="341"/>
        <v>147</v>
      </c>
      <c r="AK766">
        <f t="shared" si="342"/>
        <v>115</v>
      </c>
      <c r="AL766">
        <f t="shared" si="343"/>
        <v>103</v>
      </c>
      <c r="AM766">
        <f t="shared" si="344"/>
        <v>90</v>
      </c>
      <c r="AN766">
        <f t="shared" si="345"/>
        <v>134</v>
      </c>
      <c r="AO766">
        <f t="shared" si="346"/>
        <v>122</v>
      </c>
      <c r="AP766">
        <f t="shared" si="347"/>
        <v>90</v>
      </c>
      <c r="AQ766">
        <f t="shared" si="348"/>
        <v>81</v>
      </c>
      <c r="AR766">
        <f t="shared" si="349"/>
        <v>67</v>
      </c>
      <c r="AS766">
        <f t="shared" si="350"/>
        <v>150</v>
      </c>
      <c r="AT766">
        <f t="shared" si="351"/>
        <v>137</v>
      </c>
      <c r="AU766">
        <f t="shared" si="352"/>
        <v>105</v>
      </c>
      <c r="AV766">
        <f t="shared" si="353"/>
        <v>94</v>
      </c>
      <c r="AW766">
        <f t="shared" si="354"/>
        <v>81</v>
      </c>
      <c r="AX766">
        <f t="shared" si="355"/>
        <v>112</v>
      </c>
      <c r="AY766">
        <f t="shared" si="356"/>
        <v>102</v>
      </c>
      <c r="AZ766">
        <f t="shared" si="357"/>
        <v>70</v>
      </c>
      <c r="BA766">
        <f t="shared" si="358"/>
        <v>63</v>
      </c>
      <c r="BB766">
        <f t="shared" si="359"/>
        <v>49</v>
      </c>
    </row>
    <row r="767" spans="1:54" x14ac:dyDescent="0.15">
      <c r="B767" t="s">
        <v>2696</v>
      </c>
      <c r="C767">
        <v>601</v>
      </c>
      <c r="D767">
        <v>0</v>
      </c>
      <c r="E767" t="s">
        <v>2697</v>
      </c>
      <c r="G767" t="s">
        <v>2697</v>
      </c>
      <c r="J767" t="s">
        <v>2693</v>
      </c>
      <c r="K767">
        <v>81</v>
      </c>
      <c r="L767">
        <v>0.6</v>
      </c>
      <c r="M767" t="s">
        <v>203</v>
      </c>
      <c r="O767" t="s">
        <v>948</v>
      </c>
      <c r="P767" t="s">
        <v>1473</v>
      </c>
      <c r="Q767" t="s">
        <v>425</v>
      </c>
      <c r="R767">
        <v>8</v>
      </c>
      <c r="S767">
        <v>60</v>
      </c>
      <c r="T767">
        <v>100</v>
      </c>
      <c r="U767">
        <v>115</v>
      </c>
      <c r="V767">
        <v>70</v>
      </c>
      <c r="W767">
        <v>85</v>
      </c>
      <c r="X767">
        <v>90</v>
      </c>
      <c r="Y767">
        <f t="shared" si="330"/>
        <v>167</v>
      </c>
      <c r="Z767">
        <f t="shared" si="331"/>
        <v>167</v>
      </c>
      <c r="AA767">
        <f t="shared" si="332"/>
        <v>135</v>
      </c>
      <c r="AB767">
        <f t="shared" si="333"/>
        <v>135</v>
      </c>
      <c r="AC767">
        <f t="shared" si="334"/>
        <v>120</v>
      </c>
      <c r="AD767">
        <f t="shared" si="335"/>
        <v>167</v>
      </c>
      <c r="AE767">
        <f t="shared" si="336"/>
        <v>152</v>
      </c>
      <c r="AF767">
        <f t="shared" si="337"/>
        <v>120</v>
      </c>
      <c r="AG767">
        <f t="shared" si="338"/>
        <v>108</v>
      </c>
      <c r="AH767">
        <f t="shared" si="339"/>
        <v>94</v>
      </c>
      <c r="AI767">
        <f t="shared" si="340"/>
        <v>183</v>
      </c>
      <c r="AJ767">
        <f t="shared" si="341"/>
        <v>167</v>
      </c>
      <c r="AK767">
        <f t="shared" si="342"/>
        <v>135</v>
      </c>
      <c r="AL767">
        <f t="shared" si="343"/>
        <v>121</v>
      </c>
      <c r="AM767">
        <f t="shared" si="344"/>
        <v>108</v>
      </c>
      <c r="AN767">
        <f t="shared" si="345"/>
        <v>134</v>
      </c>
      <c r="AO767">
        <f t="shared" si="346"/>
        <v>122</v>
      </c>
      <c r="AP767">
        <f t="shared" si="347"/>
        <v>90</v>
      </c>
      <c r="AQ767">
        <f t="shared" si="348"/>
        <v>81</v>
      </c>
      <c r="AR767">
        <f t="shared" si="349"/>
        <v>67</v>
      </c>
      <c r="AS767">
        <f t="shared" si="350"/>
        <v>150</v>
      </c>
      <c r="AT767">
        <f t="shared" si="351"/>
        <v>137</v>
      </c>
      <c r="AU767">
        <f t="shared" si="352"/>
        <v>105</v>
      </c>
      <c r="AV767">
        <f t="shared" si="353"/>
        <v>94</v>
      </c>
      <c r="AW767">
        <f t="shared" si="354"/>
        <v>81</v>
      </c>
      <c r="AX767">
        <f t="shared" si="355"/>
        <v>156</v>
      </c>
      <c r="AY767">
        <f t="shared" si="356"/>
        <v>142</v>
      </c>
      <c r="AZ767">
        <f t="shared" si="357"/>
        <v>110</v>
      </c>
      <c r="BA767">
        <f t="shared" si="358"/>
        <v>99</v>
      </c>
      <c r="BB767">
        <f t="shared" si="359"/>
        <v>85</v>
      </c>
    </row>
    <row r="768" spans="1:54" x14ac:dyDescent="0.15">
      <c r="A768">
        <v>498</v>
      </c>
      <c r="B768" t="s">
        <v>2698</v>
      </c>
      <c r="C768">
        <v>602</v>
      </c>
      <c r="D768">
        <v>0</v>
      </c>
      <c r="E768" t="s">
        <v>2699</v>
      </c>
      <c r="G768" t="s">
        <v>2699</v>
      </c>
      <c r="H768" t="s">
        <v>2700</v>
      </c>
      <c r="J768" t="s">
        <v>2701</v>
      </c>
      <c r="K768">
        <v>0.3</v>
      </c>
      <c r="L768">
        <v>0.2</v>
      </c>
      <c r="M768" t="s">
        <v>164</v>
      </c>
      <c r="O768" t="s">
        <v>547</v>
      </c>
      <c r="R768">
        <v>9</v>
      </c>
      <c r="S768">
        <v>35</v>
      </c>
      <c r="T768">
        <v>55</v>
      </c>
      <c r="U768">
        <v>40</v>
      </c>
      <c r="V768">
        <v>45</v>
      </c>
      <c r="W768">
        <v>40</v>
      </c>
      <c r="X768">
        <v>60</v>
      </c>
      <c r="Y768">
        <f t="shared" si="330"/>
        <v>142</v>
      </c>
      <c r="Z768">
        <f t="shared" si="331"/>
        <v>142</v>
      </c>
      <c r="AA768">
        <f t="shared" si="332"/>
        <v>110</v>
      </c>
      <c r="AB768">
        <f t="shared" si="333"/>
        <v>110</v>
      </c>
      <c r="AC768">
        <f t="shared" si="334"/>
        <v>95</v>
      </c>
      <c r="AD768">
        <f t="shared" si="335"/>
        <v>117</v>
      </c>
      <c r="AE768">
        <f t="shared" si="336"/>
        <v>107</v>
      </c>
      <c r="AF768">
        <f t="shared" si="337"/>
        <v>75</v>
      </c>
      <c r="AG768">
        <f t="shared" si="338"/>
        <v>67</v>
      </c>
      <c r="AH768">
        <f t="shared" si="339"/>
        <v>54</v>
      </c>
      <c r="AI768">
        <f t="shared" si="340"/>
        <v>101</v>
      </c>
      <c r="AJ768">
        <f t="shared" si="341"/>
        <v>92</v>
      </c>
      <c r="AK768">
        <f t="shared" si="342"/>
        <v>60</v>
      </c>
      <c r="AL768">
        <f t="shared" si="343"/>
        <v>54</v>
      </c>
      <c r="AM768">
        <f t="shared" si="344"/>
        <v>40</v>
      </c>
      <c r="AN768">
        <f t="shared" si="345"/>
        <v>106</v>
      </c>
      <c r="AO768">
        <f t="shared" si="346"/>
        <v>97</v>
      </c>
      <c r="AP768">
        <f t="shared" si="347"/>
        <v>65</v>
      </c>
      <c r="AQ768">
        <f t="shared" si="348"/>
        <v>58</v>
      </c>
      <c r="AR768">
        <f t="shared" si="349"/>
        <v>45</v>
      </c>
      <c r="AS768">
        <f t="shared" si="350"/>
        <v>101</v>
      </c>
      <c r="AT768">
        <f t="shared" si="351"/>
        <v>92</v>
      </c>
      <c r="AU768">
        <f t="shared" si="352"/>
        <v>60</v>
      </c>
      <c r="AV768">
        <f t="shared" si="353"/>
        <v>54</v>
      </c>
      <c r="AW768">
        <f t="shared" si="354"/>
        <v>40</v>
      </c>
      <c r="AX768">
        <f t="shared" si="355"/>
        <v>123</v>
      </c>
      <c r="AY768">
        <f t="shared" si="356"/>
        <v>112</v>
      </c>
      <c r="AZ768">
        <f t="shared" si="357"/>
        <v>80</v>
      </c>
      <c r="BA768">
        <f t="shared" si="358"/>
        <v>72</v>
      </c>
      <c r="BB768">
        <f t="shared" si="359"/>
        <v>58</v>
      </c>
    </row>
    <row r="769" spans="1:54" x14ac:dyDescent="0.15">
      <c r="A769">
        <v>499</v>
      </c>
      <c r="B769" t="s">
        <v>2702</v>
      </c>
      <c r="C769">
        <v>603</v>
      </c>
      <c r="D769">
        <v>0</v>
      </c>
      <c r="E769" t="s">
        <v>2703</v>
      </c>
      <c r="G769" t="s">
        <v>2703</v>
      </c>
      <c r="H769" t="s">
        <v>2704</v>
      </c>
      <c r="J769" t="s">
        <v>2701</v>
      </c>
      <c r="K769">
        <v>22</v>
      </c>
      <c r="L769">
        <v>1.2</v>
      </c>
      <c r="M769" t="s">
        <v>164</v>
      </c>
      <c r="O769" t="s">
        <v>547</v>
      </c>
      <c r="R769">
        <v>9</v>
      </c>
      <c r="S769">
        <v>65</v>
      </c>
      <c r="T769">
        <v>85</v>
      </c>
      <c r="U769">
        <v>70</v>
      </c>
      <c r="V769">
        <v>75</v>
      </c>
      <c r="W769">
        <v>70</v>
      </c>
      <c r="X769">
        <v>40</v>
      </c>
      <c r="Y769">
        <f t="shared" si="330"/>
        <v>172</v>
      </c>
      <c r="Z769">
        <f t="shared" si="331"/>
        <v>172</v>
      </c>
      <c r="AA769">
        <f t="shared" si="332"/>
        <v>140</v>
      </c>
      <c r="AB769">
        <f t="shared" si="333"/>
        <v>140</v>
      </c>
      <c r="AC769">
        <f t="shared" si="334"/>
        <v>125</v>
      </c>
      <c r="AD769">
        <f t="shared" si="335"/>
        <v>150</v>
      </c>
      <c r="AE769">
        <f t="shared" si="336"/>
        <v>137</v>
      </c>
      <c r="AF769">
        <f t="shared" si="337"/>
        <v>105</v>
      </c>
      <c r="AG769">
        <f t="shared" si="338"/>
        <v>94</v>
      </c>
      <c r="AH769">
        <f t="shared" si="339"/>
        <v>81</v>
      </c>
      <c r="AI769">
        <f t="shared" si="340"/>
        <v>134</v>
      </c>
      <c r="AJ769">
        <f t="shared" si="341"/>
        <v>122</v>
      </c>
      <c r="AK769">
        <f t="shared" si="342"/>
        <v>90</v>
      </c>
      <c r="AL769">
        <f t="shared" si="343"/>
        <v>81</v>
      </c>
      <c r="AM769">
        <f t="shared" si="344"/>
        <v>67</v>
      </c>
      <c r="AN769">
        <f t="shared" si="345"/>
        <v>139</v>
      </c>
      <c r="AO769">
        <f t="shared" si="346"/>
        <v>127</v>
      </c>
      <c r="AP769">
        <f t="shared" si="347"/>
        <v>95</v>
      </c>
      <c r="AQ769">
        <f t="shared" si="348"/>
        <v>85</v>
      </c>
      <c r="AR769">
        <f t="shared" si="349"/>
        <v>72</v>
      </c>
      <c r="AS769">
        <f t="shared" si="350"/>
        <v>134</v>
      </c>
      <c r="AT769">
        <f t="shared" si="351"/>
        <v>122</v>
      </c>
      <c r="AU769">
        <f t="shared" si="352"/>
        <v>90</v>
      </c>
      <c r="AV769">
        <f t="shared" si="353"/>
        <v>81</v>
      </c>
      <c r="AW769">
        <f t="shared" si="354"/>
        <v>67</v>
      </c>
      <c r="AX769">
        <f t="shared" si="355"/>
        <v>101</v>
      </c>
      <c r="AY769">
        <f t="shared" si="356"/>
        <v>92</v>
      </c>
      <c r="AZ769">
        <f t="shared" si="357"/>
        <v>60</v>
      </c>
      <c r="BA769">
        <f t="shared" si="358"/>
        <v>54</v>
      </c>
      <c r="BB769">
        <f t="shared" si="359"/>
        <v>40</v>
      </c>
    </row>
    <row r="770" spans="1:54" x14ac:dyDescent="0.15">
      <c r="A770">
        <v>500</v>
      </c>
      <c r="B770" t="s">
        <v>2705</v>
      </c>
      <c r="C770">
        <v>604</v>
      </c>
      <c r="D770">
        <v>0</v>
      </c>
      <c r="E770" t="s">
        <v>2706</v>
      </c>
      <c r="G770" t="s">
        <v>2706</v>
      </c>
      <c r="H770" t="s">
        <v>2707</v>
      </c>
      <c r="J770" t="s">
        <v>2701</v>
      </c>
      <c r="K770">
        <v>80.5</v>
      </c>
      <c r="L770">
        <v>2.1</v>
      </c>
      <c r="M770" t="s">
        <v>164</v>
      </c>
      <c r="O770" t="s">
        <v>547</v>
      </c>
      <c r="R770">
        <v>9</v>
      </c>
      <c r="S770">
        <v>85</v>
      </c>
      <c r="T770">
        <v>115</v>
      </c>
      <c r="U770">
        <v>80</v>
      </c>
      <c r="V770">
        <v>105</v>
      </c>
      <c r="W770">
        <v>80</v>
      </c>
      <c r="X770">
        <v>50</v>
      </c>
      <c r="Y770">
        <f t="shared" ref="Y770:Y833" si="360">IF(S770="", "", S770+107)</f>
        <v>192</v>
      </c>
      <c r="Z770">
        <f t="shared" ref="Z770:Z833" si="361">IF(S770="", "", S770+107)</f>
        <v>192</v>
      </c>
      <c r="AA770">
        <f t="shared" ref="AA770:AA833" si="362">IF(S770="", "", INT(INT(S770*2 + 31)/2) + 60)</f>
        <v>160</v>
      </c>
      <c r="AB770">
        <f t="shared" ref="AB770:AB833" si="363">IF(S770="", "", INT(INT(S770*2 + 31)/2) + 60)</f>
        <v>160</v>
      </c>
      <c r="AC770">
        <f t="shared" ref="AC770:AC833" si="364">IF(S770="", "", S770 + 60)</f>
        <v>145</v>
      </c>
      <c r="AD770">
        <f t="shared" ref="AD770:AD833" si="365">IF(T770="","",INT((T770+52)*1.1))</f>
        <v>183</v>
      </c>
      <c r="AE770">
        <f t="shared" ref="AE770:AE833" si="366">IF(T770="","",T770+52)</f>
        <v>167</v>
      </c>
      <c r="AF770">
        <f t="shared" ref="AF770:AF833" si="367">IF(T770="", "", INT((T770*2 + 31)/2) + 5)</f>
        <v>135</v>
      </c>
      <c r="AG770">
        <f t="shared" ref="AG770:AG833" si="368">IF(T770="", "", INT((INT((T770*2 + 31)/2) + 5)*0.9) )</f>
        <v>121</v>
      </c>
      <c r="AH770">
        <f t="shared" ref="AH770:AH833" si="369">IF(T770="", "", INT((T770 + 5) * 0.9))</f>
        <v>108</v>
      </c>
      <c r="AI770">
        <f t="shared" ref="AI770:AI833" si="370">IF(U770="","",INT((U770+52)*1.1))</f>
        <v>145</v>
      </c>
      <c r="AJ770">
        <f t="shared" ref="AJ770:AJ833" si="371">IF(U770="","",U770+52)</f>
        <v>132</v>
      </c>
      <c r="AK770">
        <f t="shared" ref="AK770:AK833" si="372">IF(U770="", "", INT((U770*2 + 31)/2) + 5)</f>
        <v>100</v>
      </c>
      <c r="AL770">
        <f t="shared" ref="AL770:AL833" si="373">IF(U770="", "", INT((INT((U770*2 + 31)/2) + 5)*0.9) )</f>
        <v>90</v>
      </c>
      <c r="AM770">
        <f t="shared" ref="AM770:AM833" si="374">IF(U770="", "", INT((U770 + 5) * 0.9))</f>
        <v>76</v>
      </c>
      <c r="AN770">
        <f t="shared" ref="AN770:AN833" si="375">IF(V770="","",INT((V770+52)*1.1))</f>
        <v>172</v>
      </c>
      <c r="AO770">
        <f t="shared" ref="AO770:AO833" si="376">IF(V770="","",V770+52)</f>
        <v>157</v>
      </c>
      <c r="AP770">
        <f t="shared" ref="AP770:AP833" si="377">IF(V770="", "", INT((V770*2 + 31)/2) + 5)</f>
        <v>125</v>
      </c>
      <c r="AQ770">
        <f t="shared" ref="AQ770:AQ833" si="378">IF(V770="", "", INT((INT((V770*2 + 31)/2) + 5)*0.9) )</f>
        <v>112</v>
      </c>
      <c r="AR770">
        <f t="shared" ref="AR770:AR833" si="379">IF(V770="", "", INT((V770 + 5) * 0.9))</f>
        <v>99</v>
      </c>
      <c r="AS770">
        <f t="shared" ref="AS770:AS833" si="380">IF(W770="","",INT((W770+52)*1.1))</f>
        <v>145</v>
      </c>
      <c r="AT770">
        <f t="shared" ref="AT770:AT833" si="381">IF(W770="","",W770+52)</f>
        <v>132</v>
      </c>
      <c r="AU770">
        <f t="shared" ref="AU770:AU833" si="382">IF(W770="", "", INT((W770*2 + 31)/2) + 5)</f>
        <v>100</v>
      </c>
      <c r="AV770">
        <f t="shared" ref="AV770:AV833" si="383">IF(W770="", "", INT((INT((W770*2 + 31)/2) + 5)*0.9) )</f>
        <v>90</v>
      </c>
      <c r="AW770">
        <f t="shared" ref="AW770:AW833" si="384">IF(W770="", "", INT((W770 + 5) * 0.9))</f>
        <v>76</v>
      </c>
      <c r="AX770">
        <f t="shared" ref="AX770:AX833" si="385">IF(X770="","",INT((X770+52)*1.1))</f>
        <v>112</v>
      </c>
      <c r="AY770">
        <f t="shared" ref="AY770:AY833" si="386">IF(X770="","",X770+52)</f>
        <v>102</v>
      </c>
      <c r="AZ770">
        <f t="shared" ref="AZ770:AZ833" si="387">IF(X770="", "", INT((X770*2 + 31)/2) + 5)</f>
        <v>70</v>
      </c>
      <c r="BA770">
        <f t="shared" ref="BA770:BA833" si="388">IF(X770="", "", INT((INT((X770*2 + 31)/2) + 5)*0.9) )</f>
        <v>63</v>
      </c>
      <c r="BB770">
        <f t="shared" ref="BB770:BB833" si="389">IF(X770="", "", INT((X770 + 5) * 0.9))</f>
        <v>49</v>
      </c>
    </row>
    <row r="771" spans="1:54" x14ac:dyDescent="0.15">
      <c r="B771" t="s">
        <v>2708</v>
      </c>
      <c r="C771">
        <v>605</v>
      </c>
      <c r="D771">
        <v>0</v>
      </c>
      <c r="E771" t="s">
        <v>2709</v>
      </c>
      <c r="G771" t="s">
        <v>2709</v>
      </c>
      <c r="J771" t="s">
        <v>2710</v>
      </c>
      <c r="K771">
        <v>9</v>
      </c>
      <c r="L771">
        <v>0.5</v>
      </c>
      <c r="M771" t="s">
        <v>191</v>
      </c>
      <c r="O771" t="s">
        <v>1048</v>
      </c>
      <c r="P771" t="s">
        <v>393</v>
      </c>
      <c r="Q771" t="s">
        <v>490</v>
      </c>
      <c r="R771">
        <v>8</v>
      </c>
      <c r="S771">
        <v>55</v>
      </c>
      <c r="T771">
        <v>55</v>
      </c>
      <c r="U771">
        <v>55</v>
      </c>
      <c r="V771">
        <v>85</v>
      </c>
      <c r="W771">
        <v>55</v>
      </c>
      <c r="X771">
        <v>30</v>
      </c>
      <c r="Y771">
        <f t="shared" si="360"/>
        <v>162</v>
      </c>
      <c r="Z771">
        <f t="shared" si="361"/>
        <v>162</v>
      </c>
      <c r="AA771">
        <f t="shared" si="362"/>
        <v>130</v>
      </c>
      <c r="AB771">
        <f t="shared" si="363"/>
        <v>130</v>
      </c>
      <c r="AC771">
        <f t="shared" si="364"/>
        <v>115</v>
      </c>
      <c r="AD771">
        <f t="shared" si="365"/>
        <v>117</v>
      </c>
      <c r="AE771">
        <f t="shared" si="366"/>
        <v>107</v>
      </c>
      <c r="AF771">
        <f t="shared" si="367"/>
        <v>75</v>
      </c>
      <c r="AG771">
        <f t="shared" si="368"/>
        <v>67</v>
      </c>
      <c r="AH771">
        <f t="shared" si="369"/>
        <v>54</v>
      </c>
      <c r="AI771">
        <f t="shared" si="370"/>
        <v>117</v>
      </c>
      <c r="AJ771">
        <f t="shared" si="371"/>
        <v>107</v>
      </c>
      <c r="AK771">
        <f t="shared" si="372"/>
        <v>75</v>
      </c>
      <c r="AL771">
        <f t="shared" si="373"/>
        <v>67</v>
      </c>
      <c r="AM771">
        <f t="shared" si="374"/>
        <v>54</v>
      </c>
      <c r="AN771">
        <f t="shared" si="375"/>
        <v>150</v>
      </c>
      <c r="AO771">
        <f t="shared" si="376"/>
        <v>137</v>
      </c>
      <c r="AP771">
        <f t="shared" si="377"/>
        <v>105</v>
      </c>
      <c r="AQ771">
        <f t="shared" si="378"/>
        <v>94</v>
      </c>
      <c r="AR771">
        <f t="shared" si="379"/>
        <v>81</v>
      </c>
      <c r="AS771">
        <f t="shared" si="380"/>
        <v>117</v>
      </c>
      <c r="AT771">
        <f t="shared" si="381"/>
        <v>107</v>
      </c>
      <c r="AU771">
        <f t="shared" si="382"/>
        <v>75</v>
      </c>
      <c r="AV771">
        <f t="shared" si="383"/>
        <v>67</v>
      </c>
      <c r="AW771">
        <f t="shared" si="384"/>
        <v>54</v>
      </c>
      <c r="AX771">
        <f t="shared" si="385"/>
        <v>90</v>
      </c>
      <c r="AY771">
        <f t="shared" si="386"/>
        <v>82</v>
      </c>
      <c r="AZ771">
        <f t="shared" si="387"/>
        <v>50</v>
      </c>
      <c r="BA771">
        <f t="shared" si="388"/>
        <v>45</v>
      </c>
      <c r="BB771">
        <f t="shared" si="389"/>
        <v>31</v>
      </c>
    </row>
    <row r="772" spans="1:54" x14ac:dyDescent="0.15">
      <c r="B772" t="s">
        <v>2711</v>
      </c>
      <c r="C772">
        <v>606</v>
      </c>
      <c r="D772">
        <v>0</v>
      </c>
      <c r="E772" t="s">
        <v>2712</v>
      </c>
      <c r="G772" t="s">
        <v>2712</v>
      </c>
      <c r="J772" t="s">
        <v>2710</v>
      </c>
      <c r="K772">
        <v>34.5</v>
      </c>
      <c r="L772">
        <v>1</v>
      </c>
      <c r="M772" t="s">
        <v>191</v>
      </c>
      <c r="O772" t="s">
        <v>1048</v>
      </c>
      <c r="P772" t="s">
        <v>393</v>
      </c>
      <c r="Q772" t="s">
        <v>490</v>
      </c>
      <c r="R772">
        <v>8</v>
      </c>
      <c r="S772">
        <v>75</v>
      </c>
      <c r="T772">
        <v>75</v>
      </c>
      <c r="U772">
        <v>75</v>
      </c>
      <c r="V772">
        <v>125</v>
      </c>
      <c r="W772">
        <v>95</v>
      </c>
      <c r="X772">
        <v>40</v>
      </c>
      <c r="Y772">
        <f t="shared" si="360"/>
        <v>182</v>
      </c>
      <c r="Z772">
        <f t="shared" si="361"/>
        <v>182</v>
      </c>
      <c r="AA772">
        <f t="shared" si="362"/>
        <v>150</v>
      </c>
      <c r="AB772">
        <f t="shared" si="363"/>
        <v>150</v>
      </c>
      <c r="AC772">
        <f t="shared" si="364"/>
        <v>135</v>
      </c>
      <c r="AD772">
        <f t="shared" si="365"/>
        <v>139</v>
      </c>
      <c r="AE772">
        <f t="shared" si="366"/>
        <v>127</v>
      </c>
      <c r="AF772">
        <f t="shared" si="367"/>
        <v>95</v>
      </c>
      <c r="AG772">
        <f t="shared" si="368"/>
        <v>85</v>
      </c>
      <c r="AH772">
        <f t="shared" si="369"/>
        <v>72</v>
      </c>
      <c r="AI772">
        <f t="shared" si="370"/>
        <v>139</v>
      </c>
      <c r="AJ772">
        <f t="shared" si="371"/>
        <v>127</v>
      </c>
      <c r="AK772">
        <f t="shared" si="372"/>
        <v>95</v>
      </c>
      <c r="AL772">
        <f t="shared" si="373"/>
        <v>85</v>
      </c>
      <c r="AM772">
        <f t="shared" si="374"/>
        <v>72</v>
      </c>
      <c r="AN772">
        <f t="shared" si="375"/>
        <v>194</v>
      </c>
      <c r="AO772">
        <f t="shared" si="376"/>
        <v>177</v>
      </c>
      <c r="AP772">
        <f t="shared" si="377"/>
        <v>145</v>
      </c>
      <c r="AQ772">
        <f t="shared" si="378"/>
        <v>130</v>
      </c>
      <c r="AR772">
        <f t="shared" si="379"/>
        <v>117</v>
      </c>
      <c r="AS772">
        <f t="shared" si="380"/>
        <v>161</v>
      </c>
      <c r="AT772">
        <f t="shared" si="381"/>
        <v>147</v>
      </c>
      <c r="AU772">
        <f t="shared" si="382"/>
        <v>115</v>
      </c>
      <c r="AV772">
        <f t="shared" si="383"/>
        <v>103</v>
      </c>
      <c r="AW772">
        <f t="shared" si="384"/>
        <v>90</v>
      </c>
      <c r="AX772">
        <f t="shared" si="385"/>
        <v>101</v>
      </c>
      <c r="AY772">
        <f t="shared" si="386"/>
        <v>92</v>
      </c>
      <c r="AZ772">
        <f t="shared" si="387"/>
        <v>60</v>
      </c>
      <c r="BA772">
        <f t="shared" si="388"/>
        <v>54</v>
      </c>
      <c r="BB772">
        <f t="shared" si="389"/>
        <v>40</v>
      </c>
    </row>
    <row r="773" spans="1:54" x14ac:dyDescent="0.15">
      <c r="A773">
        <v>501</v>
      </c>
      <c r="B773" t="s">
        <v>2713</v>
      </c>
      <c r="C773">
        <v>607</v>
      </c>
      <c r="D773">
        <v>0</v>
      </c>
      <c r="E773" t="s">
        <v>2714</v>
      </c>
      <c r="G773" t="s">
        <v>2714</v>
      </c>
      <c r="H773" t="s">
        <v>2715</v>
      </c>
      <c r="J773" t="s">
        <v>2716</v>
      </c>
      <c r="K773">
        <v>3.1</v>
      </c>
      <c r="L773">
        <v>0.3</v>
      </c>
      <c r="M773" t="s">
        <v>546</v>
      </c>
      <c r="N773" t="s">
        <v>47</v>
      </c>
      <c r="O773" t="s">
        <v>245</v>
      </c>
      <c r="P773" t="s">
        <v>456</v>
      </c>
      <c r="Q773" t="s">
        <v>269</v>
      </c>
      <c r="R773">
        <v>9</v>
      </c>
      <c r="S773">
        <v>50</v>
      </c>
      <c r="T773">
        <v>30</v>
      </c>
      <c r="U773">
        <v>55</v>
      </c>
      <c r="V773">
        <v>65</v>
      </c>
      <c r="W773">
        <v>55</v>
      </c>
      <c r="X773">
        <v>20</v>
      </c>
      <c r="Y773">
        <f t="shared" si="360"/>
        <v>157</v>
      </c>
      <c r="Z773">
        <f t="shared" si="361"/>
        <v>157</v>
      </c>
      <c r="AA773">
        <f t="shared" si="362"/>
        <v>125</v>
      </c>
      <c r="AB773">
        <f t="shared" si="363"/>
        <v>125</v>
      </c>
      <c r="AC773">
        <f t="shared" si="364"/>
        <v>110</v>
      </c>
      <c r="AD773">
        <f t="shared" si="365"/>
        <v>90</v>
      </c>
      <c r="AE773">
        <f t="shared" si="366"/>
        <v>82</v>
      </c>
      <c r="AF773">
        <f t="shared" si="367"/>
        <v>50</v>
      </c>
      <c r="AG773">
        <f t="shared" si="368"/>
        <v>45</v>
      </c>
      <c r="AH773">
        <f t="shared" si="369"/>
        <v>31</v>
      </c>
      <c r="AI773">
        <f t="shared" si="370"/>
        <v>117</v>
      </c>
      <c r="AJ773">
        <f t="shared" si="371"/>
        <v>107</v>
      </c>
      <c r="AK773">
        <f t="shared" si="372"/>
        <v>75</v>
      </c>
      <c r="AL773">
        <f t="shared" si="373"/>
        <v>67</v>
      </c>
      <c r="AM773">
        <f t="shared" si="374"/>
        <v>54</v>
      </c>
      <c r="AN773">
        <f t="shared" si="375"/>
        <v>128</v>
      </c>
      <c r="AO773">
        <f t="shared" si="376"/>
        <v>117</v>
      </c>
      <c r="AP773">
        <f t="shared" si="377"/>
        <v>85</v>
      </c>
      <c r="AQ773">
        <f t="shared" si="378"/>
        <v>76</v>
      </c>
      <c r="AR773">
        <f t="shared" si="379"/>
        <v>63</v>
      </c>
      <c r="AS773">
        <f t="shared" si="380"/>
        <v>117</v>
      </c>
      <c r="AT773">
        <f t="shared" si="381"/>
        <v>107</v>
      </c>
      <c r="AU773">
        <f t="shared" si="382"/>
        <v>75</v>
      </c>
      <c r="AV773">
        <f t="shared" si="383"/>
        <v>67</v>
      </c>
      <c r="AW773">
        <f t="shared" si="384"/>
        <v>54</v>
      </c>
      <c r="AX773">
        <f t="shared" si="385"/>
        <v>79</v>
      </c>
      <c r="AY773">
        <f t="shared" si="386"/>
        <v>72</v>
      </c>
      <c r="AZ773">
        <f t="shared" si="387"/>
        <v>40</v>
      </c>
      <c r="BA773">
        <f t="shared" si="388"/>
        <v>36</v>
      </c>
      <c r="BB773">
        <f t="shared" si="389"/>
        <v>22</v>
      </c>
    </row>
    <row r="774" spans="1:54" x14ac:dyDescent="0.15">
      <c r="A774">
        <v>502</v>
      </c>
      <c r="B774" t="s">
        <v>2717</v>
      </c>
      <c r="C774">
        <v>608</v>
      </c>
      <c r="D774">
        <v>0</v>
      </c>
      <c r="E774" t="s">
        <v>2718</v>
      </c>
      <c r="G774" t="s">
        <v>2718</v>
      </c>
      <c r="H774" t="s">
        <v>2719</v>
      </c>
      <c r="J774" t="s">
        <v>2720</v>
      </c>
      <c r="K774">
        <v>13</v>
      </c>
      <c r="L774">
        <v>0.6</v>
      </c>
      <c r="M774" t="s">
        <v>546</v>
      </c>
      <c r="N774" t="s">
        <v>47</v>
      </c>
      <c r="O774" t="s">
        <v>245</v>
      </c>
      <c r="P774" t="s">
        <v>456</v>
      </c>
      <c r="Q774" t="s">
        <v>269</v>
      </c>
      <c r="R774">
        <v>9</v>
      </c>
      <c r="S774">
        <v>60</v>
      </c>
      <c r="T774">
        <v>40</v>
      </c>
      <c r="U774">
        <v>60</v>
      </c>
      <c r="V774">
        <v>95</v>
      </c>
      <c r="W774">
        <v>60</v>
      </c>
      <c r="X774">
        <v>55</v>
      </c>
      <c r="Y774">
        <f t="shared" si="360"/>
        <v>167</v>
      </c>
      <c r="Z774">
        <f t="shared" si="361"/>
        <v>167</v>
      </c>
      <c r="AA774">
        <f t="shared" si="362"/>
        <v>135</v>
      </c>
      <c r="AB774">
        <f t="shared" si="363"/>
        <v>135</v>
      </c>
      <c r="AC774">
        <f t="shared" si="364"/>
        <v>120</v>
      </c>
      <c r="AD774">
        <f t="shared" si="365"/>
        <v>101</v>
      </c>
      <c r="AE774">
        <f t="shared" si="366"/>
        <v>92</v>
      </c>
      <c r="AF774">
        <f t="shared" si="367"/>
        <v>60</v>
      </c>
      <c r="AG774">
        <f t="shared" si="368"/>
        <v>54</v>
      </c>
      <c r="AH774">
        <f t="shared" si="369"/>
        <v>40</v>
      </c>
      <c r="AI774">
        <f t="shared" si="370"/>
        <v>123</v>
      </c>
      <c r="AJ774">
        <f t="shared" si="371"/>
        <v>112</v>
      </c>
      <c r="AK774">
        <f t="shared" si="372"/>
        <v>80</v>
      </c>
      <c r="AL774">
        <f t="shared" si="373"/>
        <v>72</v>
      </c>
      <c r="AM774">
        <f t="shared" si="374"/>
        <v>58</v>
      </c>
      <c r="AN774">
        <f t="shared" si="375"/>
        <v>161</v>
      </c>
      <c r="AO774">
        <f t="shared" si="376"/>
        <v>147</v>
      </c>
      <c r="AP774">
        <f t="shared" si="377"/>
        <v>115</v>
      </c>
      <c r="AQ774">
        <f t="shared" si="378"/>
        <v>103</v>
      </c>
      <c r="AR774">
        <f t="shared" si="379"/>
        <v>90</v>
      </c>
      <c r="AS774">
        <f t="shared" si="380"/>
        <v>123</v>
      </c>
      <c r="AT774">
        <f t="shared" si="381"/>
        <v>112</v>
      </c>
      <c r="AU774">
        <f t="shared" si="382"/>
        <v>80</v>
      </c>
      <c r="AV774">
        <f t="shared" si="383"/>
        <v>72</v>
      </c>
      <c r="AW774">
        <f t="shared" si="384"/>
        <v>58</v>
      </c>
      <c r="AX774">
        <f t="shared" si="385"/>
        <v>117</v>
      </c>
      <c r="AY774">
        <f t="shared" si="386"/>
        <v>107</v>
      </c>
      <c r="AZ774">
        <f t="shared" si="387"/>
        <v>75</v>
      </c>
      <c r="BA774">
        <f t="shared" si="388"/>
        <v>67</v>
      </c>
      <c r="BB774">
        <f t="shared" si="389"/>
        <v>54</v>
      </c>
    </row>
    <row r="775" spans="1:54" x14ac:dyDescent="0.15">
      <c r="A775">
        <v>503</v>
      </c>
      <c r="B775" t="s">
        <v>2721</v>
      </c>
      <c r="C775">
        <v>609</v>
      </c>
      <c r="D775">
        <v>0</v>
      </c>
      <c r="E775" t="s">
        <v>2722</v>
      </c>
      <c r="G775" t="s">
        <v>2722</v>
      </c>
      <c r="H775" t="s">
        <v>2723</v>
      </c>
      <c r="J775" t="s">
        <v>2724</v>
      </c>
      <c r="K775">
        <v>34.299999999999997</v>
      </c>
      <c r="L775">
        <v>1</v>
      </c>
      <c r="M775" t="s">
        <v>546</v>
      </c>
      <c r="N775" t="s">
        <v>47</v>
      </c>
      <c r="O775" t="s">
        <v>245</v>
      </c>
      <c r="P775" t="s">
        <v>456</v>
      </c>
      <c r="Q775" t="s">
        <v>269</v>
      </c>
      <c r="R775">
        <v>9</v>
      </c>
      <c r="S775">
        <v>60</v>
      </c>
      <c r="T775">
        <v>55</v>
      </c>
      <c r="U775">
        <v>90</v>
      </c>
      <c r="V775">
        <v>145</v>
      </c>
      <c r="W775">
        <v>90</v>
      </c>
      <c r="X775">
        <v>80</v>
      </c>
      <c r="Y775">
        <f t="shared" si="360"/>
        <v>167</v>
      </c>
      <c r="Z775">
        <f t="shared" si="361"/>
        <v>167</v>
      </c>
      <c r="AA775">
        <f t="shared" si="362"/>
        <v>135</v>
      </c>
      <c r="AB775">
        <f t="shared" si="363"/>
        <v>135</v>
      </c>
      <c r="AC775">
        <f t="shared" si="364"/>
        <v>120</v>
      </c>
      <c r="AD775">
        <f t="shared" si="365"/>
        <v>117</v>
      </c>
      <c r="AE775">
        <f t="shared" si="366"/>
        <v>107</v>
      </c>
      <c r="AF775">
        <f t="shared" si="367"/>
        <v>75</v>
      </c>
      <c r="AG775">
        <f t="shared" si="368"/>
        <v>67</v>
      </c>
      <c r="AH775">
        <f t="shared" si="369"/>
        <v>54</v>
      </c>
      <c r="AI775">
        <f t="shared" si="370"/>
        <v>156</v>
      </c>
      <c r="AJ775">
        <f t="shared" si="371"/>
        <v>142</v>
      </c>
      <c r="AK775">
        <f t="shared" si="372"/>
        <v>110</v>
      </c>
      <c r="AL775">
        <f t="shared" si="373"/>
        <v>99</v>
      </c>
      <c r="AM775">
        <f t="shared" si="374"/>
        <v>85</v>
      </c>
      <c r="AN775">
        <f t="shared" si="375"/>
        <v>216</v>
      </c>
      <c r="AO775">
        <f t="shared" si="376"/>
        <v>197</v>
      </c>
      <c r="AP775">
        <f t="shared" si="377"/>
        <v>165</v>
      </c>
      <c r="AQ775">
        <f t="shared" si="378"/>
        <v>148</v>
      </c>
      <c r="AR775">
        <f t="shared" si="379"/>
        <v>135</v>
      </c>
      <c r="AS775">
        <f t="shared" si="380"/>
        <v>156</v>
      </c>
      <c r="AT775">
        <f t="shared" si="381"/>
        <v>142</v>
      </c>
      <c r="AU775">
        <f t="shared" si="382"/>
        <v>110</v>
      </c>
      <c r="AV775">
        <f t="shared" si="383"/>
        <v>99</v>
      </c>
      <c r="AW775">
        <f t="shared" si="384"/>
        <v>85</v>
      </c>
      <c r="AX775">
        <f t="shared" si="385"/>
        <v>145</v>
      </c>
      <c r="AY775">
        <f t="shared" si="386"/>
        <v>132</v>
      </c>
      <c r="AZ775">
        <f t="shared" si="387"/>
        <v>100</v>
      </c>
      <c r="BA775">
        <f t="shared" si="388"/>
        <v>90</v>
      </c>
      <c r="BB775">
        <f t="shared" si="389"/>
        <v>76</v>
      </c>
    </row>
    <row r="776" spans="1:54" x14ac:dyDescent="0.15">
      <c r="A776">
        <v>504</v>
      </c>
      <c r="B776" t="s">
        <v>2725</v>
      </c>
      <c r="C776">
        <v>610</v>
      </c>
      <c r="D776">
        <v>0</v>
      </c>
      <c r="E776" t="s">
        <v>2726</v>
      </c>
      <c r="G776" t="s">
        <v>2726</v>
      </c>
      <c r="H776" t="s">
        <v>2727</v>
      </c>
      <c r="J776" t="s">
        <v>2728</v>
      </c>
      <c r="K776">
        <v>18</v>
      </c>
      <c r="L776">
        <v>0.6</v>
      </c>
      <c r="M776" t="s">
        <v>60</v>
      </c>
      <c r="O776" t="s">
        <v>216</v>
      </c>
      <c r="P776" t="s">
        <v>713</v>
      </c>
      <c r="Q776" t="s">
        <v>156</v>
      </c>
      <c r="R776">
        <v>9</v>
      </c>
      <c r="S776">
        <v>46</v>
      </c>
      <c r="T776">
        <v>87</v>
      </c>
      <c r="U776">
        <v>60</v>
      </c>
      <c r="V776">
        <v>30</v>
      </c>
      <c r="W776">
        <v>40</v>
      </c>
      <c r="X776">
        <v>57</v>
      </c>
      <c r="Y776">
        <f t="shared" si="360"/>
        <v>153</v>
      </c>
      <c r="Z776">
        <f t="shared" si="361"/>
        <v>153</v>
      </c>
      <c r="AA776">
        <f t="shared" si="362"/>
        <v>121</v>
      </c>
      <c r="AB776">
        <f t="shared" si="363"/>
        <v>121</v>
      </c>
      <c r="AC776">
        <f t="shared" si="364"/>
        <v>106</v>
      </c>
      <c r="AD776">
        <f t="shared" si="365"/>
        <v>152</v>
      </c>
      <c r="AE776">
        <f t="shared" si="366"/>
        <v>139</v>
      </c>
      <c r="AF776">
        <f t="shared" si="367"/>
        <v>107</v>
      </c>
      <c r="AG776">
        <f t="shared" si="368"/>
        <v>96</v>
      </c>
      <c r="AH776">
        <f t="shared" si="369"/>
        <v>82</v>
      </c>
      <c r="AI776">
        <f t="shared" si="370"/>
        <v>123</v>
      </c>
      <c r="AJ776">
        <f t="shared" si="371"/>
        <v>112</v>
      </c>
      <c r="AK776">
        <f t="shared" si="372"/>
        <v>80</v>
      </c>
      <c r="AL776">
        <f t="shared" si="373"/>
        <v>72</v>
      </c>
      <c r="AM776">
        <f t="shared" si="374"/>
        <v>58</v>
      </c>
      <c r="AN776">
        <f t="shared" si="375"/>
        <v>90</v>
      </c>
      <c r="AO776">
        <f t="shared" si="376"/>
        <v>82</v>
      </c>
      <c r="AP776">
        <f t="shared" si="377"/>
        <v>50</v>
      </c>
      <c r="AQ776">
        <f t="shared" si="378"/>
        <v>45</v>
      </c>
      <c r="AR776">
        <f t="shared" si="379"/>
        <v>31</v>
      </c>
      <c r="AS776">
        <f t="shared" si="380"/>
        <v>101</v>
      </c>
      <c r="AT776">
        <f t="shared" si="381"/>
        <v>92</v>
      </c>
      <c r="AU776">
        <f t="shared" si="382"/>
        <v>60</v>
      </c>
      <c r="AV776">
        <f t="shared" si="383"/>
        <v>54</v>
      </c>
      <c r="AW776">
        <f t="shared" si="384"/>
        <v>40</v>
      </c>
      <c r="AX776">
        <f t="shared" si="385"/>
        <v>119</v>
      </c>
      <c r="AY776">
        <f t="shared" si="386"/>
        <v>109</v>
      </c>
      <c r="AZ776">
        <f t="shared" si="387"/>
        <v>77</v>
      </c>
      <c r="BA776">
        <f t="shared" si="388"/>
        <v>69</v>
      </c>
      <c r="BB776">
        <f t="shared" si="389"/>
        <v>55</v>
      </c>
    </row>
    <row r="777" spans="1:54" x14ac:dyDescent="0.15">
      <c r="A777">
        <v>505</v>
      </c>
      <c r="B777" t="s">
        <v>2729</v>
      </c>
      <c r="C777">
        <v>611</v>
      </c>
      <c r="D777">
        <v>0</v>
      </c>
      <c r="E777" t="s">
        <v>2730</v>
      </c>
      <c r="G777" t="s">
        <v>2730</v>
      </c>
      <c r="H777" t="s">
        <v>2731</v>
      </c>
      <c r="J777" t="s">
        <v>2732</v>
      </c>
      <c r="K777">
        <v>36</v>
      </c>
      <c r="L777">
        <v>1</v>
      </c>
      <c r="M777" t="s">
        <v>60</v>
      </c>
      <c r="O777" t="s">
        <v>216</v>
      </c>
      <c r="P777" t="s">
        <v>713</v>
      </c>
      <c r="Q777" t="s">
        <v>156</v>
      </c>
      <c r="R777">
        <v>9</v>
      </c>
      <c r="S777">
        <v>66</v>
      </c>
      <c r="T777">
        <v>117</v>
      </c>
      <c r="U777">
        <v>70</v>
      </c>
      <c r="V777">
        <v>40</v>
      </c>
      <c r="W777">
        <v>50</v>
      </c>
      <c r="X777">
        <v>67</v>
      </c>
      <c r="Y777">
        <f t="shared" si="360"/>
        <v>173</v>
      </c>
      <c r="Z777">
        <f t="shared" si="361"/>
        <v>173</v>
      </c>
      <c r="AA777">
        <f t="shared" si="362"/>
        <v>141</v>
      </c>
      <c r="AB777">
        <f t="shared" si="363"/>
        <v>141</v>
      </c>
      <c r="AC777">
        <f t="shared" si="364"/>
        <v>126</v>
      </c>
      <c r="AD777">
        <f t="shared" si="365"/>
        <v>185</v>
      </c>
      <c r="AE777">
        <f t="shared" si="366"/>
        <v>169</v>
      </c>
      <c r="AF777">
        <f t="shared" si="367"/>
        <v>137</v>
      </c>
      <c r="AG777">
        <f t="shared" si="368"/>
        <v>123</v>
      </c>
      <c r="AH777">
        <f t="shared" si="369"/>
        <v>109</v>
      </c>
      <c r="AI777">
        <f t="shared" si="370"/>
        <v>134</v>
      </c>
      <c r="AJ777">
        <f t="shared" si="371"/>
        <v>122</v>
      </c>
      <c r="AK777">
        <f t="shared" si="372"/>
        <v>90</v>
      </c>
      <c r="AL777">
        <f t="shared" si="373"/>
        <v>81</v>
      </c>
      <c r="AM777">
        <f t="shared" si="374"/>
        <v>67</v>
      </c>
      <c r="AN777">
        <f t="shared" si="375"/>
        <v>101</v>
      </c>
      <c r="AO777">
        <f t="shared" si="376"/>
        <v>92</v>
      </c>
      <c r="AP777">
        <f t="shared" si="377"/>
        <v>60</v>
      </c>
      <c r="AQ777">
        <f t="shared" si="378"/>
        <v>54</v>
      </c>
      <c r="AR777">
        <f t="shared" si="379"/>
        <v>40</v>
      </c>
      <c r="AS777">
        <f t="shared" si="380"/>
        <v>112</v>
      </c>
      <c r="AT777">
        <f t="shared" si="381"/>
        <v>102</v>
      </c>
      <c r="AU777">
        <f t="shared" si="382"/>
        <v>70</v>
      </c>
      <c r="AV777">
        <f t="shared" si="383"/>
        <v>63</v>
      </c>
      <c r="AW777">
        <f t="shared" si="384"/>
        <v>49</v>
      </c>
      <c r="AX777">
        <f t="shared" si="385"/>
        <v>130</v>
      </c>
      <c r="AY777">
        <f t="shared" si="386"/>
        <v>119</v>
      </c>
      <c r="AZ777">
        <f t="shared" si="387"/>
        <v>87</v>
      </c>
      <c r="BA777">
        <f t="shared" si="388"/>
        <v>78</v>
      </c>
      <c r="BB777">
        <f t="shared" si="389"/>
        <v>64</v>
      </c>
    </row>
    <row r="778" spans="1:54" x14ac:dyDescent="0.15">
      <c r="A778">
        <v>506</v>
      </c>
      <c r="B778" t="s">
        <v>2733</v>
      </c>
      <c r="C778">
        <v>612</v>
      </c>
      <c r="D778">
        <v>0</v>
      </c>
      <c r="E778" t="s">
        <v>2734</v>
      </c>
      <c r="G778" t="s">
        <v>2734</v>
      </c>
      <c r="H778" t="s">
        <v>2735</v>
      </c>
      <c r="J778" t="s">
        <v>2732</v>
      </c>
      <c r="K778">
        <v>105.5</v>
      </c>
      <c r="L778">
        <v>1.8</v>
      </c>
      <c r="M778" t="s">
        <v>60</v>
      </c>
      <c r="O778" t="s">
        <v>216</v>
      </c>
      <c r="P778" t="s">
        <v>713</v>
      </c>
      <c r="Q778" t="s">
        <v>156</v>
      </c>
      <c r="R778">
        <v>9</v>
      </c>
      <c r="S778">
        <v>76</v>
      </c>
      <c r="T778">
        <v>147</v>
      </c>
      <c r="U778">
        <v>90</v>
      </c>
      <c r="V778">
        <v>60</v>
      </c>
      <c r="W778">
        <v>70</v>
      </c>
      <c r="X778">
        <v>97</v>
      </c>
      <c r="Y778">
        <f t="shared" si="360"/>
        <v>183</v>
      </c>
      <c r="Z778">
        <f t="shared" si="361"/>
        <v>183</v>
      </c>
      <c r="AA778">
        <f t="shared" si="362"/>
        <v>151</v>
      </c>
      <c r="AB778">
        <f t="shared" si="363"/>
        <v>151</v>
      </c>
      <c r="AC778">
        <f t="shared" si="364"/>
        <v>136</v>
      </c>
      <c r="AD778">
        <f t="shared" si="365"/>
        <v>218</v>
      </c>
      <c r="AE778">
        <f t="shared" si="366"/>
        <v>199</v>
      </c>
      <c r="AF778">
        <f t="shared" si="367"/>
        <v>167</v>
      </c>
      <c r="AG778">
        <f t="shared" si="368"/>
        <v>150</v>
      </c>
      <c r="AH778">
        <f t="shared" si="369"/>
        <v>136</v>
      </c>
      <c r="AI778">
        <f t="shared" si="370"/>
        <v>156</v>
      </c>
      <c r="AJ778">
        <f t="shared" si="371"/>
        <v>142</v>
      </c>
      <c r="AK778">
        <f t="shared" si="372"/>
        <v>110</v>
      </c>
      <c r="AL778">
        <f t="shared" si="373"/>
        <v>99</v>
      </c>
      <c r="AM778">
        <f t="shared" si="374"/>
        <v>85</v>
      </c>
      <c r="AN778">
        <f t="shared" si="375"/>
        <v>123</v>
      </c>
      <c r="AO778">
        <f t="shared" si="376"/>
        <v>112</v>
      </c>
      <c r="AP778">
        <f t="shared" si="377"/>
        <v>80</v>
      </c>
      <c r="AQ778">
        <f t="shared" si="378"/>
        <v>72</v>
      </c>
      <c r="AR778">
        <f t="shared" si="379"/>
        <v>58</v>
      </c>
      <c r="AS778">
        <f t="shared" si="380"/>
        <v>134</v>
      </c>
      <c r="AT778">
        <f t="shared" si="381"/>
        <v>122</v>
      </c>
      <c r="AU778">
        <f t="shared" si="382"/>
        <v>90</v>
      </c>
      <c r="AV778">
        <f t="shared" si="383"/>
        <v>81</v>
      </c>
      <c r="AW778">
        <f t="shared" si="384"/>
        <v>67</v>
      </c>
      <c r="AX778">
        <f t="shared" si="385"/>
        <v>163</v>
      </c>
      <c r="AY778">
        <f t="shared" si="386"/>
        <v>149</v>
      </c>
      <c r="AZ778">
        <f t="shared" si="387"/>
        <v>117</v>
      </c>
      <c r="BA778">
        <f t="shared" si="388"/>
        <v>105</v>
      </c>
      <c r="BB778">
        <f t="shared" si="389"/>
        <v>91</v>
      </c>
    </row>
    <row r="779" spans="1:54" x14ac:dyDescent="0.15">
      <c r="A779">
        <v>507</v>
      </c>
      <c r="B779" t="s">
        <v>2736</v>
      </c>
      <c r="C779">
        <v>613</v>
      </c>
      <c r="D779">
        <v>0</v>
      </c>
      <c r="E779" t="s">
        <v>2737</v>
      </c>
      <c r="G779" t="s">
        <v>2737</v>
      </c>
      <c r="H779" t="s">
        <v>2738</v>
      </c>
      <c r="J779" t="s">
        <v>2739</v>
      </c>
      <c r="K779">
        <v>8.5</v>
      </c>
      <c r="L779">
        <v>0.5</v>
      </c>
      <c r="M779" t="s">
        <v>202</v>
      </c>
      <c r="O779" t="s">
        <v>204</v>
      </c>
      <c r="P779" t="s">
        <v>205</v>
      </c>
      <c r="Q779" t="s">
        <v>736</v>
      </c>
      <c r="R779">
        <v>9</v>
      </c>
      <c r="S779">
        <v>55</v>
      </c>
      <c r="T779">
        <v>70</v>
      </c>
      <c r="U779">
        <v>40</v>
      </c>
      <c r="V779">
        <v>60</v>
      </c>
      <c r="W779">
        <v>40</v>
      </c>
      <c r="X779">
        <v>40</v>
      </c>
      <c r="Y779">
        <f t="shared" si="360"/>
        <v>162</v>
      </c>
      <c r="Z779">
        <f t="shared" si="361"/>
        <v>162</v>
      </c>
      <c r="AA779">
        <f t="shared" si="362"/>
        <v>130</v>
      </c>
      <c r="AB779">
        <f t="shared" si="363"/>
        <v>130</v>
      </c>
      <c r="AC779">
        <f t="shared" si="364"/>
        <v>115</v>
      </c>
      <c r="AD779">
        <f t="shared" si="365"/>
        <v>134</v>
      </c>
      <c r="AE779">
        <f t="shared" si="366"/>
        <v>122</v>
      </c>
      <c r="AF779">
        <f t="shared" si="367"/>
        <v>90</v>
      </c>
      <c r="AG779">
        <f t="shared" si="368"/>
        <v>81</v>
      </c>
      <c r="AH779">
        <f t="shared" si="369"/>
        <v>67</v>
      </c>
      <c r="AI779">
        <f t="shared" si="370"/>
        <v>101</v>
      </c>
      <c r="AJ779">
        <f t="shared" si="371"/>
        <v>92</v>
      </c>
      <c r="AK779">
        <f t="shared" si="372"/>
        <v>60</v>
      </c>
      <c r="AL779">
        <f t="shared" si="373"/>
        <v>54</v>
      </c>
      <c r="AM779">
        <f t="shared" si="374"/>
        <v>40</v>
      </c>
      <c r="AN779">
        <f t="shared" si="375"/>
        <v>123</v>
      </c>
      <c r="AO779">
        <f t="shared" si="376"/>
        <v>112</v>
      </c>
      <c r="AP779">
        <f t="shared" si="377"/>
        <v>80</v>
      </c>
      <c r="AQ779">
        <f t="shared" si="378"/>
        <v>72</v>
      </c>
      <c r="AR779">
        <f t="shared" si="379"/>
        <v>58</v>
      </c>
      <c r="AS779">
        <f t="shared" si="380"/>
        <v>101</v>
      </c>
      <c r="AT779">
        <f t="shared" si="381"/>
        <v>92</v>
      </c>
      <c r="AU779">
        <f t="shared" si="382"/>
        <v>60</v>
      </c>
      <c r="AV779">
        <f t="shared" si="383"/>
        <v>54</v>
      </c>
      <c r="AW779">
        <f t="shared" si="384"/>
        <v>40</v>
      </c>
      <c r="AX779">
        <f t="shared" si="385"/>
        <v>101</v>
      </c>
      <c r="AY779">
        <f t="shared" si="386"/>
        <v>92</v>
      </c>
      <c r="AZ779">
        <f t="shared" si="387"/>
        <v>60</v>
      </c>
      <c r="BA779">
        <f t="shared" si="388"/>
        <v>54</v>
      </c>
      <c r="BB779">
        <f t="shared" si="389"/>
        <v>40</v>
      </c>
    </row>
    <row r="780" spans="1:54" x14ac:dyDescent="0.15">
      <c r="A780">
        <v>508</v>
      </c>
      <c r="B780" t="s">
        <v>2740</v>
      </c>
      <c r="C780">
        <v>614</v>
      </c>
      <c r="D780">
        <v>0</v>
      </c>
      <c r="E780" t="s">
        <v>2741</v>
      </c>
      <c r="G780" t="s">
        <v>2741</v>
      </c>
      <c r="H780" t="s">
        <v>2742</v>
      </c>
      <c r="J780" t="s">
        <v>2743</v>
      </c>
      <c r="K780">
        <v>260</v>
      </c>
      <c r="L780">
        <v>2.6</v>
      </c>
      <c r="M780" t="s">
        <v>202</v>
      </c>
      <c r="O780" t="s">
        <v>204</v>
      </c>
      <c r="P780" t="s">
        <v>205</v>
      </c>
      <c r="Q780" t="s">
        <v>346</v>
      </c>
      <c r="R780">
        <v>9</v>
      </c>
      <c r="S780">
        <v>95</v>
      </c>
      <c r="T780">
        <v>130</v>
      </c>
      <c r="U780">
        <v>80</v>
      </c>
      <c r="V780">
        <v>70</v>
      </c>
      <c r="W780">
        <v>80</v>
      </c>
      <c r="X780">
        <v>50</v>
      </c>
      <c r="Y780">
        <f t="shared" si="360"/>
        <v>202</v>
      </c>
      <c r="Z780">
        <f t="shared" si="361"/>
        <v>202</v>
      </c>
      <c r="AA780">
        <f t="shared" si="362"/>
        <v>170</v>
      </c>
      <c r="AB780">
        <f t="shared" si="363"/>
        <v>170</v>
      </c>
      <c r="AC780">
        <f t="shared" si="364"/>
        <v>155</v>
      </c>
      <c r="AD780">
        <f t="shared" si="365"/>
        <v>200</v>
      </c>
      <c r="AE780">
        <f t="shared" si="366"/>
        <v>182</v>
      </c>
      <c r="AF780">
        <f t="shared" si="367"/>
        <v>150</v>
      </c>
      <c r="AG780">
        <f t="shared" si="368"/>
        <v>135</v>
      </c>
      <c r="AH780">
        <f t="shared" si="369"/>
        <v>121</v>
      </c>
      <c r="AI780">
        <f t="shared" si="370"/>
        <v>145</v>
      </c>
      <c r="AJ780">
        <f t="shared" si="371"/>
        <v>132</v>
      </c>
      <c r="AK780">
        <f t="shared" si="372"/>
        <v>100</v>
      </c>
      <c r="AL780">
        <f t="shared" si="373"/>
        <v>90</v>
      </c>
      <c r="AM780">
        <f t="shared" si="374"/>
        <v>76</v>
      </c>
      <c r="AN780">
        <f t="shared" si="375"/>
        <v>134</v>
      </c>
      <c r="AO780">
        <f t="shared" si="376"/>
        <v>122</v>
      </c>
      <c r="AP780">
        <f t="shared" si="377"/>
        <v>90</v>
      </c>
      <c r="AQ780">
        <f t="shared" si="378"/>
        <v>81</v>
      </c>
      <c r="AR780">
        <f t="shared" si="379"/>
        <v>67</v>
      </c>
      <c r="AS780">
        <f t="shared" si="380"/>
        <v>145</v>
      </c>
      <c r="AT780">
        <f t="shared" si="381"/>
        <v>132</v>
      </c>
      <c r="AU780">
        <f t="shared" si="382"/>
        <v>100</v>
      </c>
      <c r="AV780">
        <f t="shared" si="383"/>
        <v>90</v>
      </c>
      <c r="AW780">
        <f t="shared" si="384"/>
        <v>76</v>
      </c>
      <c r="AX780">
        <f t="shared" si="385"/>
        <v>112</v>
      </c>
      <c r="AY780">
        <f t="shared" si="386"/>
        <v>102</v>
      </c>
      <c r="AZ780">
        <f t="shared" si="387"/>
        <v>70</v>
      </c>
      <c r="BA780">
        <f t="shared" si="388"/>
        <v>63</v>
      </c>
      <c r="BB780">
        <f t="shared" si="389"/>
        <v>49</v>
      </c>
    </row>
    <row r="781" spans="1:54" x14ac:dyDescent="0.15">
      <c r="A781">
        <v>509</v>
      </c>
      <c r="B781" t="s">
        <v>2744</v>
      </c>
      <c r="C781">
        <v>615</v>
      </c>
      <c r="D781">
        <v>0</v>
      </c>
      <c r="E781" t="s">
        <v>2745</v>
      </c>
      <c r="G781" t="s">
        <v>2745</v>
      </c>
      <c r="H781" t="s">
        <v>2746</v>
      </c>
      <c r="J781" t="s">
        <v>2747</v>
      </c>
      <c r="K781">
        <v>148</v>
      </c>
      <c r="L781">
        <v>1.1000000000000001</v>
      </c>
      <c r="M781" t="s">
        <v>202</v>
      </c>
      <c r="O781" t="s">
        <v>547</v>
      </c>
      <c r="R781">
        <v>9</v>
      </c>
      <c r="S781">
        <v>80</v>
      </c>
      <c r="T781">
        <v>50</v>
      </c>
      <c r="U781">
        <v>50</v>
      </c>
      <c r="V781">
        <v>95</v>
      </c>
      <c r="W781">
        <v>135</v>
      </c>
      <c r="X781">
        <v>105</v>
      </c>
      <c r="Y781">
        <f t="shared" si="360"/>
        <v>187</v>
      </c>
      <c r="Z781">
        <f t="shared" si="361"/>
        <v>187</v>
      </c>
      <c r="AA781">
        <f t="shared" si="362"/>
        <v>155</v>
      </c>
      <c r="AB781">
        <f t="shared" si="363"/>
        <v>155</v>
      </c>
      <c r="AC781">
        <f t="shared" si="364"/>
        <v>140</v>
      </c>
      <c r="AD781">
        <f t="shared" si="365"/>
        <v>112</v>
      </c>
      <c r="AE781">
        <f t="shared" si="366"/>
        <v>102</v>
      </c>
      <c r="AF781">
        <f t="shared" si="367"/>
        <v>70</v>
      </c>
      <c r="AG781">
        <f t="shared" si="368"/>
        <v>63</v>
      </c>
      <c r="AH781">
        <f t="shared" si="369"/>
        <v>49</v>
      </c>
      <c r="AI781">
        <f t="shared" si="370"/>
        <v>112</v>
      </c>
      <c r="AJ781">
        <f t="shared" si="371"/>
        <v>102</v>
      </c>
      <c r="AK781">
        <f t="shared" si="372"/>
        <v>70</v>
      </c>
      <c r="AL781">
        <f t="shared" si="373"/>
        <v>63</v>
      </c>
      <c r="AM781">
        <f t="shared" si="374"/>
        <v>49</v>
      </c>
      <c r="AN781">
        <f t="shared" si="375"/>
        <v>161</v>
      </c>
      <c r="AO781">
        <f t="shared" si="376"/>
        <v>147</v>
      </c>
      <c r="AP781">
        <f t="shared" si="377"/>
        <v>115</v>
      </c>
      <c r="AQ781">
        <f t="shared" si="378"/>
        <v>103</v>
      </c>
      <c r="AR781">
        <f t="shared" si="379"/>
        <v>90</v>
      </c>
      <c r="AS781">
        <f t="shared" si="380"/>
        <v>205</v>
      </c>
      <c r="AT781">
        <f t="shared" si="381"/>
        <v>187</v>
      </c>
      <c r="AU781">
        <f t="shared" si="382"/>
        <v>155</v>
      </c>
      <c r="AV781">
        <f t="shared" si="383"/>
        <v>139</v>
      </c>
      <c r="AW781">
        <f t="shared" si="384"/>
        <v>126</v>
      </c>
      <c r="AX781">
        <f t="shared" si="385"/>
        <v>172</v>
      </c>
      <c r="AY781">
        <f t="shared" si="386"/>
        <v>157</v>
      </c>
      <c r="AZ781">
        <f t="shared" si="387"/>
        <v>125</v>
      </c>
      <c r="BA781">
        <f t="shared" si="388"/>
        <v>112</v>
      </c>
      <c r="BB781">
        <f t="shared" si="389"/>
        <v>99</v>
      </c>
    </row>
    <row r="782" spans="1:54" x14ac:dyDescent="0.15">
      <c r="B782" t="s">
        <v>2748</v>
      </c>
      <c r="C782">
        <v>616</v>
      </c>
      <c r="D782">
        <v>0</v>
      </c>
      <c r="E782" t="s">
        <v>2749</v>
      </c>
      <c r="G782" t="s">
        <v>2749</v>
      </c>
      <c r="J782" t="s">
        <v>2750</v>
      </c>
      <c r="K782">
        <v>7.7</v>
      </c>
      <c r="L782">
        <v>0.4</v>
      </c>
      <c r="M782" t="s">
        <v>90</v>
      </c>
      <c r="O782" t="s">
        <v>513</v>
      </c>
      <c r="P782" t="s">
        <v>481</v>
      </c>
      <c r="Q782" t="s">
        <v>538</v>
      </c>
      <c r="R782">
        <v>8</v>
      </c>
      <c r="S782">
        <v>50</v>
      </c>
      <c r="T782">
        <v>40</v>
      </c>
      <c r="U782">
        <v>85</v>
      </c>
      <c r="V782">
        <v>40</v>
      </c>
      <c r="W782">
        <v>65</v>
      </c>
      <c r="X782">
        <v>25</v>
      </c>
      <c r="Y782">
        <f t="shared" si="360"/>
        <v>157</v>
      </c>
      <c r="Z782">
        <f t="shared" si="361"/>
        <v>157</v>
      </c>
      <c r="AA782">
        <f t="shared" si="362"/>
        <v>125</v>
      </c>
      <c r="AB782">
        <f t="shared" si="363"/>
        <v>125</v>
      </c>
      <c r="AC782">
        <f t="shared" si="364"/>
        <v>110</v>
      </c>
      <c r="AD782">
        <f t="shared" si="365"/>
        <v>101</v>
      </c>
      <c r="AE782">
        <f t="shared" si="366"/>
        <v>92</v>
      </c>
      <c r="AF782">
        <f t="shared" si="367"/>
        <v>60</v>
      </c>
      <c r="AG782">
        <f t="shared" si="368"/>
        <v>54</v>
      </c>
      <c r="AH782">
        <f t="shared" si="369"/>
        <v>40</v>
      </c>
      <c r="AI782">
        <f t="shared" si="370"/>
        <v>150</v>
      </c>
      <c r="AJ782">
        <f t="shared" si="371"/>
        <v>137</v>
      </c>
      <c r="AK782">
        <f t="shared" si="372"/>
        <v>105</v>
      </c>
      <c r="AL782">
        <f t="shared" si="373"/>
        <v>94</v>
      </c>
      <c r="AM782">
        <f t="shared" si="374"/>
        <v>81</v>
      </c>
      <c r="AN782">
        <f t="shared" si="375"/>
        <v>101</v>
      </c>
      <c r="AO782">
        <f t="shared" si="376"/>
        <v>92</v>
      </c>
      <c r="AP782">
        <f t="shared" si="377"/>
        <v>60</v>
      </c>
      <c r="AQ782">
        <f t="shared" si="378"/>
        <v>54</v>
      </c>
      <c r="AR782">
        <f t="shared" si="379"/>
        <v>40</v>
      </c>
      <c r="AS782">
        <f t="shared" si="380"/>
        <v>128</v>
      </c>
      <c r="AT782">
        <f t="shared" si="381"/>
        <v>117</v>
      </c>
      <c r="AU782">
        <f t="shared" si="382"/>
        <v>85</v>
      </c>
      <c r="AV782">
        <f t="shared" si="383"/>
        <v>76</v>
      </c>
      <c r="AW782">
        <f t="shared" si="384"/>
        <v>63</v>
      </c>
      <c r="AX782">
        <f t="shared" si="385"/>
        <v>84</v>
      </c>
      <c r="AY782">
        <f t="shared" si="386"/>
        <v>77</v>
      </c>
      <c r="AZ782">
        <f t="shared" si="387"/>
        <v>45</v>
      </c>
      <c r="BA782">
        <f t="shared" si="388"/>
        <v>40</v>
      </c>
      <c r="BB782">
        <f t="shared" si="389"/>
        <v>27</v>
      </c>
    </row>
    <row r="783" spans="1:54" x14ac:dyDescent="0.15">
      <c r="B783" t="s">
        <v>2751</v>
      </c>
      <c r="C783">
        <v>617</v>
      </c>
      <c r="D783">
        <v>0</v>
      </c>
      <c r="E783" t="s">
        <v>2752</v>
      </c>
      <c r="G783" t="s">
        <v>2752</v>
      </c>
      <c r="J783" t="s">
        <v>2753</v>
      </c>
      <c r="K783">
        <v>25.3</v>
      </c>
      <c r="L783">
        <v>0.8</v>
      </c>
      <c r="M783" t="s">
        <v>90</v>
      </c>
      <c r="O783" t="s">
        <v>513</v>
      </c>
      <c r="P783" t="s">
        <v>522</v>
      </c>
      <c r="Q783" t="s">
        <v>624</v>
      </c>
      <c r="R783">
        <v>8</v>
      </c>
      <c r="S783">
        <v>80</v>
      </c>
      <c r="T783">
        <v>70</v>
      </c>
      <c r="U783">
        <v>40</v>
      </c>
      <c r="V783">
        <v>100</v>
      </c>
      <c r="W783">
        <v>60</v>
      </c>
      <c r="X783">
        <v>145</v>
      </c>
      <c r="Y783">
        <f t="shared" si="360"/>
        <v>187</v>
      </c>
      <c r="Z783">
        <f t="shared" si="361"/>
        <v>187</v>
      </c>
      <c r="AA783">
        <f t="shared" si="362"/>
        <v>155</v>
      </c>
      <c r="AB783">
        <f t="shared" si="363"/>
        <v>155</v>
      </c>
      <c r="AC783">
        <f t="shared" si="364"/>
        <v>140</v>
      </c>
      <c r="AD783">
        <f t="shared" si="365"/>
        <v>134</v>
      </c>
      <c r="AE783">
        <f t="shared" si="366"/>
        <v>122</v>
      </c>
      <c r="AF783">
        <f t="shared" si="367"/>
        <v>90</v>
      </c>
      <c r="AG783">
        <f t="shared" si="368"/>
        <v>81</v>
      </c>
      <c r="AH783">
        <f t="shared" si="369"/>
        <v>67</v>
      </c>
      <c r="AI783">
        <f t="shared" si="370"/>
        <v>101</v>
      </c>
      <c r="AJ783">
        <f t="shared" si="371"/>
        <v>92</v>
      </c>
      <c r="AK783">
        <f t="shared" si="372"/>
        <v>60</v>
      </c>
      <c r="AL783">
        <f t="shared" si="373"/>
        <v>54</v>
      </c>
      <c r="AM783">
        <f t="shared" si="374"/>
        <v>40</v>
      </c>
      <c r="AN783">
        <f t="shared" si="375"/>
        <v>167</v>
      </c>
      <c r="AO783">
        <f t="shared" si="376"/>
        <v>152</v>
      </c>
      <c r="AP783">
        <f t="shared" si="377"/>
        <v>120</v>
      </c>
      <c r="AQ783">
        <f t="shared" si="378"/>
        <v>108</v>
      </c>
      <c r="AR783">
        <f t="shared" si="379"/>
        <v>94</v>
      </c>
      <c r="AS783">
        <f t="shared" si="380"/>
        <v>123</v>
      </c>
      <c r="AT783">
        <f t="shared" si="381"/>
        <v>112</v>
      </c>
      <c r="AU783">
        <f t="shared" si="382"/>
        <v>80</v>
      </c>
      <c r="AV783">
        <f t="shared" si="383"/>
        <v>72</v>
      </c>
      <c r="AW783">
        <f t="shared" si="384"/>
        <v>58</v>
      </c>
      <c r="AX783">
        <f t="shared" si="385"/>
        <v>216</v>
      </c>
      <c r="AY783">
        <f t="shared" si="386"/>
        <v>197</v>
      </c>
      <c r="AZ783">
        <f t="shared" si="387"/>
        <v>165</v>
      </c>
      <c r="BA783">
        <f t="shared" si="388"/>
        <v>148</v>
      </c>
      <c r="BB783">
        <f t="shared" si="389"/>
        <v>135</v>
      </c>
    </row>
    <row r="784" spans="1:54" x14ac:dyDescent="0.15">
      <c r="B784" t="s">
        <v>2754</v>
      </c>
      <c r="C784">
        <v>618</v>
      </c>
      <c r="D784">
        <v>0</v>
      </c>
      <c r="E784" t="s">
        <v>2755</v>
      </c>
      <c r="G784" t="s">
        <v>2755</v>
      </c>
      <c r="J784" t="s">
        <v>2756</v>
      </c>
      <c r="K784">
        <v>11</v>
      </c>
      <c r="L784">
        <v>0.7</v>
      </c>
      <c r="M784" t="s">
        <v>196</v>
      </c>
      <c r="N784" t="s">
        <v>164</v>
      </c>
      <c r="O784" t="s">
        <v>165</v>
      </c>
      <c r="P784" t="s">
        <v>336</v>
      </c>
      <c r="Q784" t="s">
        <v>197</v>
      </c>
      <c r="R784">
        <v>8</v>
      </c>
      <c r="S784">
        <v>109</v>
      </c>
      <c r="T784">
        <v>66</v>
      </c>
      <c r="U784">
        <v>84</v>
      </c>
      <c r="V784">
        <v>81</v>
      </c>
      <c r="W784">
        <v>99</v>
      </c>
      <c r="X784">
        <v>32</v>
      </c>
      <c r="Y784">
        <f t="shared" si="360"/>
        <v>216</v>
      </c>
      <c r="Z784">
        <f t="shared" si="361"/>
        <v>216</v>
      </c>
      <c r="AA784">
        <f t="shared" si="362"/>
        <v>184</v>
      </c>
      <c r="AB784">
        <f t="shared" si="363"/>
        <v>184</v>
      </c>
      <c r="AC784">
        <f t="shared" si="364"/>
        <v>169</v>
      </c>
      <c r="AD784">
        <f t="shared" si="365"/>
        <v>129</v>
      </c>
      <c r="AE784">
        <f t="shared" si="366"/>
        <v>118</v>
      </c>
      <c r="AF784">
        <f t="shared" si="367"/>
        <v>86</v>
      </c>
      <c r="AG784">
        <f t="shared" si="368"/>
        <v>77</v>
      </c>
      <c r="AH784">
        <f t="shared" si="369"/>
        <v>63</v>
      </c>
      <c r="AI784">
        <f t="shared" si="370"/>
        <v>149</v>
      </c>
      <c r="AJ784">
        <f t="shared" si="371"/>
        <v>136</v>
      </c>
      <c r="AK784">
        <f t="shared" si="372"/>
        <v>104</v>
      </c>
      <c r="AL784">
        <f t="shared" si="373"/>
        <v>93</v>
      </c>
      <c r="AM784">
        <f t="shared" si="374"/>
        <v>80</v>
      </c>
      <c r="AN784">
        <f t="shared" si="375"/>
        <v>146</v>
      </c>
      <c r="AO784">
        <f t="shared" si="376"/>
        <v>133</v>
      </c>
      <c r="AP784">
        <f t="shared" si="377"/>
        <v>101</v>
      </c>
      <c r="AQ784">
        <f t="shared" si="378"/>
        <v>90</v>
      </c>
      <c r="AR784">
        <f t="shared" si="379"/>
        <v>77</v>
      </c>
      <c r="AS784">
        <f t="shared" si="380"/>
        <v>166</v>
      </c>
      <c r="AT784">
        <f t="shared" si="381"/>
        <v>151</v>
      </c>
      <c r="AU784">
        <f t="shared" si="382"/>
        <v>119</v>
      </c>
      <c r="AV784">
        <f t="shared" si="383"/>
        <v>107</v>
      </c>
      <c r="AW784">
        <f t="shared" si="384"/>
        <v>93</v>
      </c>
      <c r="AX784">
        <f t="shared" si="385"/>
        <v>92</v>
      </c>
      <c r="AY784">
        <f t="shared" si="386"/>
        <v>84</v>
      </c>
      <c r="AZ784">
        <f t="shared" si="387"/>
        <v>52</v>
      </c>
      <c r="BA784">
        <f t="shared" si="388"/>
        <v>46</v>
      </c>
      <c r="BB784">
        <f t="shared" si="389"/>
        <v>33</v>
      </c>
    </row>
    <row r="785" spans="1:54" x14ac:dyDescent="0.15">
      <c r="B785" t="s">
        <v>2757</v>
      </c>
      <c r="C785">
        <v>618</v>
      </c>
      <c r="D785">
        <v>1</v>
      </c>
      <c r="E785" t="s">
        <v>2755</v>
      </c>
      <c r="F785" t="s">
        <v>327</v>
      </c>
      <c r="G785" t="s">
        <v>2758</v>
      </c>
      <c r="J785" t="s">
        <v>2756</v>
      </c>
      <c r="K785">
        <v>20.5</v>
      </c>
      <c r="L785">
        <v>0.7</v>
      </c>
      <c r="M785" t="s">
        <v>196</v>
      </c>
      <c r="N785" t="s">
        <v>203</v>
      </c>
      <c r="O785" t="s">
        <v>2759</v>
      </c>
      <c r="P785" t="s">
        <v>197</v>
      </c>
      <c r="R785">
        <v>8</v>
      </c>
      <c r="S785">
        <v>109</v>
      </c>
      <c r="T785">
        <v>81</v>
      </c>
      <c r="U785">
        <v>99</v>
      </c>
      <c r="V785">
        <v>66</v>
      </c>
      <c r="W785">
        <v>84</v>
      </c>
      <c r="X785">
        <v>32</v>
      </c>
      <c r="Y785">
        <f t="shared" si="360"/>
        <v>216</v>
      </c>
      <c r="Z785">
        <f t="shared" si="361"/>
        <v>216</v>
      </c>
      <c r="AA785">
        <f t="shared" si="362"/>
        <v>184</v>
      </c>
      <c r="AB785">
        <f t="shared" si="363"/>
        <v>184</v>
      </c>
      <c r="AC785">
        <f t="shared" si="364"/>
        <v>169</v>
      </c>
      <c r="AD785">
        <f t="shared" si="365"/>
        <v>146</v>
      </c>
      <c r="AE785">
        <f t="shared" si="366"/>
        <v>133</v>
      </c>
      <c r="AF785">
        <f t="shared" si="367"/>
        <v>101</v>
      </c>
      <c r="AG785">
        <f t="shared" si="368"/>
        <v>90</v>
      </c>
      <c r="AH785">
        <f t="shared" si="369"/>
        <v>77</v>
      </c>
      <c r="AI785">
        <f t="shared" si="370"/>
        <v>166</v>
      </c>
      <c r="AJ785">
        <f t="shared" si="371"/>
        <v>151</v>
      </c>
      <c r="AK785">
        <f t="shared" si="372"/>
        <v>119</v>
      </c>
      <c r="AL785">
        <f t="shared" si="373"/>
        <v>107</v>
      </c>
      <c r="AM785">
        <f t="shared" si="374"/>
        <v>93</v>
      </c>
      <c r="AN785">
        <f t="shared" si="375"/>
        <v>129</v>
      </c>
      <c r="AO785">
        <f t="shared" si="376"/>
        <v>118</v>
      </c>
      <c r="AP785">
        <f t="shared" si="377"/>
        <v>86</v>
      </c>
      <c r="AQ785">
        <f t="shared" si="378"/>
        <v>77</v>
      </c>
      <c r="AR785">
        <f t="shared" si="379"/>
        <v>63</v>
      </c>
      <c r="AS785">
        <f t="shared" si="380"/>
        <v>149</v>
      </c>
      <c r="AT785">
        <f t="shared" si="381"/>
        <v>136</v>
      </c>
      <c r="AU785">
        <f t="shared" si="382"/>
        <v>104</v>
      </c>
      <c r="AV785">
        <f t="shared" si="383"/>
        <v>93</v>
      </c>
      <c r="AW785">
        <f t="shared" si="384"/>
        <v>80</v>
      </c>
      <c r="AX785">
        <f t="shared" si="385"/>
        <v>92</v>
      </c>
      <c r="AY785">
        <f t="shared" si="386"/>
        <v>84</v>
      </c>
      <c r="AZ785">
        <f t="shared" si="387"/>
        <v>52</v>
      </c>
      <c r="BA785">
        <f t="shared" si="388"/>
        <v>46</v>
      </c>
      <c r="BB785">
        <f t="shared" si="389"/>
        <v>33</v>
      </c>
    </row>
    <row r="786" spans="1:54" x14ac:dyDescent="0.15">
      <c r="A786">
        <v>510</v>
      </c>
      <c r="B786" t="s">
        <v>2760</v>
      </c>
      <c r="C786">
        <v>619</v>
      </c>
      <c r="D786">
        <v>0</v>
      </c>
      <c r="E786" t="s">
        <v>2761</v>
      </c>
      <c r="G786" t="s">
        <v>2761</v>
      </c>
      <c r="H786" t="s">
        <v>2762</v>
      </c>
      <c r="J786" t="s">
        <v>2763</v>
      </c>
      <c r="K786">
        <v>20</v>
      </c>
      <c r="L786">
        <v>0.9</v>
      </c>
      <c r="M786" t="s">
        <v>354</v>
      </c>
      <c r="O786" t="s">
        <v>268</v>
      </c>
      <c r="P786" t="s">
        <v>471</v>
      </c>
      <c r="Q786" t="s">
        <v>623</v>
      </c>
      <c r="R786">
        <v>9</v>
      </c>
      <c r="S786">
        <v>45</v>
      </c>
      <c r="T786">
        <v>85</v>
      </c>
      <c r="U786">
        <v>50</v>
      </c>
      <c r="V786">
        <v>55</v>
      </c>
      <c r="W786">
        <v>50</v>
      </c>
      <c r="X786">
        <v>65</v>
      </c>
      <c r="Y786">
        <f t="shared" si="360"/>
        <v>152</v>
      </c>
      <c r="Z786">
        <f t="shared" si="361"/>
        <v>152</v>
      </c>
      <c r="AA786">
        <f t="shared" si="362"/>
        <v>120</v>
      </c>
      <c r="AB786">
        <f t="shared" si="363"/>
        <v>120</v>
      </c>
      <c r="AC786">
        <f t="shared" si="364"/>
        <v>105</v>
      </c>
      <c r="AD786">
        <f t="shared" si="365"/>
        <v>150</v>
      </c>
      <c r="AE786">
        <f t="shared" si="366"/>
        <v>137</v>
      </c>
      <c r="AF786">
        <f t="shared" si="367"/>
        <v>105</v>
      </c>
      <c r="AG786">
        <f t="shared" si="368"/>
        <v>94</v>
      </c>
      <c r="AH786">
        <f t="shared" si="369"/>
        <v>81</v>
      </c>
      <c r="AI786">
        <f t="shared" si="370"/>
        <v>112</v>
      </c>
      <c r="AJ786">
        <f t="shared" si="371"/>
        <v>102</v>
      </c>
      <c r="AK786">
        <f t="shared" si="372"/>
        <v>70</v>
      </c>
      <c r="AL786">
        <f t="shared" si="373"/>
        <v>63</v>
      </c>
      <c r="AM786">
        <f t="shared" si="374"/>
        <v>49</v>
      </c>
      <c r="AN786">
        <f t="shared" si="375"/>
        <v>117</v>
      </c>
      <c r="AO786">
        <f t="shared" si="376"/>
        <v>107</v>
      </c>
      <c r="AP786">
        <f t="shared" si="377"/>
        <v>75</v>
      </c>
      <c r="AQ786">
        <f t="shared" si="378"/>
        <v>67</v>
      </c>
      <c r="AR786">
        <f t="shared" si="379"/>
        <v>54</v>
      </c>
      <c r="AS786">
        <f t="shared" si="380"/>
        <v>112</v>
      </c>
      <c r="AT786">
        <f t="shared" si="381"/>
        <v>102</v>
      </c>
      <c r="AU786">
        <f t="shared" si="382"/>
        <v>70</v>
      </c>
      <c r="AV786">
        <f t="shared" si="383"/>
        <v>63</v>
      </c>
      <c r="AW786">
        <f t="shared" si="384"/>
        <v>49</v>
      </c>
      <c r="AX786">
        <f t="shared" si="385"/>
        <v>128</v>
      </c>
      <c r="AY786">
        <f t="shared" si="386"/>
        <v>117</v>
      </c>
      <c r="AZ786">
        <f t="shared" si="387"/>
        <v>85</v>
      </c>
      <c r="BA786">
        <f t="shared" si="388"/>
        <v>76</v>
      </c>
      <c r="BB786">
        <f t="shared" si="389"/>
        <v>63</v>
      </c>
    </row>
    <row r="787" spans="1:54" x14ac:dyDescent="0.15">
      <c r="A787">
        <v>511</v>
      </c>
      <c r="B787" t="s">
        <v>2764</v>
      </c>
      <c r="C787">
        <v>620</v>
      </c>
      <c r="D787">
        <v>0</v>
      </c>
      <c r="E787" t="s">
        <v>2765</v>
      </c>
      <c r="G787" t="s">
        <v>2765</v>
      </c>
      <c r="H787" t="s">
        <v>2766</v>
      </c>
      <c r="J787" t="s">
        <v>2763</v>
      </c>
      <c r="K787">
        <v>35.5</v>
      </c>
      <c r="L787">
        <v>1.4</v>
      </c>
      <c r="M787" t="s">
        <v>354</v>
      </c>
      <c r="O787" t="s">
        <v>268</v>
      </c>
      <c r="P787" t="s">
        <v>471</v>
      </c>
      <c r="Q787" t="s">
        <v>623</v>
      </c>
      <c r="R787">
        <v>9</v>
      </c>
      <c r="S787">
        <v>65</v>
      </c>
      <c r="T787">
        <v>125</v>
      </c>
      <c r="U787">
        <v>60</v>
      </c>
      <c r="V787">
        <v>95</v>
      </c>
      <c r="W787">
        <v>60</v>
      </c>
      <c r="X787">
        <v>105</v>
      </c>
      <c r="Y787">
        <f t="shared" si="360"/>
        <v>172</v>
      </c>
      <c r="Z787">
        <f t="shared" si="361"/>
        <v>172</v>
      </c>
      <c r="AA787">
        <f t="shared" si="362"/>
        <v>140</v>
      </c>
      <c r="AB787">
        <f t="shared" si="363"/>
        <v>140</v>
      </c>
      <c r="AC787">
        <f t="shared" si="364"/>
        <v>125</v>
      </c>
      <c r="AD787">
        <f t="shared" si="365"/>
        <v>194</v>
      </c>
      <c r="AE787">
        <f t="shared" si="366"/>
        <v>177</v>
      </c>
      <c r="AF787">
        <f t="shared" si="367"/>
        <v>145</v>
      </c>
      <c r="AG787">
        <f t="shared" si="368"/>
        <v>130</v>
      </c>
      <c r="AH787">
        <f t="shared" si="369"/>
        <v>117</v>
      </c>
      <c r="AI787">
        <f t="shared" si="370"/>
        <v>123</v>
      </c>
      <c r="AJ787">
        <f t="shared" si="371"/>
        <v>112</v>
      </c>
      <c r="AK787">
        <f t="shared" si="372"/>
        <v>80</v>
      </c>
      <c r="AL787">
        <f t="shared" si="373"/>
        <v>72</v>
      </c>
      <c r="AM787">
        <f t="shared" si="374"/>
        <v>58</v>
      </c>
      <c r="AN787">
        <f t="shared" si="375"/>
        <v>161</v>
      </c>
      <c r="AO787">
        <f t="shared" si="376"/>
        <v>147</v>
      </c>
      <c r="AP787">
        <f t="shared" si="377"/>
        <v>115</v>
      </c>
      <c r="AQ787">
        <f t="shared" si="378"/>
        <v>103</v>
      </c>
      <c r="AR787">
        <f t="shared" si="379"/>
        <v>90</v>
      </c>
      <c r="AS787">
        <f t="shared" si="380"/>
        <v>123</v>
      </c>
      <c r="AT787">
        <f t="shared" si="381"/>
        <v>112</v>
      </c>
      <c r="AU787">
        <f t="shared" si="382"/>
        <v>80</v>
      </c>
      <c r="AV787">
        <f t="shared" si="383"/>
        <v>72</v>
      </c>
      <c r="AW787">
        <f t="shared" si="384"/>
        <v>58</v>
      </c>
      <c r="AX787">
        <f t="shared" si="385"/>
        <v>172</v>
      </c>
      <c r="AY787">
        <f t="shared" si="386"/>
        <v>157</v>
      </c>
      <c r="AZ787">
        <f t="shared" si="387"/>
        <v>125</v>
      </c>
      <c r="BA787">
        <f t="shared" si="388"/>
        <v>112</v>
      </c>
      <c r="BB787">
        <f t="shared" si="389"/>
        <v>99</v>
      </c>
    </row>
    <row r="788" spans="1:54" x14ac:dyDescent="0.15">
      <c r="B788" t="s">
        <v>2767</v>
      </c>
      <c r="C788">
        <v>621</v>
      </c>
      <c r="D788">
        <v>0</v>
      </c>
      <c r="E788" t="s">
        <v>2768</v>
      </c>
      <c r="G788" t="s">
        <v>2768</v>
      </c>
      <c r="J788" t="s">
        <v>2032</v>
      </c>
      <c r="K788">
        <v>139</v>
      </c>
      <c r="L788">
        <v>1.6</v>
      </c>
      <c r="M788" t="s">
        <v>60</v>
      </c>
      <c r="O788" t="s">
        <v>1507</v>
      </c>
      <c r="P788" t="s">
        <v>222</v>
      </c>
      <c r="Q788" t="s">
        <v>713</v>
      </c>
      <c r="R788">
        <v>8</v>
      </c>
      <c r="S788">
        <v>77</v>
      </c>
      <c r="T788">
        <v>120</v>
      </c>
      <c r="U788">
        <v>90</v>
      </c>
      <c r="V788">
        <v>60</v>
      </c>
      <c r="W788">
        <v>90</v>
      </c>
      <c r="X788">
        <v>48</v>
      </c>
      <c r="Y788">
        <f t="shared" si="360"/>
        <v>184</v>
      </c>
      <c r="Z788">
        <f t="shared" si="361"/>
        <v>184</v>
      </c>
      <c r="AA788">
        <f t="shared" si="362"/>
        <v>152</v>
      </c>
      <c r="AB788">
        <f t="shared" si="363"/>
        <v>152</v>
      </c>
      <c r="AC788">
        <f t="shared" si="364"/>
        <v>137</v>
      </c>
      <c r="AD788">
        <f t="shared" si="365"/>
        <v>189</v>
      </c>
      <c r="AE788">
        <f t="shared" si="366"/>
        <v>172</v>
      </c>
      <c r="AF788">
        <f t="shared" si="367"/>
        <v>140</v>
      </c>
      <c r="AG788">
        <f t="shared" si="368"/>
        <v>126</v>
      </c>
      <c r="AH788">
        <f t="shared" si="369"/>
        <v>112</v>
      </c>
      <c r="AI788">
        <f t="shared" si="370"/>
        <v>156</v>
      </c>
      <c r="AJ788">
        <f t="shared" si="371"/>
        <v>142</v>
      </c>
      <c r="AK788">
        <f t="shared" si="372"/>
        <v>110</v>
      </c>
      <c r="AL788">
        <f t="shared" si="373"/>
        <v>99</v>
      </c>
      <c r="AM788">
        <f t="shared" si="374"/>
        <v>85</v>
      </c>
      <c r="AN788">
        <f t="shared" si="375"/>
        <v>123</v>
      </c>
      <c r="AO788">
        <f t="shared" si="376"/>
        <v>112</v>
      </c>
      <c r="AP788">
        <f t="shared" si="377"/>
        <v>80</v>
      </c>
      <c r="AQ788">
        <f t="shared" si="378"/>
        <v>72</v>
      </c>
      <c r="AR788">
        <f t="shared" si="379"/>
        <v>58</v>
      </c>
      <c r="AS788">
        <f t="shared" si="380"/>
        <v>156</v>
      </c>
      <c r="AT788">
        <f t="shared" si="381"/>
        <v>142</v>
      </c>
      <c r="AU788">
        <f t="shared" si="382"/>
        <v>110</v>
      </c>
      <c r="AV788">
        <f t="shared" si="383"/>
        <v>99</v>
      </c>
      <c r="AW788">
        <f t="shared" si="384"/>
        <v>85</v>
      </c>
      <c r="AX788">
        <f t="shared" si="385"/>
        <v>110</v>
      </c>
      <c r="AY788">
        <f t="shared" si="386"/>
        <v>100</v>
      </c>
      <c r="AZ788">
        <f t="shared" si="387"/>
        <v>68</v>
      </c>
      <c r="BA788">
        <f t="shared" si="388"/>
        <v>61</v>
      </c>
      <c r="BB788">
        <f t="shared" si="389"/>
        <v>47</v>
      </c>
    </row>
    <row r="789" spans="1:54" x14ac:dyDescent="0.15">
      <c r="A789">
        <v>512</v>
      </c>
      <c r="B789" t="s">
        <v>2769</v>
      </c>
      <c r="C789">
        <v>622</v>
      </c>
      <c r="D789">
        <v>0</v>
      </c>
      <c r="E789" t="s">
        <v>2770</v>
      </c>
      <c r="G789" t="s">
        <v>2770</v>
      </c>
      <c r="H789" t="s">
        <v>2771</v>
      </c>
      <c r="J789" t="s">
        <v>2772</v>
      </c>
      <c r="K789">
        <v>92</v>
      </c>
      <c r="L789">
        <v>1</v>
      </c>
      <c r="M789" t="s">
        <v>196</v>
      </c>
      <c r="N789" t="s">
        <v>546</v>
      </c>
      <c r="O789" t="s">
        <v>629</v>
      </c>
      <c r="P789" t="s">
        <v>1968</v>
      </c>
      <c r="Q789" t="s">
        <v>131</v>
      </c>
      <c r="R789">
        <v>9</v>
      </c>
      <c r="S789">
        <v>59</v>
      </c>
      <c r="T789">
        <v>74</v>
      </c>
      <c r="U789">
        <v>50</v>
      </c>
      <c r="V789">
        <v>35</v>
      </c>
      <c r="W789">
        <v>50</v>
      </c>
      <c r="X789">
        <v>35</v>
      </c>
      <c r="Y789">
        <f t="shared" si="360"/>
        <v>166</v>
      </c>
      <c r="Z789">
        <f t="shared" si="361"/>
        <v>166</v>
      </c>
      <c r="AA789">
        <f t="shared" si="362"/>
        <v>134</v>
      </c>
      <c r="AB789">
        <f t="shared" si="363"/>
        <v>134</v>
      </c>
      <c r="AC789">
        <f t="shared" si="364"/>
        <v>119</v>
      </c>
      <c r="AD789">
        <f t="shared" si="365"/>
        <v>138</v>
      </c>
      <c r="AE789">
        <f t="shared" si="366"/>
        <v>126</v>
      </c>
      <c r="AF789">
        <f t="shared" si="367"/>
        <v>94</v>
      </c>
      <c r="AG789">
        <f t="shared" si="368"/>
        <v>84</v>
      </c>
      <c r="AH789">
        <f t="shared" si="369"/>
        <v>71</v>
      </c>
      <c r="AI789">
        <f t="shared" si="370"/>
        <v>112</v>
      </c>
      <c r="AJ789">
        <f t="shared" si="371"/>
        <v>102</v>
      </c>
      <c r="AK789">
        <f t="shared" si="372"/>
        <v>70</v>
      </c>
      <c r="AL789">
        <f t="shared" si="373"/>
        <v>63</v>
      </c>
      <c r="AM789">
        <f t="shared" si="374"/>
        <v>49</v>
      </c>
      <c r="AN789">
        <f t="shared" si="375"/>
        <v>95</v>
      </c>
      <c r="AO789">
        <f t="shared" si="376"/>
        <v>87</v>
      </c>
      <c r="AP789">
        <f t="shared" si="377"/>
        <v>55</v>
      </c>
      <c r="AQ789">
        <f t="shared" si="378"/>
        <v>49</v>
      </c>
      <c r="AR789">
        <f t="shared" si="379"/>
        <v>36</v>
      </c>
      <c r="AS789">
        <f t="shared" si="380"/>
        <v>112</v>
      </c>
      <c r="AT789">
        <f t="shared" si="381"/>
        <v>102</v>
      </c>
      <c r="AU789">
        <f t="shared" si="382"/>
        <v>70</v>
      </c>
      <c r="AV789">
        <f t="shared" si="383"/>
        <v>63</v>
      </c>
      <c r="AW789">
        <f t="shared" si="384"/>
        <v>49</v>
      </c>
      <c r="AX789">
        <f t="shared" si="385"/>
        <v>95</v>
      </c>
      <c r="AY789">
        <f t="shared" si="386"/>
        <v>87</v>
      </c>
      <c r="AZ789">
        <f t="shared" si="387"/>
        <v>55</v>
      </c>
      <c r="BA789">
        <f t="shared" si="388"/>
        <v>49</v>
      </c>
      <c r="BB789">
        <f t="shared" si="389"/>
        <v>36</v>
      </c>
    </row>
    <row r="790" spans="1:54" x14ac:dyDescent="0.15">
      <c r="A790">
        <v>513</v>
      </c>
      <c r="B790" t="s">
        <v>2773</v>
      </c>
      <c r="C790">
        <v>623</v>
      </c>
      <c r="D790">
        <v>0</v>
      </c>
      <c r="E790" t="s">
        <v>2774</v>
      </c>
      <c r="G790" t="s">
        <v>2774</v>
      </c>
      <c r="H790" t="s">
        <v>2775</v>
      </c>
      <c r="J790" t="s">
        <v>2772</v>
      </c>
      <c r="K790">
        <v>330</v>
      </c>
      <c r="L790">
        <v>2.8</v>
      </c>
      <c r="M790" t="s">
        <v>196</v>
      </c>
      <c r="N790" t="s">
        <v>546</v>
      </c>
      <c r="O790" t="s">
        <v>629</v>
      </c>
      <c r="P790" t="s">
        <v>1968</v>
      </c>
      <c r="Q790" t="s">
        <v>131</v>
      </c>
      <c r="R790">
        <v>9</v>
      </c>
      <c r="S790">
        <v>89</v>
      </c>
      <c r="T790">
        <v>124</v>
      </c>
      <c r="U790">
        <v>80</v>
      </c>
      <c r="V790">
        <v>55</v>
      </c>
      <c r="W790">
        <v>80</v>
      </c>
      <c r="X790">
        <v>55</v>
      </c>
      <c r="Y790">
        <f t="shared" si="360"/>
        <v>196</v>
      </c>
      <c r="Z790">
        <f t="shared" si="361"/>
        <v>196</v>
      </c>
      <c r="AA790">
        <f t="shared" si="362"/>
        <v>164</v>
      </c>
      <c r="AB790">
        <f t="shared" si="363"/>
        <v>164</v>
      </c>
      <c r="AC790">
        <f t="shared" si="364"/>
        <v>149</v>
      </c>
      <c r="AD790">
        <f t="shared" si="365"/>
        <v>193</v>
      </c>
      <c r="AE790">
        <f t="shared" si="366"/>
        <v>176</v>
      </c>
      <c r="AF790">
        <f t="shared" si="367"/>
        <v>144</v>
      </c>
      <c r="AG790">
        <f t="shared" si="368"/>
        <v>129</v>
      </c>
      <c r="AH790">
        <f t="shared" si="369"/>
        <v>116</v>
      </c>
      <c r="AI790">
        <f t="shared" si="370"/>
        <v>145</v>
      </c>
      <c r="AJ790">
        <f t="shared" si="371"/>
        <v>132</v>
      </c>
      <c r="AK790">
        <f t="shared" si="372"/>
        <v>100</v>
      </c>
      <c r="AL790">
        <f t="shared" si="373"/>
        <v>90</v>
      </c>
      <c r="AM790">
        <f t="shared" si="374"/>
        <v>76</v>
      </c>
      <c r="AN790">
        <f t="shared" si="375"/>
        <v>117</v>
      </c>
      <c r="AO790">
        <f t="shared" si="376"/>
        <v>107</v>
      </c>
      <c r="AP790">
        <f t="shared" si="377"/>
        <v>75</v>
      </c>
      <c r="AQ790">
        <f t="shared" si="378"/>
        <v>67</v>
      </c>
      <c r="AR790">
        <f t="shared" si="379"/>
        <v>54</v>
      </c>
      <c r="AS790">
        <f t="shared" si="380"/>
        <v>145</v>
      </c>
      <c r="AT790">
        <f t="shared" si="381"/>
        <v>132</v>
      </c>
      <c r="AU790">
        <f t="shared" si="382"/>
        <v>100</v>
      </c>
      <c r="AV790">
        <f t="shared" si="383"/>
        <v>90</v>
      </c>
      <c r="AW790">
        <f t="shared" si="384"/>
        <v>76</v>
      </c>
      <c r="AX790">
        <f t="shared" si="385"/>
        <v>117</v>
      </c>
      <c r="AY790">
        <f t="shared" si="386"/>
        <v>107</v>
      </c>
      <c r="AZ790">
        <f t="shared" si="387"/>
        <v>75</v>
      </c>
      <c r="BA790">
        <f t="shared" si="388"/>
        <v>67</v>
      </c>
      <c r="BB790">
        <f t="shared" si="389"/>
        <v>54</v>
      </c>
    </row>
    <row r="791" spans="1:54" x14ac:dyDescent="0.15">
      <c r="A791">
        <v>514</v>
      </c>
      <c r="B791" t="s">
        <v>2776</v>
      </c>
      <c r="C791">
        <v>624</v>
      </c>
      <c r="D791">
        <v>0</v>
      </c>
      <c r="E791" t="s">
        <v>2777</v>
      </c>
      <c r="G791" t="s">
        <v>2777</v>
      </c>
      <c r="H791" t="s">
        <v>2778</v>
      </c>
      <c r="J791" t="s">
        <v>2779</v>
      </c>
      <c r="K791">
        <v>10.199999999999999</v>
      </c>
      <c r="L791">
        <v>0.5</v>
      </c>
      <c r="M791" t="s">
        <v>140</v>
      </c>
      <c r="N791" t="s">
        <v>203</v>
      </c>
      <c r="O791" t="s">
        <v>357</v>
      </c>
      <c r="P791" t="s">
        <v>268</v>
      </c>
      <c r="Q791" t="s">
        <v>792</v>
      </c>
      <c r="R791">
        <v>9</v>
      </c>
      <c r="S791">
        <v>45</v>
      </c>
      <c r="T791">
        <v>85</v>
      </c>
      <c r="U791">
        <v>70</v>
      </c>
      <c r="V791">
        <v>40</v>
      </c>
      <c r="W791">
        <v>40</v>
      </c>
      <c r="X791">
        <v>60</v>
      </c>
      <c r="Y791">
        <f t="shared" si="360"/>
        <v>152</v>
      </c>
      <c r="Z791">
        <f t="shared" si="361"/>
        <v>152</v>
      </c>
      <c r="AA791">
        <f t="shared" si="362"/>
        <v>120</v>
      </c>
      <c r="AB791">
        <f t="shared" si="363"/>
        <v>120</v>
      </c>
      <c r="AC791">
        <f t="shared" si="364"/>
        <v>105</v>
      </c>
      <c r="AD791">
        <f t="shared" si="365"/>
        <v>150</v>
      </c>
      <c r="AE791">
        <f t="shared" si="366"/>
        <v>137</v>
      </c>
      <c r="AF791">
        <f t="shared" si="367"/>
        <v>105</v>
      </c>
      <c r="AG791">
        <f t="shared" si="368"/>
        <v>94</v>
      </c>
      <c r="AH791">
        <f t="shared" si="369"/>
        <v>81</v>
      </c>
      <c r="AI791">
        <f t="shared" si="370"/>
        <v>134</v>
      </c>
      <c r="AJ791">
        <f t="shared" si="371"/>
        <v>122</v>
      </c>
      <c r="AK791">
        <f t="shared" si="372"/>
        <v>90</v>
      </c>
      <c r="AL791">
        <f t="shared" si="373"/>
        <v>81</v>
      </c>
      <c r="AM791">
        <f t="shared" si="374"/>
        <v>67</v>
      </c>
      <c r="AN791">
        <f t="shared" si="375"/>
        <v>101</v>
      </c>
      <c r="AO791">
        <f t="shared" si="376"/>
        <v>92</v>
      </c>
      <c r="AP791">
        <f t="shared" si="377"/>
        <v>60</v>
      </c>
      <c r="AQ791">
        <f t="shared" si="378"/>
        <v>54</v>
      </c>
      <c r="AR791">
        <f t="shared" si="379"/>
        <v>40</v>
      </c>
      <c r="AS791">
        <f t="shared" si="380"/>
        <v>101</v>
      </c>
      <c r="AT791">
        <f t="shared" si="381"/>
        <v>92</v>
      </c>
      <c r="AU791">
        <f t="shared" si="382"/>
        <v>60</v>
      </c>
      <c r="AV791">
        <f t="shared" si="383"/>
        <v>54</v>
      </c>
      <c r="AW791">
        <f t="shared" si="384"/>
        <v>40</v>
      </c>
      <c r="AX791">
        <f t="shared" si="385"/>
        <v>123</v>
      </c>
      <c r="AY791">
        <f t="shared" si="386"/>
        <v>112</v>
      </c>
      <c r="AZ791">
        <f t="shared" si="387"/>
        <v>80</v>
      </c>
      <c r="BA791">
        <f t="shared" si="388"/>
        <v>72</v>
      </c>
      <c r="BB791">
        <f t="shared" si="389"/>
        <v>58</v>
      </c>
    </row>
    <row r="792" spans="1:54" x14ac:dyDescent="0.15">
      <c r="A792">
        <v>515</v>
      </c>
      <c r="B792" t="s">
        <v>2780</v>
      </c>
      <c r="C792">
        <v>625</v>
      </c>
      <c r="D792">
        <v>0</v>
      </c>
      <c r="E792" t="s">
        <v>2781</v>
      </c>
      <c r="G792" t="s">
        <v>2781</v>
      </c>
      <c r="H792" t="s">
        <v>2782</v>
      </c>
      <c r="J792" t="s">
        <v>2783</v>
      </c>
      <c r="K792">
        <v>70</v>
      </c>
      <c r="L792">
        <v>1.6</v>
      </c>
      <c r="M792" t="s">
        <v>140</v>
      </c>
      <c r="N792" t="s">
        <v>203</v>
      </c>
      <c r="O792" t="s">
        <v>357</v>
      </c>
      <c r="P792" t="s">
        <v>268</v>
      </c>
      <c r="Q792" t="s">
        <v>792</v>
      </c>
      <c r="R792">
        <v>9</v>
      </c>
      <c r="S792">
        <v>65</v>
      </c>
      <c r="T792">
        <v>125</v>
      </c>
      <c r="U792">
        <v>100</v>
      </c>
      <c r="V792">
        <v>60</v>
      </c>
      <c r="W792">
        <v>70</v>
      </c>
      <c r="X792">
        <v>70</v>
      </c>
      <c r="Y792">
        <f t="shared" si="360"/>
        <v>172</v>
      </c>
      <c r="Z792">
        <f t="shared" si="361"/>
        <v>172</v>
      </c>
      <c r="AA792">
        <f t="shared" si="362"/>
        <v>140</v>
      </c>
      <c r="AB792">
        <f t="shared" si="363"/>
        <v>140</v>
      </c>
      <c r="AC792">
        <f t="shared" si="364"/>
        <v>125</v>
      </c>
      <c r="AD792">
        <f t="shared" si="365"/>
        <v>194</v>
      </c>
      <c r="AE792">
        <f t="shared" si="366"/>
        <v>177</v>
      </c>
      <c r="AF792">
        <f t="shared" si="367"/>
        <v>145</v>
      </c>
      <c r="AG792">
        <f t="shared" si="368"/>
        <v>130</v>
      </c>
      <c r="AH792">
        <f t="shared" si="369"/>
        <v>117</v>
      </c>
      <c r="AI792">
        <f t="shared" si="370"/>
        <v>167</v>
      </c>
      <c r="AJ792">
        <f t="shared" si="371"/>
        <v>152</v>
      </c>
      <c r="AK792">
        <f t="shared" si="372"/>
        <v>120</v>
      </c>
      <c r="AL792">
        <f t="shared" si="373"/>
        <v>108</v>
      </c>
      <c r="AM792">
        <f t="shared" si="374"/>
        <v>94</v>
      </c>
      <c r="AN792">
        <f t="shared" si="375"/>
        <v>123</v>
      </c>
      <c r="AO792">
        <f t="shared" si="376"/>
        <v>112</v>
      </c>
      <c r="AP792">
        <f t="shared" si="377"/>
        <v>80</v>
      </c>
      <c r="AQ792">
        <f t="shared" si="378"/>
        <v>72</v>
      </c>
      <c r="AR792">
        <f t="shared" si="379"/>
        <v>58</v>
      </c>
      <c r="AS792">
        <f t="shared" si="380"/>
        <v>134</v>
      </c>
      <c r="AT792">
        <f t="shared" si="381"/>
        <v>122</v>
      </c>
      <c r="AU792">
        <f t="shared" si="382"/>
        <v>90</v>
      </c>
      <c r="AV792">
        <f t="shared" si="383"/>
        <v>81</v>
      </c>
      <c r="AW792">
        <f t="shared" si="384"/>
        <v>67</v>
      </c>
      <c r="AX792">
        <f t="shared" si="385"/>
        <v>134</v>
      </c>
      <c r="AY792">
        <f t="shared" si="386"/>
        <v>122</v>
      </c>
      <c r="AZ792">
        <f t="shared" si="387"/>
        <v>90</v>
      </c>
      <c r="BA792">
        <f t="shared" si="388"/>
        <v>81</v>
      </c>
      <c r="BB792">
        <f t="shared" si="389"/>
        <v>67</v>
      </c>
    </row>
    <row r="793" spans="1:54" x14ac:dyDescent="0.15">
      <c r="B793" t="s">
        <v>2784</v>
      </c>
      <c r="C793">
        <v>626</v>
      </c>
      <c r="D793">
        <v>0</v>
      </c>
      <c r="E793" t="s">
        <v>2785</v>
      </c>
      <c r="G793" t="s">
        <v>2785</v>
      </c>
      <c r="J793" t="s">
        <v>2786</v>
      </c>
      <c r="K793">
        <v>94.6</v>
      </c>
      <c r="L793">
        <v>1.6</v>
      </c>
      <c r="M793" t="s">
        <v>120</v>
      </c>
      <c r="O793" t="s">
        <v>623</v>
      </c>
      <c r="P793" t="s">
        <v>965</v>
      </c>
      <c r="Q793" t="s">
        <v>586</v>
      </c>
      <c r="R793">
        <v>8</v>
      </c>
      <c r="S793">
        <v>95</v>
      </c>
      <c r="T793">
        <v>110</v>
      </c>
      <c r="U793">
        <v>95</v>
      </c>
      <c r="V793">
        <v>40</v>
      </c>
      <c r="W793">
        <v>95</v>
      </c>
      <c r="X793">
        <v>55</v>
      </c>
      <c r="Y793">
        <f t="shared" si="360"/>
        <v>202</v>
      </c>
      <c r="Z793">
        <f t="shared" si="361"/>
        <v>202</v>
      </c>
      <c r="AA793">
        <f t="shared" si="362"/>
        <v>170</v>
      </c>
      <c r="AB793">
        <f t="shared" si="363"/>
        <v>170</v>
      </c>
      <c r="AC793">
        <f t="shared" si="364"/>
        <v>155</v>
      </c>
      <c r="AD793">
        <f t="shared" si="365"/>
        <v>178</v>
      </c>
      <c r="AE793">
        <f t="shared" si="366"/>
        <v>162</v>
      </c>
      <c r="AF793">
        <f t="shared" si="367"/>
        <v>130</v>
      </c>
      <c r="AG793">
        <f t="shared" si="368"/>
        <v>117</v>
      </c>
      <c r="AH793">
        <f t="shared" si="369"/>
        <v>103</v>
      </c>
      <c r="AI793">
        <f t="shared" si="370"/>
        <v>161</v>
      </c>
      <c r="AJ793">
        <f t="shared" si="371"/>
        <v>147</v>
      </c>
      <c r="AK793">
        <f t="shared" si="372"/>
        <v>115</v>
      </c>
      <c r="AL793">
        <f t="shared" si="373"/>
        <v>103</v>
      </c>
      <c r="AM793">
        <f t="shared" si="374"/>
        <v>90</v>
      </c>
      <c r="AN793">
        <f t="shared" si="375"/>
        <v>101</v>
      </c>
      <c r="AO793">
        <f t="shared" si="376"/>
        <v>92</v>
      </c>
      <c r="AP793">
        <f t="shared" si="377"/>
        <v>60</v>
      </c>
      <c r="AQ793">
        <f t="shared" si="378"/>
        <v>54</v>
      </c>
      <c r="AR793">
        <f t="shared" si="379"/>
        <v>40</v>
      </c>
      <c r="AS793">
        <f t="shared" si="380"/>
        <v>161</v>
      </c>
      <c r="AT793">
        <f t="shared" si="381"/>
        <v>147</v>
      </c>
      <c r="AU793">
        <f t="shared" si="382"/>
        <v>115</v>
      </c>
      <c r="AV793">
        <f t="shared" si="383"/>
        <v>103</v>
      </c>
      <c r="AW793">
        <f t="shared" si="384"/>
        <v>90</v>
      </c>
      <c r="AX793">
        <f t="shared" si="385"/>
        <v>117</v>
      </c>
      <c r="AY793">
        <f t="shared" si="386"/>
        <v>107</v>
      </c>
      <c r="AZ793">
        <f t="shared" si="387"/>
        <v>75</v>
      </c>
      <c r="BA793">
        <f t="shared" si="388"/>
        <v>67</v>
      </c>
      <c r="BB793">
        <f t="shared" si="389"/>
        <v>54</v>
      </c>
    </row>
    <row r="794" spans="1:54" x14ac:dyDescent="0.15">
      <c r="A794">
        <v>516</v>
      </c>
      <c r="B794" t="s">
        <v>2787</v>
      </c>
      <c r="C794">
        <v>627</v>
      </c>
      <c r="D794">
        <v>0</v>
      </c>
      <c r="E794" t="s">
        <v>2788</v>
      </c>
      <c r="G794" t="s">
        <v>2788</v>
      </c>
      <c r="H794" t="s">
        <v>2789</v>
      </c>
      <c r="J794" t="s">
        <v>2790</v>
      </c>
      <c r="K794">
        <v>10.5</v>
      </c>
      <c r="L794">
        <v>0.5</v>
      </c>
      <c r="M794" t="s">
        <v>120</v>
      </c>
      <c r="N794" t="s">
        <v>57</v>
      </c>
      <c r="O794" t="s">
        <v>121</v>
      </c>
      <c r="P794" t="s">
        <v>222</v>
      </c>
      <c r="Q794" t="s">
        <v>136</v>
      </c>
      <c r="R794">
        <v>9</v>
      </c>
      <c r="S794">
        <v>70</v>
      </c>
      <c r="T794">
        <v>83</v>
      </c>
      <c r="U794">
        <v>50</v>
      </c>
      <c r="V794">
        <v>37</v>
      </c>
      <c r="W794">
        <v>50</v>
      </c>
      <c r="X794">
        <v>60</v>
      </c>
      <c r="Y794">
        <f t="shared" si="360"/>
        <v>177</v>
      </c>
      <c r="Z794">
        <f t="shared" si="361"/>
        <v>177</v>
      </c>
      <c r="AA794">
        <f t="shared" si="362"/>
        <v>145</v>
      </c>
      <c r="AB794">
        <f t="shared" si="363"/>
        <v>145</v>
      </c>
      <c r="AC794">
        <f t="shared" si="364"/>
        <v>130</v>
      </c>
      <c r="AD794">
        <f t="shared" si="365"/>
        <v>148</v>
      </c>
      <c r="AE794">
        <f t="shared" si="366"/>
        <v>135</v>
      </c>
      <c r="AF794">
        <f t="shared" si="367"/>
        <v>103</v>
      </c>
      <c r="AG794">
        <f t="shared" si="368"/>
        <v>92</v>
      </c>
      <c r="AH794">
        <f t="shared" si="369"/>
        <v>79</v>
      </c>
      <c r="AI794">
        <f t="shared" si="370"/>
        <v>112</v>
      </c>
      <c r="AJ794">
        <f t="shared" si="371"/>
        <v>102</v>
      </c>
      <c r="AK794">
        <f t="shared" si="372"/>
        <v>70</v>
      </c>
      <c r="AL794">
        <f t="shared" si="373"/>
        <v>63</v>
      </c>
      <c r="AM794">
        <f t="shared" si="374"/>
        <v>49</v>
      </c>
      <c r="AN794">
        <f t="shared" si="375"/>
        <v>97</v>
      </c>
      <c r="AO794">
        <f t="shared" si="376"/>
        <v>89</v>
      </c>
      <c r="AP794">
        <f t="shared" si="377"/>
        <v>57</v>
      </c>
      <c r="AQ794">
        <f t="shared" si="378"/>
        <v>51</v>
      </c>
      <c r="AR794">
        <f t="shared" si="379"/>
        <v>37</v>
      </c>
      <c r="AS794">
        <f t="shared" si="380"/>
        <v>112</v>
      </c>
      <c r="AT794">
        <f t="shared" si="381"/>
        <v>102</v>
      </c>
      <c r="AU794">
        <f t="shared" si="382"/>
        <v>70</v>
      </c>
      <c r="AV794">
        <f t="shared" si="383"/>
        <v>63</v>
      </c>
      <c r="AW794">
        <f t="shared" si="384"/>
        <v>49</v>
      </c>
      <c r="AX794">
        <f t="shared" si="385"/>
        <v>123</v>
      </c>
      <c r="AY794">
        <f t="shared" si="386"/>
        <v>112</v>
      </c>
      <c r="AZ794">
        <f t="shared" si="387"/>
        <v>80</v>
      </c>
      <c r="BA794">
        <f t="shared" si="388"/>
        <v>72</v>
      </c>
      <c r="BB794">
        <f t="shared" si="389"/>
        <v>58</v>
      </c>
    </row>
    <row r="795" spans="1:54" x14ac:dyDescent="0.15">
      <c r="A795">
        <v>517</v>
      </c>
      <c r="B795" t="s">
        <v>2791</v>
      </c>
      <c r="C795">
        <v>628</v>
      </c>
      <c r="D795">
        <v>0</v>
      </c>
      <c r="E795" t="s">
        <v>2792</v>
      </c>
      <c r="G795" t="s">
        <v>2792</v>
      </c>
      <c r="H795" t="s">
        <v>2793</v>
      </c>
      <c r="J795" t="s">
        <v>2794</v>
      </c>
      <c r="K795">
        <v>41</v>
      </c>
      <c r="L795">
        <v>1.5</v>
      </c>
      <c r="M795" t="s">
        <v>120</v>
      </c>
      <c r="N795" t="s">
        <v>57</v>
      </c>
      <c r="O795" t="s">
        <v>121</v>
      </c>
      <c r="P795" t="s">
        <v>222</v>
      </c>
      <c r="Q795" t="s">
        <v>357</v>
      </c>
      <c r="R795">
        <v>9</v>
      </c>
      <c r="S795">
        <v>100</v>
      </c>
      <c r="T795">
        <v>123</v>
      </c>
      <c r="U795">
        <v>75</v>
      </c>
      <c r="V795">
        <v>57</v>
      </c>
      <c r="W795">
        <v>75</v>
      </c>
      <c r="X795">
        <v>80</v>
      </c>
      <c r="Y795">
        <f t="shared" si="360"/>
        <v>207</v>
      </c>
      <c r="Z795">
        <f t="shared" si="361"/>
        <v>207</v>
      </c>
      <c r="AA795">
        <f t="shared" si="362"/>
        <v>175</v>
      </c>
      <c r="AB795">
        <f t="shared" si="363"/>
        <v>175</v>
      </c>
      <c r="AC795">
        <f t="shared" si="364"/>
        <v>160</v>
      </c>
      <c r="AD795">
        <f t="shared" si="365"/>
        <v>192</v>
      </c>
      <c r="AE795">
        <f t="shared" si="366"/>
        <v>175</v>
      </c>
      <c r="AF795">
        <f t="shared" si="367"/>
        <v>143</v>
      </c>
      <c r="AG795">
        <f t="shared" si="368"/>
        <v>128</v>
      </c>
      <c r="AH795">
        <f t="shared" si="369"/>
        <v>115</v>
      </c>
      <c r="AI795">
        <f t="shared" si="370"/>
        <v>139</v>
      </c>
      <c r="AJ795">
        <f t="shared" si="371"/>
        <v>127</v>
      </c>
      <c r="AK795">
        <f t="shared" si="372"/>
        <v>95</v>
      </c>
      <c r="AL795">
        <f t="shared" si="373"/>
        <v>85</v>
      </c>
      <c r="AM795">
        <f t="shared" si="374"/>
        <v>72</v>
      </c>
      <c r="AN795">
        <f t="shared" si="375"/>
        <v>119</v>
      </c>
      <c r="AO795">
        <f t="shared" si="376"/>
        <v>109</v>
      </c>
      <c r="AP795">
        <f t="shared" si="377"/>
        <v>77</v>
      </c>
      <c r="AQ795">
        <f t="shared" si="378"/>
        <v>69</v>
      </c>
      <c r="AR795">
        <f t="shared" si="379"/>
        <v>55</v>
      </c>
      <c r="AS795">
        <f t="shared" si="380"/>
        <v>139</v>
      </c>
      <c r="AT795">
        <f t="shared" si="381"/>
        <v>127</v>
      </c>
      <c r="AU795">
        <f t="shared" si="382"/>
        <v>95</v>
      </c>
      <c r="AV795">
        <f t="shared" si="383"/>
        <v>85</v>
      </c>
      <c r="AW795">
        <f t="shared" si="384"/>
        <v>72</v>
      </c>
      <c r="AX795">
        <f t="shared" si="385"/>
        <v>145</v>
      </c>
      <c r="AY795">
        <f t="shared" si="386"/>
        <v>132</v>
      </c>
      <c r="AZ795">
        <f t="shared" si="387"/>
        <v>100</v>
      </c>
      <c r="BA795">
        <f t="shared" si="388"/>
        <v>90</v>
      </c>
      <c r="BB795">
        <f t="shared" si="389"/>
        <v>76</v>
      </c>
    </row>
    <row r="796" spans="1:54" x14ac:dyDescent="0.15">
      <c r="A796">
        <v>518</v>
      </c>
      <c r="B796" t="s">
        <v>2795</v>
      </c>
      <c r="C796">
        <v>628</v>
      </c>
      <c r="D796">
        <v>1</v>
      </c>
      <c r="E796" t="s">
        <v>2792</v>
      </c>
      <c r="F796" t="s">
        <v>367</v>
      </c>
      <c r="G796" t="s">
        <v>2796</v>
      </c>
      <c r="H796" t="s">
        <v>2797</v>
      </c>
      <c r="J796" t="s">
        <v>2798</v>
      </c>
      <c r="K796">
        <v>43.4</v>
      </c>
      <c r="L796">
        <v>1.7</v>
      </c>
      <c r="M796" t="s">
        <v>191</v>
      </c>
      <c r="N796" t="s">
        <v>57</v>
      </c>
      <c r="O796" t="s">
        <v>121</v>
      </c>
      <c r="P796" t="s">
        <v>222</v>
      </c>
      <c r="Q796" t="s">
        <v>357</v>
      </c>
      <c r="R796">
        <v>9</v>
      </c>
      <c r="S796">
        <v>110</v>
      </c>
      <c r="T796">
        <v>83</v>
      </c>
      <c r="U796">
        <v>70</v>
      </c>
      <c r="V796">
        <v>112</v>
      </c>
      <c r="W796">
        <v>70</v>
      </c>
      <c r="X796">
        <v>65</v>
      </c>
      <c r="Y796">
        <f t="shared" si="360"/>
        <v>217</v>
      </c>
      <c r="Z796">
        <f t="shared" si="361"/>
        <v>217</v>
      </c>
      <c r="AA796">
        <f t="shared" si="362"/>
        <v>185</v>
      </c>
      <c r="AB796">
        <f t="shared" si="363"/>
        <v>185</v>
      </c>
      <c r="AC796">
        <f t="shared" si="364"/>
        <v>170</v>
      </c>
      <c r="AD796">
        <f t="shared" si="365"/>
        <v>148</v>
      </c>
      <c r="AE796">
        <f t="shared" si="366"/>
        <v>135</v>
      </c>
      <c r="AF796">
        <f t="shared" si="367"/>
        <v>103</v>
      </c>
      <c r="AG796">
        <f t="shared" si="368"/>
        <v>92</v>
      </c>
      <c r="AH796">
        <f t="shared" si="369"/>
        <v>79</v>
      </c>
      <c r="AI796">
        <f t="shared" si="370"/>
        <v>134</v>
      </c>
      <c r="AJ796">
        <f t="shared" si="371"/>
        <v>122</v>
      </c>
      <c r="AK796">
        <f t="shared" si="372"/>
        <v>90</v>
      </c>
      <c r="AL796">
        <f t="shared" si="373"/>
        <v>81</v>
      </c>
      <c r="AM796">
        <f t="shared" si="374"/>
        <v>67</v>
      </c>
      <c r="AN796">
        <f t="shared" si="375"/>
        <v>180</v>
      </c>
      <c r="AO796">
        <f t="shared" si="376"/>
        <v>164</v>
      </c>
      <c r="AP796">
        <f t="shared" si="377"/>
        <v>132</v>
      </c>
      <c r="AQ796">
        <f t="shared" si="378"/>
        <v>118</v>
      </c>
      <c r="AR796">
        <f t="shared" si="379"/>
        <v>105</v>
      </c>
      <c r="AS796">
        <f t="shared" si="380"/>
        <v>134</v>
      </c>
      <c r="AT796">
        <f t="shared" si="381"/>
        <v>122</v>
      </c>
      <c r="AU796">
        <f t="shared" si="382"/>
        <v>90</v>
      </c>
      <c r="AV796">
        <f t="shared" si="383"/>
        <v>81</v>
      </c>
      <c r="AW796">
        <f t="shared" si="384"/>
        <v>67</v>
      </c>
      <c r="AX796">
        <f t="shared" si="385"/>
        <v>128</v>
      </c>
      <c r="AY796">
        <f t="shared" si="386"/>
        <v>117</v>
      </c>
      <c r="AZ796">
        <f t="shared" si="387"/>
        <v>85</v>
      </c>
      <c r="BA796">
        <f t="shared" si="388"/>
        <v>76</v>
      </c>
      <c r="BB796">
        <f t="shared" si="389"/>
        <v>63</v>
      </c>
    </row>
    <row r="797" spans="1:54" x14ac:dyDescent="0.15">
      <c r="A797">
        <v>519</v>
      </c>
      <c r="B797" t="s">
        <v>2799</v>
      </c>
      <c r="C797">
        <v>629</v>
      </c>
      <c r="D797">
        <v>0</v>
      </c>
      <c r="E797" t="s">
        <v>2800</v>
      </c>
      <c r="G797" t="s">
        <v>2800</v>
      </c>
      <c r="H797" t="s">
        <v>2801</v>
      </c>
      <c r="J797" t="s">
        <v>2802</v>
      </c>
      <c r="K797">
        <v>9</v>
      </c>
      <c r="L797">
        <v>0.5</v>
      </c>
      <c r="M797" t="s">
        <v>140</v>
      </c>
      <c r="N797" t="s">
        <v>57</v>
      </c>
      <c r="O797" t="s">
        <v>123</v>
      </c>
      <c r="P797" t="s">
        <v>538</v>
      </c>
      <c r="Q797" t="s">
        <v>563</v>
      </c>
      <c r="R797">
        <v>9</v>
      </c>
      <c r="S797">
        <v>70</v>
      </c>
      <c r="T797">
        <v>55</v>
      </c>
      <c r="U797">
        <v>75</v>
      </c>
      <c r="V797">
        <v>45</v>
      </c>
      <c r="W797">
        <v>65</v>
      </c>
      <c r="X797">
        <v>60</v>
      </c>
      <c r="Y797">
        <f t="shared" si="360"/>
        <v>177</v>
      </c>
      <c r="Z797">
        <f t="shared" si="361"/>
        <v>177</v>
      </c>
      <c r="AA797">
        <f t="shared" si="362"/>
        <v>145</v>
      </c>
      <c r="AB797">
        <f t="shared" si="363"/>
        <v>145</v>
      </c>
      <c r="AC797">
        <f t="shared" si="364"/>
        <v>130</v>
      </c>
      <c r="AD797">
        <f t="shared" si="365"/>
        <v>117</v>
      </c>
      <c r="AE797">
        <f t="shared" si="366"/>
        <v>107</v>
      </c>
      <c r="AF797">
        <f t="shared" si="367"/>
        <v>75</v>
      </c>
      <c r="AG797">
        <f t="shared" si="368"/>
        <v>67</v>
      </c>
      <c r="AH797">
        <f t="shared" si="369"/>
        <v>54</v>
      </c>
      <c r="AI797">
        <f t="shared" si="370"/>
        <v>139</v>
      </c>
      <c r="AJ797">
        <f t="shared" si="371"/>
        <v>127</v>
      </c>
      <c r="AK797">
        <f t="shared" si="372"/>
        <v>95</v>
      </c>
      <c r="AL797">
        <f t="shared" si="373"/>
        <v>85</v>
      </c>
      <c r="AM797">
        <f t="shared" si="374"/>
        <v>72</v>
      </c>
      <c r="AN797">
        <f t="shared" si="375"/>
        <v>106</v>
      </c>
      <c r="AO797">
        <f t="shared" si="376"/>
        <v>97</v>
      </c>
      <c r="AP797">
        <f t="shared" si="377"/>
        <v>65</v>
      </c>
      <c r="AQ797">
        <f t="shared" si="378"/>
        <v>58</v>
      </c>
      <c r="AR797">
        <f t="shared" si="379"/>
        <v>45</v>
      </c>
      <c r="AS797">
        <f t="shared" si="380"/>
        <v>128</v>
      </c>
      <c r="AT797">
        <f t="shared" si="381"/>
        <v>117</v>
      </c>
      <c r="AU797">
        <f t="shared" si="382"/>
        <v>85</v>
      </c>
      <c r="AV797">
        <f t="shared" si="383"/>
        <v>76</v>
      </c>
      <c r="AW797">
        <f t="shared" si="384"/>
        <v>63</v>
      </c>
      <c r="AX797">
        <f t="shared" si="385"/>
        <v>123</v>
      </c>
      <c r="AY797">
        <f t="shared" si="386"/>
        <v>112</v>
      </c>
      <c r="AZ797">
        <f t="shared" si="387"/>
        <v>80</v>
      </c>
      <c r="BA797">
        <f t="shared" si="388"/>
        <v>72</v>
      </c>
      <c r="BB797">
        <f t="shared" si="389"/>
        <v>58</v>
      </c>
    </row>
    <row r="798" spans="1:54" x14ac:dyDescent="0.15">
      <c r="A798">
        <v>520</v>
      </c>
      <c r="B798" t="s">
        <v>2803</v>
      </c>
      <c r="C798">
        <v>630</v>
      </c>
      <c r="D798">
        <v>0</v>
      </c>
      <c r="E798" t="s">
        <v>2804</v>
      </c>
      <c r="G798" t="s">
        <v>2804</v>
      </c>
      <c r="H798" t="s">
        <v>2805</v>
      </c>
      <c r="J798" t="s">
        <v>2806</v>
      </c>
      <c r="K798">
        <v>39.5</v>
      </c>
      <c r="L798">
        <v>1.2</v>
      </c>
      <c r="M798" t="s">
        <v>140</v>
      </c>
      <c r="N798" t="s">
        <v>57</v>
      </c>
      <c r="O798" t="s">
        <v>123</v>
      </c>
      <c r="P798" t="s">
        <v>538</v>
      </c>
      <c r="Q798" t="s">
        <v>563</v>
      </c>
      <c r="R798">
        <v>9</v>
      </c>
      <c r="S798">
        <v>110</v>
      </c>
      <c r="T798">
        <v>65</v>
      </c>
      <c r="U798">
        <v>105</v>
      </c>
      <c r="V798">
        <v>55</v>
      </c>
      <c r="W798">
        <v>95</v>
      </c>
      <c r="X798">
        <v>80</v>
      </c>
      <c r="Y798">
        <f t="shared" si="360"/>
        <v>217</v>
      </c>
      <c r="Z798">
        <f t="shared" si="361"/>
        <v>217</v>
      </c>
      <c r="AA798">
        <f t="shared" si="362"/>
        <v>185</v>
      </c>
      <c r="AB798">
        <f t="shared" si="363"/>
        <v>185</v>
      </c>
      <c r="AC798">
        <f t="shared" si="364"/>
        <v>170</v>
      </c>
      <c r="AD798">
        <f t="shared" si="365"/>
        <v>128</v>
      </c>
      <c r="AE798">
        <f t="shared" si="366"/>
        <v>117</v>
      </c>
      <c r="AF798">
        <f t="shared" si="367"/>
        <v>85</v>
      </c>
      <c r="AG798">
        <f t="shared" si="368"/>
        <v>76</v>
      </c>
      <c r="AH798">
        <f t="shared" si="369"/>
        <v>63</v>
      </c>
      <c r="AI798">
        <f t="shared" si="370"/>
        <v>172</v>
      </c>
      <c r="AJ798">
        <f t="shared" si="371"/>
        <v>157</v>
      </c>
      <c r="AK798">
        <f t="shared" si="372"/>
        <v>125</v>
      </c>
      <c r="AL798">
        <f t="shared" si="373"/>
        <v>112</v>
      </c>
      <c r="AM798">
        <f t="shared" si="374"/>
        <v>99</v>
      </c>
      <c r="AN798">
        <f t="shared" si="375"/>
        <v>117</v>
      </c>
      <c r="AO798">
        <f t="shared" si="376"/>
        <v>107</v>
      </c>
      <c r="AP798">
        <f t="shared" si="377"/>
        <v>75</v>
      </c>
      <c r="AQ798">
        <f t="shared" si="378"/>
        <v>67</v>
      </c>
      <c r="AR798">
        <f t="shared" si="379"/>
        <v>54</v>
      </c>
      <c r="AS798">
        <f t="shared" si="380"/>
        <v>161</v>
      </c>
      <c r="AT798">
        <f t="shared" si="381"/>
        <v>147</v>
      </c>
      <c r="AU798">
        <f t="shared" si="382"/>
        <v>115</v>
      </c>
      <c r="AV798">
        <f t="shared" si="383"/>
        <v>103</v>
      </c>
      <c r="AW798">
        <f t="shared" si="384"/>
        <v>90</v>
      </c>
      <c r="AX798">
        <f t="shared" si="385"/>
        <v>145</v>
      </c>
      <c r="AY798">
        <f t="shared" si="386"/>
        <v>132</v>
      </c>
      <c r="AZ798">
        <f t="shared" si="387"/>
        <v>100</v>
      </c>
      <c r="BA798">
        <f t="shared" si="388"/>
        <v>90</v>
      </c>
      <c r="BB798">
        <f t="shared" si="389"/>
        <v>76</v>
      </c>
    </row>
    <row r="799" spans="1:54" x14ac:dyDescent="0.15">
      <c r="B799" t="s">
        <v>2807</v>
      </c>
      <c r="C799">
        <v>631</v>
      </c>
      <c r="D799">
        <v>0</v>
      </c>
      <c r="E799" t="s">
        <v>2808</v>
      </c>
      <c r="G799" t="s">
        <v>2808</v>
      </c>
      <c r="J799" t="s">
        <v>2809</v>
      </c>
      <c r="K799">
        <v>58</v>
      </c>
      <c r="L799">
        <v>1.4</v>
      </c>
      <c r="M799" t="s">
        <v>47</v>
      </c>
      <c r="O799" t="s">
        <v>141</v>
      </c>
      <c r="P799" t="s">
        <v>245</v>
      </c>
      <c r="Q799" t="s">
        <v>1536</v>
      </c>
      <c r="R799">
        <v>8</v>
      </c>
      <c r="S799">
        <v>85</v>
      </c>
      <c r="T799">
        <v>97</v>
      </c>
      <c r="U799">
        <v>66</v>
      </c>
      <c r="V799">
        <v>105</v>
      </c>
      <c r="W799">
        <v>66</v>
      </c>
      <c r="X799">
        <v>65</v>
      </c>
      <c r="Y799">
        <f t="shared" si="360"/>
        <v>192</v>
      </c>
      <c r="Z799">
        <f t="shared" si="361"/>
        <v>192</v>
      </c>
      <c r="AA799">
        <f t="shared" si="362"/>
        <v>160</v>
      </c>
      <c r="AB799">
        <f t="shared" si="363"/>
        <v>160</v>
      </c>
      <c r="AC799">
        <f t="shared" si="364"/>
        <v>145</v>
      </c>
      <c r="AD799">
        <f t="shared" si="365"/>
        <v>163</v>
      </c>
      <c r="AE799">
        <f t="shared" si="366"/>
        <v>149</v>
      </c>
      <c r="AF799">
        <f t="shared" si="367"/>
        <v>117</v>
      </c>
      <c r="AG799">
        <f t="shared" si="368"/>
        <v>105</v>
      </c>
      <c r="AH799">
        <f t="shared" si="369"/>
        <v>91</v>
      </c>
      <c r="AI799">
        <f t="shared" si="370"/>
        <v>129</v>
      </c>
      <c r="AJ799">
        <f t="shared" si="371"/>
        <v>118</v>
      </c>
      <c r="AK799">
        <f t="shared" si="372"/>
        <v>86</v>
      </c>
      <c r="AL799">
        <f t="shared" si="373"/>
        <v>77</v>
      </c>
      <c r="AM799">
        <f t="shared" si="374"/>
        <v>63</v>
      </c>
      <c r="AN799">
        <f t="shared" si="375"/>
        <v>172</v>
      </c>
      <c r="AO799">
        <f t="shared" si="376"/>
        <v>157</v>
      </c>
      <c r="AP799">
        <f t="shared" si="377"/>
        <v>125</v>
      </c>
      <c r="AQ799">
        <f t="shared" si="378"/>
        <v>112</v>
      </c>
      <c r="AR799">
        <f t="shared" si="379"/>
        <v>99</v>
      </c>
      <c r="AS799">
        <f t="shared" si="380"/>
        <v>129</v>
      </c>
      <c r="AT799">
        <f t="shared" si="381"/>
        <v>118</v>
      </c>
      <c r="AU799">
        <f t="shared" si="382"/>
        <v>86</v>
      </c>
      <c r="AV799">
        <f t="shared" si="383"/>
        <v>77</v>
      </c>
      <c r="AW799">
        <f t="shared" si="384"/>
        <v>63</v>
      </c>
      <c r="AX799">
        <f t="shared" si="385"/>
        <v>128</v>
      </c>
      <c r="AY799">
        <f t="shared" si="386"/>
        <v>117</v>
      </c>
      <c r="AZ799">
        <f t="shared" si="387"/>
        <v>85</v>
      </c>
      <c r="BA799">
        <f t="shared" si="388"/>
        <v>76</v>
      </c>
      <c r="BB799">
        <f t="shared" si="389"/>
        <v>63</v>
      </c>
    </row>
    <row r="800" spans="1:54" x14ac:dyDescent="0.15">
      <c r="B800" t="s">
        <v>2810</v>
      </c>
      <c r="C800">
        <v>632</v>
      </c>
      <c r="D800">
        <v>0</v>
      </c>
      <c r="E800" t="s">
        <v>2811</v>
      </c>
      <c r="G800" t="s">
        <v>2811</v>
      </c>
      <c r="J800" t="s">
        <v>2812</v>
      </c>
      <c r="K800">
        <v>33</v>
      </c>
      <c r="L800">
        <v>0.3</v>
      </c>
      <c r="M800" t="s">
        <v>90</v>
      </c>
      <c r="N800" t="s">
        <v>203</v>
      </c>
      <c r="O800" t="s">
        <v>112</v>
      </c>
      <c r="P800" t="s">
        <v>136</v>
      </c>
      <c r="Q800" t="s">
        <v>1388</v>
      </c>
      <c r="R800">
        <v>8</v>
      </c>
      <c r="S800">
        <v>58</v>
      </c>
      <c r="T800">
        <v>109</v>
      </c>
      <c r="U800">
        <v>112</v>
      </c>
      <c r="V800">
        <v>48</v>
      </c>
      <c r="W800">
        <v>48</v>
      </c>
      <c r="X800">
        <v>109</v>
      </c>
      <c r="Y800">
        <f t="shared" si="360"/>
        <v>165</v>
      </c>
      <c r="Z800">
        <f t="shared" si="361"/>
        <v>165</v>
      </c>
      <c r="AA800">
        <f t="shared" si="362"/>
        <v>133</v>
      </c>
      <c r="AB800">
        <f t="shared" si="363"/>
        <v>133</v>
      </c>
      <c r="AC800">
        <f t="shared" si="364"/>
        <v>118</v>
      </c>
      <c r="AD800">
        <f t="shared" si="365"/>
        <v>177</v>
      </c>
      <c r="AE800">
        <f t="shared" si="366"/>
        <v>161</v>
      </c>
      <c r="AF800">
        <f t="shared" si="367"/>
        <v>129</v>
      </c>
      <c r="AG800">
        <f t="shared" si="368"/>
        <v>116</v>
      </c>
      <c r="AH800">
        <f t="shared" si="369"/>
        <v>102</v>
      </c>
      <c r="AI800">
        <f t="shared" si="370"/>
        <v>180</v>
      </c>
      <c r="AJ800">
        <f t="shared" si="371"/>
        <v>164</v>
      </c>
      <c r="AK800">
        <f t="shared" si="372"/>
        <v>132</v>
      </c>
      <c r="AL800">
        <f t="shared" si="373"/>
        <v>118</v>
      </c>
      <c r="AM800">
        <f t="shared" si="374"/>
        <v>105</v>
      </c>
      <c r="AN800">
        <f t="shared" si="375"/>
        <v>110</v>
      </c>
      <c r="AO800">
        <f t="shared" si="376"/>
        <v>100</v>
      </c>
      <c r="AP800">
        <f t="shared" si="377"/>
        <v>68</v>
      </c>
      <c r="AQ800">
        <f t="shared" si="378"/>
        <v>61</v>
      </c>
      <c r="AR800">
        <f t="shared" si="379"/>
        <v>47</v>
      </c>
      <c r="AS800">
        <f t="shared" si="380"/>
        <v>110</v>
      </c>
      <c r="AT800">
        <f t="shared" si="381"/>
        <v>100</v>
      </c>
      <c r="AU800">
        <f t="shared" si="382"/>
        <v>68</v>
      </c>
      <c r="AV800">
        <f t="shared" si="383"/>
        <v>61</v>
      </c>
      <c r="AW800">
        <f t="shared" si="384"/>
        <v>47</v>
      </c>
      <c r="AX800">
        <f t="shared" si="385"/>
        <v>177</v>
      </c>
      <c r="AY800">
        <f t="shared" si="386"/>
        <v>161</v>
      </c>
      <c r="AZ800">
        <f t="shared" si="387"/>
        <v>129</v>
      </c>
      <c r="BA800">
        <f t="shared" si="388"/>
        <v>116</v>
      </c>
      <c r="BB800">
        <f t="shared" si="389"/>
        <v>102</v>
      </c>
    </row>
    <row r="801" spans="1:54" x14ac:dyDescent="0.15">
      <c r="A801">
        <v>521</v>
      </c>
      <c r="B801" t="s">
        <v>2813</v>
      </c>
      <c r="C801">
        <v>633</v>
      </c>
      <c r="D801">
        <v>0</v>
      </c>
      <c r="E801" t="s">
        <v>2814</v>
      </c>
      <c r="G801" t="s">
        <v>2814</v>
      </c>
      <c r="H801" t="s">
        <v>2815</v>
      </c>
      <c r="J801" t="s">
        <v>2816</v>
      </c>
      <c r="K801">
        <v>17.3</v>
      </c>
      <c r="L801">
        <v>0.8</v>
      </c>
      <c r="M801" t="s">
        <v>140</v>
      </c>
      <c r="N801" t="s">
        <v>60</v>
      </c>
      <c r="O801" t="s">
        <v>136</v>
      </c>
      <c r="R801">
        <v>9</v>
      </c>
      <c r="S801">
        <v>52</v>
      </c>
      <c r="T801">
        <v>65</v>
      </c>
      <c r="U801">
        <v>50</v>
      </c>
      <c r="V801">
        <v>45</v>
      </c>
      <c r="W801">
        <v>50</v>
      </c>
      <c r="X801">
        <v>38</v>
      </c>
      <c r="Y801">
        <f t="shared" si="360"/>
        <v>159</v>
      </c>
      <c r="Z801">
        <f t="shared" si="361"/>
        <v>159</v>
      </c>
      <c r="AA801">
        <f t="shared" si="362"/>
        <v>127</v>
      </c>
      <c r="AB801">
        <f t="shared" si="363"/>
        <v>127</v>
      </c>
      <c r="AC801">
        <f t="shared" si="364"/>
        <v>112</v>
      </c>
      <c r="AD801">
        <f t="shared" si="365"/>
        <v>128</v>
      </c>
      <c r="AE801">
        <f t="shared" si="366"/>
        <v>117</v>
      </c>
      <c r="AF801">
        <f t="shared" si="367"/>
        <v>85</v>
      </c>
      <c r="AG801">
        <f t="shared" si="368"/>
        <v>76</v>
      </c>
      <c r="AH801">
        <f t="shared" si="369"/>
        <v>63</v>
      </c>
      <c r="AI801">
        <f t="shared" si="370"/>
        <v>112</v>
      </c>
      <c r="AJ801">
        <f t="shared" si="371"/>
        <v>102</v>
      </c>
      <c r="AK801">
        <f t="shared" si="372"/>
        <v>70</v>
      </c>
      <c r="AL801">
        <f t="shared" si="373"/>
        <v>63</v>
      </c>
      <c r="AM801">
        <f t="shared" si="374"/>
        <v>49</v>
      </c>
      <c r="AN801">
        <f t="shared" si="375"/>
        <v>106</v>
      </c>
      <c r="AO801">
        <f t="shared" si="376"/>
        <v>97</v>
      </c>
      <c r="AP801">
        <f t="shared" si="377"/>
        <v>65</v>
      </c>
      <c r="AQ801">
        <f t="shared" si="378"/>
        <v>58</v>
      </c>
      <c r="AR801">
        <f t="shared" si="379"/>
        <v>45</v>
      </c>
      <c r="AS801">
        <f t="shared" si="380"/>
        <v>112</v>
      </c>
      <c r="AT801">
        <f t="shared" si="381"/>
        <v>102</v>
      </c>
      <c r="AU801">
        <f t="shared" si="382"/>
        <v>70</v>
      </c>
      <c r="AV801">
        <f t="shared" si="383"/>
        <v>63</v>
      </c>
      <c r="AW801">
        <f t="shared" si="384"/>
        <v>49</v>
      </c>
      <c r="AX801">
        <f t="shared" si="385"/>
        <v>99</v>
      </c>
      <c r="AY801">
        <f t="shared" si="386"/>
        <v>90</v>
      </c>
      <c r="AZ801">
        <f t="shared" si="387"/>
        <v>58</v>
      </c>
      <c r="BA801">
        <f t="shared" si="388"/>
        <v>52</v>
      </c>
      <c r="BB801">
        <f t="shared" si="389"/>
        <v>38</v>
      </c>
    </row>
    <row r="802" spans="1:54" x14ac:dyDescent="0.15">
      <c r="A802">
        <v>522</v>
      </c>
      <c r="B802" t="s">
        <v>2817</v>
      </c>
      <c r="C802">
        <v>634</v>
      </c>
      <c r="D802">
        <v>0</v>
      </c>
      <c r="E802" t="s">
        <v>2818</v>
      </c>
      <c r="G802" t="s">
        <v>2818</v>
      </c>
      <c r="H802" t="s">
        <v>2819</v>
      </c>
      <c r="J802" t="s">
        <v>2487</v>
      </c>
      <c r="K802">
        <v>50</v>
      </c>
      <c r="L802">
        <v>1.4</v>
      </c>
      <c r="M802" t="s">
        <v>140</v>
      </c>
      <c r="N802" t="s">
        <v>60</v>
      </c>
      <c r="O802" t="s">
        <v>136</v>
      </c>
      <c r="R802">
        <v>9</v>
      </c>
      <c r="S802">
        <v>72</v>
      </c>
      <c r="T802">
        <v>85</v>
      </c>
      <c r="U802">
        <v>70</v>
      </c>
      <c r="V802">
        <v>65</v>
      </c>
      <c r="W802">
        <v>70</v>
      </c>
      <c r="X802">
        <v>58</v>
      </c>
      <c r="Y802">
        <f t="shared" si="360"/>
        <v>179</v>
      </c>
      <c r="Z802">
        <f t="shared" si="361"/>
        <v>179</v>
      </c>
      <c r="AA802">
        <f t="shared" si="362"/>
        <v>147</v>
      </c>
      <c r="AB802">
        <f t="shared" si="363"/>
        <v>147</v>
      </c>
      <c r="AC802">
        <f t="shared" si="364"/>
        <v>132</v>
      </c>
      <c r="AD802">
        <f t="shared" si="365"/>
        <v>150</v>
      </c>
      <c r="AE802">
        <f t="shared" si="366"/>
        <v>137</v>
      </c>
      <c r="AF802">
        <f t="shared" si="367"/>
        <v>105</v>
      </c>
      <c r="AG802">
        <f t="shared" si="368"/>
        <v>94</v>
      </c>
      <c r="AH802">
        <f t="shared" si="369"/>
        <v>81</v>
      </c>
      <c r="AI802">
        <f t="shared" si="370"/>
        <v>134</v>
      </c>
      <c r="AJ802">
        <f t="shared" si="371"/>
        <v>122</v>
      </c>
      <c r="AK802">
        <f t="shared" si="372"/>
        <v>90</v>
      </c>
      <c r="AL802">
        <f t="shared" si="373"/>
        <v>81</v>
      </c>
      <c r="AM802">
        <f t="shared" si="374"/>
        <v>67</v>
      </c>
      <c r="AN802">
        <f t="shared" si="375"/>
        <v>128</v>
      </c>
      <c r="AO802">
        <f t="shared" si="376"/>
        <v>117</v>
      </c>
      <c r="AP802">
        <f t="shared" si="377"/>
        <v>85</v>
      </c>
      <c r="AQ802">
        <f t="shared" si="378"/>
        <v>76</v>
      </c>
      <c r="AR802">
        <f t="shared" si="379"/>
        <v>63</v>
      </c>
      <c r="AS802">
        <f t="shared" si="380"/>
        <v>134</v>
      </c>
      <c r="AT802">
        <f t="shared" si="381"/>
        <v>122</v>
      </c>
      <c r="AU802">
        <f t="shared" si="382"/>
        <v>90</v>
      </c>
      <c r="AV802">
        <f t="shared" si="383"/>
        <v>81</v>
      </c>
      <c r="AW802">
        <f t="shared" si="384"/>
        <v>67</v>
      </c>
      <c r="AX802">
        <f t="shared" si="385"/>
        <v>121</v>
      </c>
      <c r="AY802">
        <f t="shared" si="386"/>
        <v>110</v>
      </c>
      <c r="AZ802">
        <f t="shared" si="387"/>
        <v>78</v>
      </c>
      <c r="BA802">
        <f t="shared" si="388"/>
        <v>70</v>
      </c>
      <c r="BB802">
        <f t="shared" si="389"/>
        <v>56</v>
      </c>
    </row>
    <row r="803" spans="1:54" x14ac:dyDescent="0.15">
      <c r="A803">
        <v>523</v>
      </c>
      <c r="B803" t="s">
        <v>2820</v>
      </c>
      <c r="C803">
        <v>635</v>
      </c>
      <c r="D803">
        <v>0</v>
      </c>
      <c r="E803" t="s">
        <v>2821</v>
      </c>
      <c r="G803" t="s">
        <v>2821</v>
      </c>
      <c r="H803" t="s">
        <v>2822</v>
      </c>
      <c r="J803" t="s">
        <v>1510</v>
      </c>
      <c r="K803">
        <v>160</v>
      </c>
      <c r="L803">
        <v>1.8</v>
      </c>
      <c r="M803" t="s">
        <v>140</v>
      </c>
      <c r="N803" t="s">
        <v>60</v>
      </c>
      <c r="O803" t="s">
        <v>547</v>
      </c>
      <c r="R803">
        <v>9</v>
      </c>
      <c r="S803">
        <v>92</v>
      </c>
      <c r="T803">
        <v>105</v>
      </c>
      <c r="U803">
        <v>90</v>
      </c>
      <c r="V803">
        <v>125</v>
      </c>
      <c r="W803">
        <v>90</v>
      </c>
      <c r="X803">
        <v>98</v>
      </c>
      <c r="Y803">
        <f t="shared" si="360"/>
        <v>199</v>
      </c>
      <c r="Z803">
        <f t="shared" si="361"/>
        <v>199</v>
      </c>
      <c r="AA803">
        <f t="shared" si="362"/>
        <v>167</v>
      </c>
      <c r="AB803">
        <f t="shared" si="363"/>
        <v>167</v>
      </c>
      <c r="AC803">
        <f t="shared" si="364"/>
        <v>152</v>
      </c>
      <c r="AD803">
        <f t="shared" si="365"/>
        <v>172</v>
      </c>
      <c r="AE803">
        <f t="shared" si="366"/>
        <v>157</v>
      </c>
      <c r="AF803">
        <f t="shared" si="367"/>
        <v>125</v>
      </c>
      <c r="AG803">
        <f t="shared" si="368"/>
        <v>112</v>
      </c>
      <c r="AH803">
        <f t="shared" si="369"/>
        <v>99</v>
      </c>
      <c r="AI803">
        <f t="shared" si="370"/>
        <v>156</v>
      </c>
      <c r="AJ803">
        <f t="shared" si="371"/>
        <v>142</v>
      </c>
      <c r="AK803">
        <f t="shared" si="372"/>
        <v>110</v>
      </c>
      <c r="AL803">
        <f t="shared" si="373"/>
        <v>99</v>
      </c>
      <c r="AM803">
        <f t="shared" si="374"/>
        <v>85</v>
      </c>
      <c r="AN803">
        <f t="shared" si="375"/>
        <v>194</v>
      </c>
      <c r="AO803">
        <f t="shared" si="376"/>
        <v>177</v>
      </c>
      <c r="AP803">
        <f t="shared" si="377"/>
        <v>145</v>
      </c>
      <c r="AQ803">
        <f t="shared" si="378"/>
        <v>130</v>
      </c>
      <c r="AR803">
        <f t="shared" si="379"/>
        <v>117</v>
      </c>
      <c r="AS803">
        <f t="shared" si="380"/>
        <v>156</v>
      </c>
      <c r="AT803">
        <f t="shared" si="381"/>
        <v>142</v>
      </c>
      <c r="AU803">
        <f t="shared" si="382"/>
        <v>110</v>
      </c>
      <c r="AV803">
        <f t="shared" si="383"/>
        <v>99</v>
      </c>
      <c r="AW803">
        <f t="shared" si="384"/>
        <v>85</v>
      </c>
      <c r="AX803">
        <f t="shared" si="385"/>
        <v>165</v>
      </c>
      <c r="AY803">
        <f t="shared" si="386"/>
        <v>150</v>
      </c>
      <c r="AZ803">
        <f t="shared" si="387"/>
        <v>118</v>
      </c>
      <c r="BA803">
        <f t="shared" si="388"/>
        <v>106</v>
      </c>
      <c r="BB803">
        <f t="shared" si="389"/>
        <v>92</v>
      </c>
    </row>
    <row r="804" spans="1:54" x14ac:dyDescent="0.15">
      <c r="A804">
        <v>524</v>
      </c>
      <c r="B804" t="s">
        <v>2823</v>
      </c>
      <c r="C804">
        <v>636</v>
      </c>
      <c r="D804">
        <v>0</v>
      </c>
      <c r="E804" t="s">
        <v>2824</v>
      </c>
      <c r="G804" t="s">
        <v>2824</v>
      </c>
      <c r="H804" t="s">
        <v>2825</v>
      </c>
      <c r="J804" t="s">
        <v>2826</v>
      </c>
      <c r="K804">
        <v>28.8</v>
      </c>
      <c r="L804">
        <v>1.1000000000000001</v>
      </c>
      <c r="M804" t="s">
        <v>90</v>
      </c>
      <c r="N804" t="s">
        <v>47</v>
      </c>
      <c r="O804" t="s">
        <v>456</v>
      </c>
      <c r="P804" t="s">
        <v>112</v>
      </c>
      <c r="R804">
        <v>9</v>
      </c>
      <c r="S804">
        <v>55</v>
      </c>
      <c r="T804">
        <v>85</v>
      </c>
      <c r="U804">
        <v>55</v>
      </c>
      <c r="V804">
        <v>50</v>
      </c>
      <c r="W804">
        <v>55</v>
      </c>
      <c r="X804">
        <v>60</v>
      </c>
      <c r="Y804">
        <f t="shared" si="360"/>
        <v>162</v>
      </c>
      <c r="Z804">
        <f t="shared" si="361"/>
        <v>162</v>
      </c>
      <c r="AA804">
        <f t="shared" si="362"/>
        <v>130</v>
      </c>
      <c r="AB804">
        <f t="shared" si="363"/>
        <v>130</v>
      </c>
      <c r="AC804">
        <f t="shared" si="364"/>
        <v>115</v>
      </c>
      <c r="AD804">
        <f t="shared" si="365"/>
        <v>150</v>
      </c>
      <c r="AE804">
        <f t="shared" si="366"/>
        <v>137</v>
      </c>
      <c r="AF804">
        <f t="shared" si="367"/>
        <v>105</v>
      </c>
      <c r="AG804">
        <f t="shared" si="368"/>
        <v>94</v>
      </c>
      <c r="AH804">
        <f t="shared" si="369"/>
        <v>81</v>
      </c>
      <c r="AI804">
        <f t="shared" si="370"/>
        <v>117</v>
      </c>
      <c r="AJ804">
        <f t="shared" si="371"/>
        <v>107</v>
      </c>
      <c r="AK804">
        <f t="shared" si="372"/>
        <v>75</v>
      </c>
      <c r="AL804">
        <f t="shared" si="373"/>
        <v>67</v>
      </c>
      <c r="AM804">
        <f t="shared" si="374"/>
        <v>54</v>
      </c>
      <c r="AN804">
        <f t="shared" si="375"/>
        <v>112</v>
      </c>
      <c r="AO804">
        <f t="shared" si="376"/>
        <v>102</v>
      </c>
      <c r="AP804">
        <f t="shared" si="377"/>
        <v>70</v>
      </c>
      <c r="AQ804">
        <f t="shared" si="378"/>
        <v>63</v>
      </c>
      <c r="AR804">
        <f t="shared" si="379"/>
        <v>49</v>
      </c>
      <c r="AS804">
        <f t="shared" si="380"/>
        <v>117</v>
      </c>
      <c r="AT804">
        <f t="shared" si="381"/>
        <v>107</v>
      </c>
      <c r="AU804">
        <f t="shared" si="382"/>
        <v>75</v>
      </c>
      <c r="AV804">
        <f t="shared" si="383"/>
        <v>67</v>
      </c>
      <c r="AW804">
        <f t="shared" si="384"/>
        <v>54</v>
      </c>
      <c r="AX804">
        <f t="shared" si="385"/>
        <v>123</v>
      </c>
      <c r="AY804">
        <f t="shared" si="386"/>
        <v>112</v>
      </c>
      <c r="AZ804">
        <f t="shared" si="387"/>
        <v>80</v>
      </c>
      <c r="BA804">
        <f t="shared" si="388"/>
        <v>72</v>
      </c>
      <c r="BB804">
        <f t="shared" si="389"/>
        <v>58</v>
      </c>
    </row>
    <row r="805" spans="1:54" x14ac:dyDescent="0.15">
      <c r="A805">
        <v>525</v>
      </c>
      <c r="B805" t="s">
        <v>2827</v>
      </c>
      <c r="C805">
        <v>637</v>
      </c>
      <c r="D805">
        <v>0</v>
      </c>
      <c r="E805" t="s">
        <v>2828</v>
      </c>
      <c r="G805" t="s">
        <v>2828</v>
      </c>
      <c r="H805" t="s">
        <v>2829</v>
      </c>
      <c r="J805" t="s">
        <v>999</v>
      </c>
      <c r="K805">
        <v>46</v>
      </c>
      <c r="L805">
        <v>1.6</v>
      </c>
      <c r="M805" t="s">
        <v>90</v>
      </c>
      <c r="N805" t="s">
        <v>47</v>
      </c>
      <c r="O805" t="s">
        <v>456</v>
      </c>
      <c r="P805" t="s">
        <v>112</v>
      </c>
      <c r="R805">
        <v>9</v>
      </c>
      <c r="S805">
        <v>85</v>
      </c>
      <c r="T805">
        <v>60</v>
      </c>
      <c r="U805">
        <v>65</v>
      </c>
      <c r="V805">
        <v>135</v>
      </c>
      <c r="W805">
        <v>105</v>
      </c>
      <c r="X805">
        <v>100</v>
      </c>
      <c r="Y805">
        <f t="shared" si="360"/>
        <v>192</v>
      </c>
      <c r="Z805">
        <f t="shared" si="361"/>
        <v>192</v>
      </c>
      <c r="AA805">
        <f t="shared" si="362"/>
        <v>160</v>
      </c>
      <c r="AB805">
        <f t="shared" si="363"/>
        <v>160</v>
      </c>
      <c r="AC805">
        <f t="shared" si="364"/>
        <v>145</v>
      </c>
      <c r="AD805">
        <f t="shared" si="365"/>
        <v>123</v>
      </c>
      <c r="AE805">
        <f t="shared" si="366"/>
        <v>112</v>
      </c>
      <c r="AF805">
        <f t="shared" si="367"/>
        <v>80</v>
      </c>
      <c r="AG805">
        <f t="shared" si="368"/>
        <v>72</v>
      </c>
      <c r="AH805">
        <f t="shared" si="369"/>
        <v>58</v>
      </c>
      <c r="AI805">
        <f t="shared" si="370"/>
        <v>128</v>
      </c>
      <c r="AJ805">
        <f t="shared" si="371"/>
        <v>117</v>
      </c>
      <c r="AK805">
        <f t="shared" si="372"/>
        <v>85</v>
      </c>
      <c r="AL805">
        <f t="shared" si="373"/>
        <v>76</v>
      </c>
      <c r="AM805">
        <f t="shared" si="374"/>
        <v>63</v>
      </c>
      <c r="AN805">
        <f t="shared" si="375"/>
        <v>205</v>
      </c>
      <c r="AO805">
        <f t="shared" si="376"/>
        <v>187</v>
      </c>
      <c r="AP805">
        <f t="shared" si="377"/>
        <v>155</v>
      </c>
      <c r="AQ805">
        <f t="shared" si="378"/>
        <v>139</v>
      </c>
      <c r="AR805">
        <f t="shared" si="379"/>
        <v>126</v>
      </c>
      <c r="AS805">
        <f t="shared" si="380"/>
        <v>172</v>
      </c>
      <c r="AT805">
        <f t="shared" si="381"/>
        <v>157</v>
      </c>
      <c r="AU805">
        <f t="shared" si="382"/>
        <v>125</v>
      </c>
      <c r="AV805">
        <f t="shared" si="383"/>
        <v>112</v>
      </c>
      <c r="AW805">
        <f t="shared" si="384"/>
        <v>99</v>
      </c>
      <c r="AX805">
        <f t="shared" si="385"/>
        <v>167</v>
      </c>
      <c r="AY805">
        <f t="shared" si="386"/>
        <v>152</v>
      </c>
      <c r="AZ805">
        <f t="shared" si="387"/>
        <v>120</v>
      </c>
      <c r="BA805">
        <f t="shared" si="388"/>
        <v>108</v>
      </c>
      <c r="BB805">
        <f t="shared" si="389"/>
        <v>94</v>
      </c>
    </row>
    <row r="806" spans="1:54" x14ac:dyDescent="0.15">
      <c r="A806">
        <v>526</v>
      </c>
      <c r="B806" t="s">
        <v>2830</v>
      </c>
      <c r="C806">
        <v>638</v>
      </c>
      <c r="D806">
        <v>0</v>
      </c>
      <c r="E806" t="s">
        <v>2831</v>
      </c>
      <c r="G806" t="s">
        <v>2831</v>
      </c>
      <c r="H806" t="s">
        <v>2832</v>
      </c>
      <c r="J806" t="s">
        <v>2833</v>
      </c>
      <c r="K806">
        <v>250</v>
      </c>
      <c r="L806">
        <v>2.1</v>
      </c>
      <c r="M806" t="s">
        <v>203</v>
      </c>
      <c r="N806" t="s">
        <v>354</v>
      </c>
      <c r="O806" t="s">
        <v>365</v>
      </c>
      <c r="R806">
        <v>9</v>
      </c>
      <c r="S806">
        <v>91</v>
      </c>
      <c r="T806">
        <v>90</v>
      </c>
      <c r="U806">
        <v>129</v>
      </c>
      <c r="V806">
        <v>90</v>
      </c>
      <c r="W806">
        <v>72</v>
      </c>
      <c r="X806">
        <v>108</v>
      </c>
      <c r="Y806">
        <f t="shared" si="360"/>
        <v>198</v>
      </c>
      <c r="Z806">
        <f t="shared" si="361"/>
        <v>198</v>
      </c>
      <c r="AA806">
        <f t="shared" si="362"/>
        <v>166</v>
      </c>
      <c r="AB806">
        <f t="shared" si="363"/>
        <v>166</v>
      </c>
      <c r="AC806">
        <f t="shared" si="364"/>
        <v>151</v>
      </c>
      <c r="AD806">
        <f t="shared" si="365"/>
        <v>156</v>
      </c>
      <c r="AE806">
        <f t="shared" si="366"/>
        <v>142</v>
      </c>
      <c r="AF806">
        <f t="shared" si="367"/>
        <v>110</v>
      </c>
      <c r="AG806">
        <f t="shared" si="368"/>
        <v>99</v>
      </c>
      <c r="AH806">
        <f t="shared" si="369"/>
        <v>85</v>
      </c>
      <c r="AI806">
        <f t="shared" si="370"/>
        <v>199</v>
      </c>
      <c r="AJ806">
        <f t="shared" si="371"/>
        <v>181</v>
      </c>
      <c r="AK806">
        <f t="shared" si="372"/>
        <v>149</v>
      </c>
      <c r="AL806">
        <f t="shared" si="373"/>
        <v>134</v>
      </c>
      <c r="AM806">
        <f t="shared" si="374"/>
        <v>120</v>
      </c>
      <c r="AN806">
        <f t="shared" si="375"/>
        <v>156</v>
      </c>
      <c r="AO806">
        <f t="shared" si="376"/>
        <v>142</v>
      </c>
      <c r="AP806">
        <f t="shared" si="377"/>
        <v>110</v>
      </c>
      <c r="AQ806">
        <f t="shared" si="378"/>
        <v>99</v>
      </c>
      <c r="AR806">
        <f t="shared" si="379"/>
        <v>85</v>
      </c>
      <c r="AS806">
        <f t="shared" si="380"/>
        <v>136</v>
      </c>
      <c r="AT806">
        <f t="shared" si="381"/>
        <v>124</v>
      </c>
      <c r="AU806">
        <f t="shared" si="382"/>
        <v>92</v>
      </c>
      <c r="AV806">
        <f t="shared" si="383"/>
        <v>82</v>
      </c>
      <c r="AW806">
        <f t="shared" si="384"/>
        <v>69</v>
      </c>
      <c r="AX806">
        <f t="shared" si="385"/>
        <v>176</v>
      </c>
      <c r="AY806">
        <f t="shared" si="386"/>
        <v>160</v>
      </c>
      <c r="AZ806">
        <f t="shared" si="387"/>
        <v>128</v>
      </c>
      <c r="BA806">
        <f t="shared" si="388"/>
        <v>115</v>
      </c>
      <c r="BB806">
        <f t="shared" si="389"/>
        <v>101</v>
      </c>
    </row>
    <row r="807" spans="1:54" x14ac:dyDescent="0.15">
      <c r="A807">
        <v>527</v>
      </c>
      <c r="B807" t="s">
        <v>2834</v>
      </c>
      <c r="C807">
        <v>639</v>
      </c>
      <c r="D807">
        <v>0</v>
      </c>
      <c r="E807" t="s">
        <v>2835</v>
      </c>
      <c r="G807" t="s">
        <v>2835</v>
      </c>
      <c r="H807" t="s">
        <v>2836</v>
      </c>
      <c r="J807" t="s">
        <v>2837</v>
      </c>
      <c r="K807">
        <v>260</v>
      </c>
      <c r="L807">
        <v>1.9</v>
      </c>
      <c r="M807" t="s">
        <v>371</v>
      </c>
      <c r="N807" t="s">
        <v>354</v>
      </c>
      <c r="O807" t="s">
        <v>365</v>
      </c>
      <c r="R807">
        <v>9</v>
      </c>
      <c r="S807">
        <v>91</v>
      </c>
      <c r="T807">
        <v>129</v>
      </c>
      <c r="U807">
        <v>90</v>
      </c>
      <c r="V807">
        <v>72</v>
      </c>
      <c r="W807">
        <v>90</v>
      </c>
      <c r="X807">
        <v>108</v>
      </c>
      <c r="Y807">
        <f t="shared" si="360"/>
        <v>198</v>
      </c>
      <c r="Z807">
        <f t="shared" si="361"/>
        <v>198</v>
      </c>
      <c r="AA807">
        <f t="shared" si="362"/>
        <v>166</v>
      </c>
      <c r="AB807">
        <f t="shared" si="363"/>
        <v>166</v>
      </c>
      <c r="AC807">
        <f t="shared" si="364"/>
        <v>151</v>
      </c>
      <c r="AD807">
        <f t="shared" si="365"/>
        <v>199</v>
      </c>
      <c r="AE807">
        <f t="shared" si="366"/>
        <v>181</v>
      </c>
      <c r="AF807">
        <f t="shared" si="367"/>
        <v>149</v>
      </c>
      <c r="AG807">
        <f t="shared" si="368"/>
        <v>134</v>
      </c>
      <c r="AH807">
        <f t="shared" si="369"/>
        <v>120</v>
      </c>
      <c r="AI807">
        <f t="shared" si="370"/>
        <v>156</v>
      </c>
      <c r="AJ807">
        <f t="shared" si="371"/>
        <v>142</v>
      </c>
      <c r="AK807">
        <f t="shared" si="372"/>
        <v>110</v>
      </c>
      <c r="AL807">
        <f t="shared" si="373"/>
        <v>99</v>
      </c>
      <c r="AM807">
        <f t="shared" si="374"/>
        <v>85</v>
      </c>
      <c r="AN807">
        <f t="shared" si="375"/>
        <v>136</v>
      </c>
      <c r="AO807">
        <f t="shared" si="376"/>
        <v>124</v>
      </c>
      <c r="AP807">
        <f t="shared" si="377"/>
        <v>92</v>
      </c>
      <c r="AQ807">
        <f t="shared" si="378"/>
        <v>82</v>
      </c>
      <c r="AR807">
        <f t="shared" si="379"/>
        <v>69</v>
      </c>
      <c r="AS807">
        <f t="shared" si="380"/>
        <v>156</v>
      </c>
      <c r="AT807">
        <f t="shared" si="381"/>
        <v>142</v>
      </c>
      <c r="AU807">
        <f t="shared" si="382"/>
        <v>110</v>
      </c>
      <c r="AV807">
        <f t="shared" si="383"/>
        <v>99</v>
      </c>
      <c r="AW807">
        <f t="shared" si="384"/>
        <v>85</v>
      </c>
      <c r="AX807">
        <f t="shared" si="385"/>
        <v>176</v>
      </c>
      <c r="AY807">
        <f t="shared" si="386"/>
        <v>160</v>
      </c>
      <c r="AZ807">
        <f t="shared" si="387"/>
        <v>128</v>
      </c>
      <c r="BA807">
        <f t="shared" si="388"/>
        <v>115</v>
      </c>
      <c r="BB807">
        <f t="shared" si="389"/>
        <v>101</v>
      </c>
    </row>
    <row r="808" spans="1:54" x14ac:dyDescent="0.15">
      <c r="A808">
        <v>528</v>
      </c>
      <c r="B808" t="s">
        <v>2838</v>
      </c>
      <c r="C808">
        <v>640</v>
      </c>
      <c r="D808">
        <v>0</v>
      </c>
      <c r="E808" t="s">
        <v>2839</v>
      </c>
      <c r="G808" t="s">
        <v>2839</v>
      </c>
      <c r="H808" t="s">
        <v>2840</v>
      </c>
      <c r="J808" t="s">
        <v>2841</v>
      </c>
      <c r="K808">
        <v>200</v>
      </c>
      <c r="L808">
        <v>2</v>
      </c>
      <c r="M808" t="s">
        <v>26</v>
      </c>
      <c r="N808" t="s">
        <v>354</v>
      </c>
      <c r="O808" t="s">
        <v>365</v>
      </c>
      <c r="R808">
        <v>9</v>
      </c>
      <c r="S808">
        <v>91</v>
      </c>
      <c r="T808">
        <v>90</v>
      </c>
      <c r="U808">
        <v>72</v>
      </c>
      <c r="V808">
        <v>90</v>
      </c>
      <c r="W808">
        <v>129</v>
      </c>
      <c r="X808">
        <v>108</v>
      </c>
      <c r="Y808">
        <f t="shared" si="360"/>
        <v>198</v>
      </c>
      <c r="Z808">
        <f t="shared" si="361"/>
        <v>198</v>
      </c>
      <c r="AA808">
        <f t="shared" si="362"/>
        <v>166</v>
      </c>
      <c r="AB808">
        <f t="shared" si="363"/>
        <v>166</v>
      </c>
      <c r="AC808">
        <f t="shared" si="364"/>
        <v>151</v>
      </c>
      <c r="AD808">
        <f t="shared" si="365"/>
        <v>156</v>
      </c>
      <c r="AE808">
        <f t="shared" si="366"/>
        <v>142</v>
      </c>
      <c r="AF808">
        <f t="shared" si="367"/>
        <v>110</v>
      </c>
      <c r="AG808">
        <f t="shared" si="368"/>
        <v>99</v>
      </c>
      <c r="AH808">
        <f t="shared" si="369"/>
        <v>85</v>
      </c>
      <c r="AI808">
        <f t="shared" si="370"/>
        <v>136</v>
      </c>
      <c r="AJ808">
        <f t="shared" si="371"/>
        <v>124</v>
      </c>
      <c r="AK808">
        <f t="shared" si="372"/>
        <v>92</v>
      </c>
      <c r="AL808">
        <f t="shared" si="373"/>
        <v>82</v>
      </c>
      <c r="AM808">
        <f t="shared" si="374"/>
        <v>69</v>
      </c>
      <c r="AN808">
        <f t="shared" si="375"/>
        <v>156</v>
      </c>
      <c r="AO808">
        <f t="shared" si="376"/>
        <v>142</v>
      </c>
      <c r="AP808">
        <f t="shared" si="377"/>
        <v>110</v>
      </c>
      <c r="AQ808">
        <f t="shared" si="378"/>
        <v>99</v>
      </c>
      <c r="AR808">
        <f t="shared" si="379"/>
        <v>85</v>
      </c>
      <c r="AS808">
        <f t="shared" si="380"/>
        <v>199</v>
      </c>
      <c r="AT808">
        <f t="shared" si="381"/>
        <v>181</v>
      </c>
      <c r="AU808">
        <f t="shared" si="382"/>
        <v>149</v>
      </c>
      <c r="AV808">
        <f t="shared" si="383"/>
        <v>134</v>
      </c>
      <c r="AW808">
        <f t="shared" si="384"/>
        <v>120</v>
      </c>
      <c r="AX808">
        <f t="shared" si="385"/>
        <v>176</v>
      </c>
      <c r="AY808">
        <f t="shared" si="386"/>
        <v>160</v>
      </c>
      <c r="AZ808">
        <f t="shared" si="387"/>
        <v>128</v>
      </c>
      <c r="BA808">
        <f t="shared" si="388"/>
        <v>115</v>
      </c>
      <c r="BB808">
        <f t="shared" si="389"/>
        <v>101</v>
      </c>
    </row>
    <row r="809" spans="1:54" x14ac:dyDescent="0.15">
      <c r="A809">
        <v>529</v>
      </c>
      <c r="B809" t="s">
        <v>2842</v>
      </c>
      <c r="C809">
        <v>641</v>
      </c>
      <c r="D809">
        <v>0</v>
      </c>
      <c r="E809" t="s">
        <v>2843</v>
      </c>
      <c r="F809" t="s">
        <v>2844</v>
      </c>
      <c r="G809" t="s">
        <v>2845</v>
      </c>
      <c r="H809" t="s">
        <v>2846</v>
      </c>
      <c r="J809" t="s">
        <v>2847</v>
      </c>
      <c r="K809">
        <v>63</v>
      </c>
      <c r="L809">
        <v>1.5</v>
      </c>
      <c r="M809" t="s">
        <v>57</v>
      </c>
      <c r="O809" t="s">
        <v>1027</v>
      </c>
      <c r="P809" t="s">
        <v>357</v>
      </c>
      <c r="R809">
        <v>9</v>
      </c>
      <c r="S809">
        <v>79</v>
      </c>
      <c r="T809">
        <v>115</v>
      </c>
      <c r="U809">
        <v>70</v>
      </c>
      <c r="V809">
        <v>125</v>
      </c>
      <c r="W809">
        <v>80</v>
      </c>
      <c r="X809">
        <v>111</v>
      </c>
      <c r="Y809">
        <f t="shared" si="360"/>
        <v>186</v>
      </c>
      <c r="Z809">
        <f t="shared" si="361"/>
        <v>186</v>
      </c>
      <c r="AA809">
        <f t="shared" si="362"/>
        <v>154</v>
      </c>
      <c r="AB809">
        <f t="shared" si="363"/>
        <v>154</v>
      </c>
      <c r="AC809">
        <f t="shared" si="364"/>
        <v>139</v>
      </c>
      <c r="AD809">
        <f t="shared" si="365"/>
        <v>183</v>
      </c>
      <c r="AE809">
        <f t="shared" si="366"/>
        <v>167</v>
      </c>
      <c r="AF809">
        <f t="shared" si="367"/>
        <v>135</v>
      </c>
      <c r="AG809">
        <f t="shared" si="368"/>
        <v>121</v>
      </c>
      <c r="AH809">
        <f t="shared" si="369"/>
        <v>108</v>
      </c>
      <c r="AI809">
        <f t="shared" si="370"/>
        <v>134</v>
      </c>
      <c r="AJ809">
        <f t="shared" si="371"/>
        <v>122</v>
      </c>
      <c r="AK809">
        <f t="shared" si="372"/>
        <v>90</v>
      </c>
      <c r="AL809">
        <f t="shared" si="373"/>
        <v>81</v>
      </c>
      <c r="AM809">
        <f t="shared" si="374"/>
        <v>67</v>
      </c>
      <c r="AN809">
        <f t="shared" si="375"/>
        <v>194</v>
      </c>
      <c r="AO809">
        <f t="shared" si="376"/>
        <v>177</v>
      </c>
      <c r="AP809">
        <f t="shared" si="377"/>
        <v>145</v>
      </c>
      <c r="AQ809">
        <f t="shared" si="378"/>
        <v>130</v>
      </c>
      <c r="AR809">
        <f t="shared" si="379"/>
        <v>117</v>
      </c>
      <c r="AS809">
        <f t="shared" si="380"/>
        <v>145</v>
      </c>
      <c r="AT809">
        <f t="shared" si="381"/>
        <v>132</v>
      </c>
      <c r="AU809">
        <f t="shared" si="382"/>
        <v>100</v>
      </c>
      <c r="AV809">
        <f t="shared" si="383"/>
        <v>90</v>
      </c>
      <c r="AW809">
        <f t="shared" si="384"/>
        <v>76</v>
      </c>
      <c r="AX809">
        <f t="shared" si="385"/>
        <v>179</v>
      </c>
      <c r="AY809">
        <f t="shared" si="386"/>
        <v>163</v>
      </c>
      <c r="AZ809">
        <f t="shared" si="387"/>
        <v>131</v>
      </c>
      <c r="BA809">
        <f t="shared" si="388"/>
        <v>117</v>
      </c>
      <c r="BB809">
        <f t="shared" si="389"/>
        <v>104</v>
      </c>
    </row>
    <row r="810" spans="1:54" x14ac:dyDescent="0.15">
      <c r="A810">
        <v>530</v>
      </c>
      <c r="B810" t="s">
        <v>2848</v>
      </c>
      <c r="C810">
        <v>641</v>
      </c>
      <c r="D810">
        <v>1</v>
      </c>
      <c r="E810" t="s">
        <v>2843</v>
      </c>
      <c r="F810" t="s">
        <v>2849</v>
      </c>
      <c r="G810" t="s">
        <v>2850</v>
      </c>
      <c r="H810" t="s">
        <v>2851</v>
      </c>
      <c r="J810" t="s">
        <v>2847</v>
      </c>
      <c r="K810">
        <v>63</v>
      </c>
      <c r="L810">
        <v>1.4</v>
      </c>
      <c r="M810" t="s">
        <v>57</v>
      </c>
      <c r="O810" t="s">
        <v>471</v>
      </c>
      <c r="R810">
        <v>9</v>
      </c>
      <c r="S810">
        <v>79</v>
      </c>
      <c r="T810">
        <v>100</v>
      </c>
      <c r="U810">
        <v>80</v>
      </c>
      <c r="V810">
        <v>110</v>
      </c>
      <c r="W810">
        <v>90</v>
      </c>
      <c r="X810">
        <v>121</v>
      </c>
      <c r="Y810">
        <f t="shared" si="360"/>
        <v>186</v>
      </c>
      <c r="Z810">
        <f t="shared" si="361"/>
        <v>186</v>
      </c>
      <c r="AA810">
        <f t="shared" si="362"/>
        <v>154</v>
      </c>
      <c r="AB810">
        <f t="shared" si="363"/>
        <v>154</v>
      </c>
      <c r="AC810">
        <f t="shared" si="364"/>
        <v>139</v>
      </c>
      <c r="AD810">
        <f t="shared" si="365"/>
        <v>167</v>
      </c>
      <c r="AE810">
        <f t="shared" si="366"/>
        <v>152</v>
      </c>
      <c r="AF810">
        <f t="shared" si="367"/>
        <v>120</v>
      </c>
      <c r="AG810">
        <f t="shared" si="368"/>
        <v>108</v>
      </c>
      <c r="AH810">
        <f t="shared" si="369"/>
        <v>94</v>
      </c>
      <c r="AI810">
        <f t="shared" si="370"/>
        <v>145</v>
      </c>
      <c r="AJ810">
        <f t="shared" si="371"/>
        <v>132</v>
      </c>
      <c r="AK810">
        <f t="shared" si="372"/>
        <v>100</v>
      </c>
      <c r="AL810">
        <f t="shared" si="373"/>
        <v>90</v>
      </c>
      <c r="AM810">
        <f t="shared" si="374"/>
        <v>76</v>
      </c>
      <c r="AN810">
        <f t="shared" si="375"/>
        <v>178</v>
      </c>
      <c r="AO810">
        <f t="shared" si="376"/>
        <v>162</v>
      </c>
      <c r="AP810">
        <f t="shared" si="377"/>
        <v>130</v>
      </c>
      <c r="AQ810">
        <f t="shared" si="378"/>
        <v>117</v>
      </c>
      <c r="AR810">
        <f t="shared" si="379"/>
        <v>103</v>
      </c>
      <c r="AS810">
        <f t="shared" si="380"/>
        <v>156</v>
      </c>
      <c r="AT810">
        <f t="shared" si="381"/>
        <v>142</v>
      </c>
      <c r="AU810">
        <f t="shared" si="382"/>
        <v>110</v>
      </c>
      <c r="AV810">
        <f t="shared" si="383"/>
        <v>99</v>
      </c>
      <c r="AW810">
        <f t="shared" si="384"/>
        <v>85</v>
      </c>
      <c r="AX810">
        <f t="shared" si="385"/>
        <v>190</v>
      </c>
      <c r="AY810">
        <f t="shared" si="386"/>
        <v>173</v>
      </c>
      <c r="AZ810">
        <f t="shared" si="387"/>
        <v>141</v>
      </c>
      <c r="BA810">
        <f t="shared" si="388"/>
        <v>126</v>
      </c>
      <c r="BB810">
        <f t="shared" si="389"/>
        <v>113</v>
      </c>
    </row>
    <row r="811" spans="1:54" x14ac:dyDescent="0.15">
      <c r="A811">
        <v>531</v>
      </c>
      <c r="B811" t="s">
        <v>2852</v>
      </c>
      <c r="C811">
        <v>642</v>
      </c>
      <c r="D811">
        <v>0</v>
      </c>
      <c r="E811" t="s">
        <v>2853</v>
      </c>
      <c r="F811" t="s">
        <v>2844</v>
      </c>
      <c r="G811" t="s">
        <v>2854</v>
      </c>
      <c r="H811" t="s">
        <v>2855</v>
      </c>
      <c r="J811" t="s">
        <v>2856</v>
      </c>
      <c r="K811">
        <v>61</v>
      </c>
      <c r="L811">
        <v>1.5</v>
      </c>
      <c r="M811" t="s">
        <v>164</v>
      </c>
      <c r="N811" t="s">
        <v>57</v>
      </c>
      <c r="O811" t="s">
        <v>1027</v>
      </c>
      <c r="P811" t="s">
        <v>357</v>
      </c>
      <c r="R811">
        <v>9</v>
      </c>
      <c r="S811">
        <v>79</v>
      </c>
      <c r="T811">
        <v>115</v>
      </c>
      <c r="U811">
        <v>70</v>
      </c>
      <c r="V811">
        <v>125</v>
      </c>
      <c r="W811">
        <v>80</v>
      </c>
      <c r="X811">
        <v>111</v>
      </c>
      <c r="Y811">
        <f t="shared" si="360"/>
        <v>186</v>
      </c>
      <c r="Z811">
        <f t="shared" si="361"/>
        <v>186</v>
      </c>
      <c r="AA811">
        <f t="shared" si="362"/>
        <v>154</v>
      </c>
      <c r="AB811">
        <f t="shared" si="363"/>
        <v>154</v>
      </c>
      <c r="AC811">
        <f t="shared" si="364"/>
        <v>139</v>
      </c>
      <c r="AD811">
        <f t="shared" si="365"/>
        <v>183</v>
      </c>
      <c r="AE811">
        <f t="shared" si="366"/>
        <v>167</v>
      </c>
      <c r="AF811">
        <f t="shared" si="367"/>
        <v>135</v>
      </c>
      <c r="AG811">
        <f t="shared" si="368"/>
        <v>121</v>
      </c>
      <c r="AH811">
        <f t="shared" si="369"/>
        <v>108</v>
      </c>
      <c r="AI811">
        <f t="shared" si="370"/>
        <v>134</v>
      </c>
      <c r="AJ811">
        <f t="shared" si="371"/>
        <v>122</v>
      </c>
      <c r="AK811">
        <f t="shared" si="372"/>
        <v>90</v>
      </c>
      <c r="AL811">
        <f t="shared" si="373"/>
        <v>81</v>
      </c>
      <c r="AM811">
        <f t="shared" si="374"/>
        <v>67</v>
      </c>
      <c r="AN811">
        <f t="shared" si="375"/>
        <v>194</v>
      </c>
      <c r="AO811">
        <f t="shared" si="376"/>
        <v>177</v>
      </c>
      <c r="AP811">
        <f t="shared" si="377"/>
        <v>145</v>
      </c>
      <c r="AQ811">
        <f t="shared" si="378"/>
        <v>130</v>
      </c>
      <c r="AR811">
        <f t="shared" si="379"/>
        <v>117</v>
      </c>
      <c r="AS811">
        <f t="shared" si="380"/>
        <v>145</v>
      </c>
      <c r="AT811">
        <f t="shared" si="381"/>
        <v>132</v>
      </c>
      <c r="AU811">
        <f t="shared" si="382"/>
        <v>100</v>
      </c>
      <c r="AV811">
        <f t="shared" si="383"/>
        <v>90</v>
      </c>
      <c r="AW811">
        <f t="shared" si="384"/>
        <v>76</v>
      </c>
      <c r="AX811">
        <f t="shared" si="385"/>
        <v>179</v>
      </c>
      <c r="AY811">
        <f t="shared" si="386"/>
        <v>163</v>
      </c>
      <c r="AZ811">
        <f t="shared" si="387"/>
        <v>131</v>
      </c>
      <c r="BA811">
        <f t="shared" si="388"/>
        <v>117</v>
      </c>
      <c r="BB811">
        <f t="shared" si="389"/>
        <v>104</v>
      </c>
    </row>
    <row r="812" spans="1:54" x14ac:dyDescent="0.15">
      <c r="A812">
        <v>532</v>
      </c>
      <c r="B812" t="s">
        <v>2857</v>
      </c>
      <c r="C812">
        <v>642</v>
      </c>
      <c r="D812">
        <v>1</v>
      </c>
      <c r="E812" t="s">
        <v>2853</v>
      </c>
      <c r="F812" t="s">
        <v>2849</v>
      </c>
      <c r="G812" t="s">
        <v>2858</v>
      </c>
      <c r="H812" t="s">
        <v>2859</v>
      </c>
      <c r="J812" t="s">
        <v>2856</v>
      </c>
      <c r="K812">
        <v>61</v>
      </c>
      <c r="L812">
        <v>3</v>
      </c>
      <c r="M812" t="s">
        <v>164</v>
      </c>
      <c r="N812" t="s">
        <v>57</v>
      </c>
      <c r="O812" t="s">
        <v>769</v>
      </c>
      <c r="R812">
        <v>9</v>
      </c>
      <c r="S812">
        <v>79</v>
      </c>
      <c r="T812">
        <v>105</v>
      </c>
      <c r="U812">
        <v>70</v>
      </c>
      <c r="V812">
        <v>145</v>
      </c>
      <c r="W812">
        <v>80</v>
      </c>
      <c r="X812">
        <v>101</v>
      </c>
      <c r="Y812">
        <f t="shared" si="360"/>
        <v>186</v>
      </c>
      <c r="Z812">
        <f t="shared" si="361"/>
        <v>186</v>
      </c>
      <c r="AA812">
        <f t="shared" si="362"/>
        <v>154</v>
      </c>
      <c r="AB812">
        <f t="shared" si="363"/>
        <v>154</v>
      </c>
      <c r="AC812">
        <f t="shared" si="364"/>
        <v>139</v>
      </c>
      <c r="AD812">
        <f t="shared" si="365"/>
        <v>172</v>
      </c>
      <c r="AE812">
        <f t="shared" si="366"/>
        <v>157</v>
      </c>
      <c r="AF812">
        <f t="shared" si="367"/>
        <v>125</v>
      </c>
      <c r="AG812">
        <f t="shared" si="368"/>
        <v>112</v>
      </c>
      <c r="AH812">
        <f t="shared" si="369"/>
        <v>99</v>
      </c>
      <c r="AI812">
        <f t="shared" si="370"/>
        <v>134</v>
      </c>
      <c r="AJ812">
        <f t="shared" si="371"/>
        <v>122</v>
      </c>
      <c r="AK812">
        <f t="shared" si="372"/>
        <v>90</v>
      </c>
      <c r="AL812">
        <f t="shared" si="373"/>
        <v>81</v>
      </c>
      <c r="AM812">
        <f t="shared" si="374"/>
        <v>67</v>
      </c>
      <c r="AN812">
        <f t="shared" si="375"/>
        <v>216</v>
      </c>
      <c r="AO812">
        <f t="shared" si="376"/>
        <v>197</v>
      </c>
      <c r="AP812">
        <f t="shared" si="377"/>
        <v>165</v>
      </c>
      <c r="AQ812">
        <f t="shared" si="378"/>
        <v>148</v>
      </c>
      <c r="AR812">
        <f t="shared" si="379"/>
        <v>135</v>
      </c>
      <c r="AS812">
        <f t="shared" si="380"/>
        <v>145</v>
      </c>
      <c r="AT812">
        <f t="shared" si="381"/>
        <v>132</v>
      </c>
      <c r="AU812">
        <f t="shared" si="382"/>
        <v>100</v>
      </c>
      <c r="AV812">
        <f t="shared" si="383"/>
        <v>90</v>
      </c>
      <c r="AW812">
        <f t="shared" si="384"/>
        <v>76</v>
      </c>
      <c r="AX812">
        <f t="shared" si="385"/>
        <v>168</v>
      </c>
      <c r="AY812">
        <f t="shared" si="386"/>
        <v>153</v>
      </c>
      <c r="AZ812">
        <f t="shared" si="387"/>
        <v>121</v>
      </c>
      <c r="BA812">
        <f t="shared" si="388"/>
        <v>108</v>
      </c>
      <c r="BB812">
        <f t="shared" si="389"/>
        <v>95</v>
      </c>
    </row>
    <row r="813" spans="1:54" x14ac:dyDescent="0.15">
      <c r="A813">
        <v>533</v>
      </c>
      <c r="B813" t="s">
        <v>2860</v>
      </c>
      <c r="C813">
        <v>643</v>
      </c>
      <c r="D813">
        <v>0</v>
      </c>
      <c r="E813" t="s">
        <v>2861</v>
      </c>
      <c r="G813" t="s">
        <v>2861</v>
      </c>
      <c r="H813" t="s">
        <v>2862</v>
      </c>
      <c r="J813" t="s">
        <v>2863</v>
      </c>
      <c r="K813">
        <v>330</v>
      </c>
      <c r="L813">
        <v>3.2</v>
      </c>
      <c r="M813" t="s">
        <v>60</v>
      </c>
      <c r="N813" t="s">
        <v>47</v>
      </c>
      <c r="O813" t="s">
        <v>2864</v>
      </c>
      <c r="R813">
        <v>9</v>
      </c>
      <c r="S813">
        <v>100</v>
      </c>
      <c r="T813">
        <v>120</v>
      </c>
      <c r="U813">
        <v>100</v>
      </c>
      <c r="V813">
        <v>150</v>
      </c>
      <c r="W813">
        <v>120</v>
      </c>
      <c r="X813">
        <v>90</v>
      </c>
      <c r="Y813">
        <f t="shared" si="360"/>
        <v>207</v>
      </c>
      <c r="Z813">
        <f t="shared" si="361"/>
        <v>207</v>
      </c>
      <c r="AA813">
        <f t="shared" si="362"/>
        <v>175</v>
      </c>
      <c r="AB813">
        <f t="shared" si="363"/>
        <v>175</v>
      </c>
      <c r="AC813">
        <f t="shared" si="364"/>
        <v>160</v>
      </c>
      <c r="AD813">
        <f t="shared" si="365"/>
        <v>189</v>
      </c>
      <c r="AE813">
        <f t="shared" si="366"/>
        <v>172</v>
      </c>
      <c r="AF813">
        <f t="shared" si="367"/>
        <v>140</v>
      </c>
      <c r="AG813">
        <f t="shared" si="368"/>
        <v>126</v>
      </c>
      <c r="AH813">
        <f t="shared" si="369"/>
        <v>112</v>
      </c>
      <c r="AI813">
        <f t="shared" si="370"/>
        <v>167</v>
      </c>
      <c r="AJ813">
        <f t="shared" si="371"/>
        <v>152</v>
      </c>
      <c r="AK813">
        <f t="shared" si="372"/>
        <v>120</v>
      </c>
      <c r="AL813">
        <f t="shared" si="373"/>
        <v>108</v>
      </c>
      <c r="AM813">
        <f t="shared" si="374"/>
        <v>94</v>
      </c>
      <c r="AN813">
        <f t="shared" si="375"/>
        <v>222</v>
      </c>
      <c r="AO813">
        <f t="shared" si="376"/>
        <v>202</v>
      </c>
      <c r="AP813">
        <f t="shared" si="377"/>
        <v>170</v>
      </c>
      <c r="AQ813">
        <f t="shared" si="378"/>
        <v>153</v>
      </c>
      <c r="AR813">
        <f t="shared" si="379"/>
        <v>139</v>
      </c>
      <c r="AS813">
        <f t="shared" si="380"/>
        <v>189</v>
      </c>
      <c r="AT813">
        <f t="shared" si="381"/>
        <v>172</v>
      </c>
      <c r="AU813">
        <f t="shared" si="382"/>
        <v>140</v>
      </c>
      <c r="AV813">
        <f t="shared" si="383"/>
        <v>126</v>
      </c>
      <c r="AW813">
        <f t="shared" si="384"/>
        <v>112</v>
      </c>
      <c r="AX813">
        <f t="shared" si="385"/>
        <v>156</v>
      </c>
      <c r="AY813">
        <f t="shared" si="386"/>
        <v>142</v>
      </c>
      <c r="AZ813">
        <f t="shared" si="387"/>
        <v>110</v>
      </c>
      <c r="BA813">
        <f t="shared" si="388"/>
        <v>99</v>
      </c>
      <c r="BB813">
        <f t="shared" si="389"/>
        <v>85</v>
      </c>
    </row>
    <row r="814" spans="1:54" x14ac:dyDescent="0.15">
      <c r="A814">
        <v>534</v>
      </c>
      <c r="B814" t="s">
        <v>2865</v>
      </c>
      <c r="C814">
        <v>644</v>
      </c>
      <c r="D814">
        <v>0</v>
      </c>
      <c r="E814" t="s">
        <v>2866</v>
      </c>
      <c r="G814" t="s">
        <v>2866</v>
      </c>
      <c r="H814" t="s">
        <v>2867</v>
      </c>
      <c r="J814" t="s">
        <v>2868</v>
      </c>
      <c r="K814">
        <v>345</v>
      </c>
      <c r="L814">
        <v>2.9</v>
      </c>
      <c r="M814" t="s">
        <v>60</v>
      </c>
      <c r="N814" t="s">
        <v>164</v>
      </c>
      <c r="O814" t="s">
        <v>2869</v>
      </c>
      <c r="R814">
        <v>9</v>
      </c>
      <c r="S814">
        <v>100</v>
      </c>
      <c r="T814">
        <v>150</v>
      </c>
      <c r="U814">
        <v>120</v>
      </c>
      <c r="V814">
        <v>120</v>
      </c>
      <c r="W814">
        <v>100</v>
      </c>
      <c r="X814">
        <v>90</v>
      </c>
      <c r="Y814">
        <f t="shared" si="360"/>
        <v>207</v>
      </c>
      <c r="Z814">
        <f t="shared" si="361"/>
        <v>207</v>
      </c>
      <c r="AA814">
        <f t="shared" si="362"/>
        <v>175</v>
      </c>
      <c r="AB814">
        <f t="shared" si="363"/>
        <v>175</v>
      </c>
      <c r="AC814">
        <f t="shared" si="364"/>
        <v>160</v>
      </c>
      <c r="AD814">
        <f t="shared" si="365"/>
        <v>222</v>
      </c>
      <c r="AE814">
        <f t="shared" si="366"/>
        <v>202</v>
      </c>
      <c r="AF814">
        <f t="shared" si="367"/>
        <v>170</v>
      </c>
      <c r="AG814">
        <f t="shared" si="368"/>
        <v>153</v>
      </c>
      <c r="AH814">
        <f t="shared" si="369"/>
        <v>139</v>
      </c>
      <c r="AI814">
        <f t="shared" si="370"/>
        <v>189</v>
      </c>
      <c r="AJ814">
        <f t="shared" si="371"/>
        <v>172</v>
      </c>
      <c r="AK814">
        <f t="shared" si="372"/>
        <v>140</v>
      </c>
      <c r="AL814">
        <f t="shared" si="373"/>
        <v>126</v>
      </c>
      <c r="AM814">
        <f t="shared" si="374"/>
        <v>112</v>
      </c>
      <c r="AN814">
        <f t="shared" si="375"/>
        <v>189</v>
      </c>
      <c r="AO814">
        <f t="shared" si="376"/>
        <v>172</v>
      </c>
      <c r="AP814">
        <f t="shared" si="377"/>
        <v>140</v>
      </c>
      <c r="AQ814">
        <f t="shared" si="378"/>
        <v>126</v>
      </c>
      <c r="AR814">
        <f t="shared" si="379"/>
        <v>112</v>
      </c>
      <c r="AS814">
        <f t="shared" si="380"/>
        <v>167</v>
      </c>
      <c r="AT814">
        <f t="shared" si="381"/>
        <v>152</v>
      </c>
      <c r="AU814">
        <f t="shared" si="382"/>
        <v>120</v>
      </c>
      <c r="AV814">
        <f t="shared" si="383"/>
        <v>108</v>
      </c>
      <c r="AW814">
        <f t="shared" si="384"/>
        <v>94</v>
      </c>
      <c r="AX814">
        <f t="shared" si="385"/>
        <v>156</v>
      </c>
      <c r="AY814">
        <f t="shared" si="386"/>
        <v>142</v>
      </c>
      <c r="AZ814">
        <f t="shared" si="387"/>
        <v>110</v>
      </c>
      <c r="BA814">
        <f t="shared" si="388"/>
        <v>99</v>
      </c>
      <c r="BB814">
        <f t="shared" si="389"/>
        <v>85</v>
      </c>
    </row>
    <row r="815" spans="1:54" x14ac:dyDescent="0.15">
      <c r="A815">
        <v>535</v>
      </c>
      <c r="B815" t="s">
        <v>2870</v>
      </c>
      <c r="C815">
        <v>645</v>
      </c>
      <c r="D815">
        <v>0</v>
      </c>
      <c r="E815" t="s">
        <v>2871</v>
      </c>
      <c r="F815" t="s">
        <v>2844</v>
      </c>
      <c r="G815" t="s">
        <v>2872</v>
      </c>
      <c r="H815" t="s">
        <v>2873</v>
      </c>
      <c r="J815" t="s">
        <v>2874</v>
      </c>
      <c r="K815">
        <v>68</v>
      </c>
      <c r="L815">
        <v>1.5</v>
      </c>
      <c r="M815" t="s">
        <v>196</v>
      </c>
      <c r="N815" t="s">
        <v>57</v>
      </c>
      <c r="O815" t="s">
        <v>306</v>
      </c>
      <c r="P815" t="s">
        <v>222</v>
      </c>
      <c r="R815">
        <v>9</v>
      </c>
      <c r="S815">
        <v>89</v>
      </c>
      <c r="T815">
        <v>125</v>
      </c>
      <c r="U815">
        <v>90</v>
      </c>
      <c r="V815">
        <v>115</v>
      </c>
      <c r="W815">
        <v>80</v>
      </c>
      <c r="X815">
        <v>101</v>
      </c>
      <c r="Y815">
        <f t="shared" si="360"/>
        <v>196</v>
      </c>
      <c r="Z815">
        <f t="shared" si="361"/>
        <v>196</v>
      </c>
      <c r="AA815">
        <f t="shared" si="362"/>
        <v>164</v>
      </c>
      <c r="AB815">
        <f t="shared" si="363"/>
        <v>164</v>
      </c>
      <c r="AC815">
        <f t="shared" si="364"/>
        <v>149</v>
      </c>
      <c r="AD815">
        <f t="shared" si="365"/>
        <v>194</v>
      </c>
      <c r="AE815">
        <f t="shared" si="366"/>
        <v>177</v>
      </c>
      <c r="AF815">
        <f t="shared" si="367"/>
        <v>145</v>
      </c>
      <c r="AG815">
        <f t="shared" si="368"/>
        <v>130</v>
      </c>
      <c r="AH815">
        <f t="shared" si="369"/>
        <v>117</v>
      </c>
      <c r="AI815">
        <f t="shared" si="370"/>
        <v>156</v>
      </c>
      <c r="AJ815">
        <f t="shared" si="371"/>
        <v>142</v>
      </c>
      <c r="AK815">
        <f t="shared" si="372"/>
        <v>110</v>
      </c>
      <c r="AL815">
        <f t="shared" si="373"/>
        <v>99</v>
      </c>
      <c r="AM815">
        <f t="shared" si="374"/>
        <v>85</v>
      </c>
      <c r="AN815">
        <f t="shared" si="375"/>
        <v>183</v>
      </c>
      <c r="AO815">
        <f t="shared" si="376"/>
        <v>167</v>
      </c>
      <c r="AP815">
        <f t="shared" si="377"/>
        <v>135</v>
      </c>
      <c r="AQ815">
        <f t="shared" si="378"/>
        <v>121</v>
      </c>
      <c r="AR815">
        <f t="shared" si="379"/>
        <v>108</v>
      </c>
      <c r="AS815">
        <f t="shared" si="380"/>
        <v>145</v>
      </c>
      <c r="AT815">
        <f t="shared" si="381"/>
        <v>132</v>
      </c>
      <c r="AU815">
        <f t="shared" si="382"/>
        <v>100</v>
      </c>
      <c r="AV815">
        <f t="shared" si="383"/>
        <v>90</v>
      </c>
      <c r="AW815">
        <f t="shared" si="384"/>
        <v>76</v>
      </c>
      <c r="AX815">
        <f t="shared" si="385"/>
        <v>168</v>
      </c>
      <c r="AY815">
        <f t="shared" si="386"/>
        <v>153</v>
      </c>
      <c r="AZ815">
        <f t="shared" si="387"/>
        <v>121</v>
      </c>
      <c r="BA815">
        <f t="shared" si="388"/>
        <v>108</v>
      </c>
      <c r="BB815">
        <f t="shared" si="389"/>
        <v>95</v>
      </c>
    </row>
    <row r="816" spans="1:54" x14ac:dyDescent="0.15">
      <c r="A816">
        <v>536</v>
      </c>
      <c r="B816" t="s">
        <v>2875</v>
      </c>
      <c r="C816">
        <v>645</v>
      </c>
      <c r="D816">
        <v>1</v>
      </c>
      <c r="E816" t="s">
        <v>2871</v>
      </c>
      <c r="F816" t="s">
        <v>2849</v>
      </c>
      <c r="G816" t="s">
        <v>2876</v>
      </c>
      <c r="H816" t="s">
        <v>2877</v>
      </c>
      <c r="J816" t="s">
        <v>2874</v>
      </c>
      <c r="K816">
        <v>68</v>
      </c>
      <c r="L816">
        <v>1.3</v>
      </c>
      <c r="M816" t="s">
        <v>196</v>
      </c>
      <c r="N816" t="s">
        <v>57</v>
      </c>
      <c r="O816" t="s">
        <v>155</v>
      </c>
      <c r="R816">
        <v>9</v>
      </c>
      <c r="S816">
        <v>89</v>
      </c>
      <c r="T816">
        <v>145</v>
      </c>
      <c r="U816">
        <v>90</v>
      </c>
      <c r="V816">
        <v>105</v>
      </c>
      <c r="W816">
        <v>80</v>
      </c>
      <c r="X816">
        <v>91</v>
      </c>
      <c r="Y816">
        <f t="shared" si="360"/>
        <v>196</v>
      </c>
      <c r="Z816">
        <f t="shared" si="361"/>
        <v>196</v>
      </c>
      <c r="AA816">
        <f t="shared" si="362"/>
        <v>164</v>
      </c>
      <c r="AB816">
        <f t="shared" si="363"/>
        <v>164</v>
      </c>
      <c r="AC816">
        <f t="shared" si="364"/>
        <v>149</v>
      </c>
      <c r="AD816">
        <f t="shared" si="365"/>
        <v>216</v>
      </c>
      <c r="AE816">
        <f t="shared" si="366"/>
        <v>197</v>
      </c>
      <c r="AF816">
        <f t="shared" si="367"/>
        <v>165</v>
      </c>
      <c r="AG816">
        <f t="shared" si="368"/>
        <v>148</v>
      </c>
      <c r="AH816">
        <f t="shared" si="369"/>
        <v>135</v>
      </c>
      <c r="AI816">
        <f t="shared" si="370"/>
        <v>156</v>
      </c>
      <c r="AJ816">
        <f t="shared" si="371"/>
        <v>142</v>
      </c>
      <c r="AK816">
        <f t="shared" si="372"/>
        <v>110</v>
      </c>
      <c r="AL816">
        <f t="shared" si="373"/>
        <v>99</v>
      </c>
      <c r="AM816">
        <f t="shared" si="374"/>
        <v>85</v>
      </c>
      <c r="AN816">
        <f t="shared" si="375"/>
        <v>172</v>
      </c>
      <c r="AO816">
        <f t="shared" si="376"/>
        <v>157</v>
      </c>
      <c r="AP816">
        <f t="shared" si="377"/>
        <v>125</v>
      </c>
      <c r="AQ816">
        <f t="shared" si="378"/>
        <v>112</v>
      </c>
      <c r="AR816">
        <f t="shared" si="379"/>
        <v>99</v>
      </c>
      <c r="AS816">
        <f t="shared" si="380"/>
        <v>145</v>
      </c>
      <c r="AT816">
        <f t="shared" si="381"/>
        <v>132</v>
      </c>
      <c r="AU816">
        <f t="shared" si="382"/>
        <v>100</v>
      </c>
      <c r="AV816">
        <f t="shared" si="383"/>
        <v>90</v>
      </c>
      <c r="AW816">
        <f t="shared" si="384"/>
        <v>76</v>
      </c>
      <c r="AX816">
        <f t="shared" si="385"/>
        <v>157</v>
      </c>
      <c r="AY816">
        <f t="shared" si="386"/>
        <v>143</v>
      </c>
      <c r="AZ816">
        <f t="shared" si="387"/>
        <v>111</v>
      </c>
      <c r="BA816">
        <f t="shared" si="388"/>
        <v>99</v>
      </c>
      <c r="BB816">
        <f t="shared" si="389"/>
        <v>86</v>
      </c>
    </row>
    <row r="817" spans="1:54" x14ac:dyDescent="0.15">
      <c r="A817">
        <v>537</v>
      </c>
      <c r="B817" t="s">
        <v>2878</v>
      </c>
      <c r="C817">
        <v>646</v>
      </c>
      <c r="D817">
        <v>0</v>
      </c>
      <c r="E817" t="s">
        <v>2879</v>
      </c>
      <c r="F817" t="s">
        <v>2880</v>
      </c>
      <c r="G817" t="s">
        <v>2879</v>
      </c>
      <c r="H817" t="s">
        <v>2881</v>
      </c>
      <c r="J817" t="s">
        <v>2882</v>
      </c>
      <c r="K817">
        <v>325</v>
      </c>
      <c r="L817">
        <v>3</v>
      </c>
      <c r="M817" t="s">
        <v>60</v>
      </c>
      <c r="N817" t="s">
        <v>202</v>
      </c>
      <c r="O817" t="s">
        <v>792</v>
      </c>
      <c r="R817">
        <v>9</v>
      </c>
      <c r="S817">
        <v>125</v>
      </c>
      <c r="T817">
        <v>130</v>
      </c>
      <c r="U817">
        <v>90</v>
      </c>
      <c r="V817">
        <v>130</v>
      </c>
      <c r="W817">
        <v>90</v>
      </c>
      <c r="X817">
        <v>95</v>
      </c>
      <c r="Y817">
        <f t="shared" si="360"/>
        <v>232</v>
      </c>
      <c r="Z817">
        <f t="shared" si="361"/>
        <v>232</v>
      </c>
      <c r="AA817">
        <f t="shared" si="362"/>
        <v>200</v>
      </c>
      <c r="AB817">
        <f t="shared" si="363"/>
        <v>200</v>
      </c>
      <c r="AC817">
        <f t="shared" si="364"/>
        <v>185</v>
      </c>
      <c r="AD817">
        <f t="shared" si="365"/>
        <v>200</v>
      </c>
      <c r="AE817">
        <f t="shared" si="366"/>
        <v>182</v>
      </c>
      <c r="AF817">
        <f t="shared" si="367"/>
        <v>150</v>
      </c>
      <c r="AG817">
        <f t="shared" si="368"/>
        <v>135</v>
      </c>
      <c r="AH817">
        <f t="shared" si="369"/>
        <v>121</v>
      </c>
      <c r="AI817">
        <f t="shared" si="370"/>
        <v>156</v>
      </c>
      <c r="AJ817">
        <f t="shared" si="371"/>
        <v>142</v>
      </c>
      <c r="AK817">
        <f t="shared" si="372"/>
        <v>110</v>
      </c>
      <c r="AL817">
        <f t="shared" si="373"/>
        <v>99</v>
      </c>
      <c r="AM817">
        <f t="shared" si="374"/>
        <v>85</v>
      </c>
      <c r="AN817">
        <f t="shared" si="375"/>
        <v>200</v>
      </c>
      <c r="AO817">
        <f t="shared" si="376"/>
        <v>182</v>
      </c>
      <c r="AP817">
        <f t="shared" si="377"/>
        <v>150</v>
      </c>
      <c r="AQ817">
        <f t="shared" si="378"/>
        <v>135</v>
      </c>
      <c r="AR817">
        <f t="shared" si="379"/>
        <v>121</v>
      </c>
      <c r="AS817">
        <f t="shared" si="380"/>
        <v>156</v>
      </c>
      <c r="AT817">
        <f t="shared" si="381"/>
        <v>142</v>
      </c>
      <c r="AU817">
        <f t="shared" si="382"/>
        <v>110</v>
      </c>
      <c r="AV817">
        <f t="shared" si="383"/>
        <v>99</v>
      </c>
      <c r="AW817">
        <f t="shared" si="384"/>
        <v>85</v>
      </c>
      <c r="AX817">
        <f t="shared" si="385"/>
        <v>161</v>
      </c>
      <c r="AY817">
        <f t="shared" si="386"/>
        <v>147</v>
      </c>
      <c r="AZ817">
        <f t="shared" si="387"/>
        <v>115</v>
      </c>
      <c r="BA817">
        <f t="shared" si="388"/>
        <v>103</v>
      </c>
      <c r="BB817">
        <f t="shared" si="389"/>
        <v>90</v>
      </c>
    </row>
    <row r="818" spans="1:54" x14ac:dyDescent="0.15">
      <c r="A818">
        <v>538</v>
      </c>
      <c r="B818" t="s">
        <v>2883</v>
      </c>
      <c r="C818">
        <v>646</v>
      </c>
      <c r="D818">
        <v>1</v>
      </c>
      <c r="E818" t="s">
        <v>2879</v>
      </c>
      <c r="F818" t="s">
        <v>2884</v>
      </c>
      <c r="G818" t="s">
        <v>2884</v>
      </c>
      <c r="H818" t="s">
        <v>2885</v>
      </c>
      <c r="J818" t="s">
        <v>2882</v>
      </c>
      <c r="K818">
        <v>325</v>
      </c>
      <c r="L818">
        <v>3.6</v>
      </c>
      <c r="M818" t="s">
        <v>60</v>
      </c>
      <c r="N818" t="s">
        <v>202</v>
      </c>
      <c r="O818" t="s">
        <v>2864</v>
      </c>
      <c r="R818">
        <v>9</v>
      </c>
      <c r="S818">
        <v>125</v>
      </c>
      <c r="T818">
        <v>120</v>
      </c>
      <c r="U818">
        <v>90</v>
      </c>
      <c r="V818">
        <v>170</v>
      </c>
      <c r="W818">
        <v>100</v>
      </c>
      <c r="X818">
        <v>95</v>
      </c>
      <c r="Y818">
        <f t="shared" si="360"/>
        <v>232</v>
      </c>
      <c r="Z818">
        <f t="shared" si="361"/>
        <v>232</v>
      </c>
      <c r="AA818">
        <f t="shared" si="362"/>
        <v>200</v>
      </c>
      <c r="AB818">
        <f t="shared" si="363"/>
        <v>200</v>
      </c>
      <c r="AC818">
        <f t="shared" si="364"/>
        <v>185</v>
      </c>
      <c r="AD818">
        <f t="shared" si="365"/>
        <v>189</v>
      </c>
      <c r="AE818">
        <f t="shared" si="366"/>
        <v>172</v>
      </c>
      <c r="AF818">
        <f t="shared" si="367"/>
        <v>140</v>
      </c>
      <c r="AG818">
        <f t="shared" si="368"/>
        <v>126</v>
      </c>
      <c r="AH818">
        <f t="shared" si="369"/>
        <v>112</v>
      </c>
      <c r="AI818">
        <f t="shared" si="370"/>
        <v>156</v>
      </c>
      <c r="AJ818">
        <f t="shared" si="371"/>
        <v>142</v>
      </c>
      <c r="AK818">
        <f t="shared" si="372"/>
        <v>110</v>
      </c>
      <c r="AL818">
        <f t="shared" si="373"/>
        <v>99</v>
      </c>
      <c r="AM818">
        <f t="shared" si="374"/>
        <v>85</v>
      </c>
      <c r="AN818">
        <f t="shared" si="375"/>
        <v>244</v>
      </c>
      <c r="AO818">
        <f t="shared" si="376"/>
        <v>222</v>
      </c>
      <c r="AP818">
        <f t="shared" si="377"/>
        <v>190</v>
      </c>
      <c r="AQ818">
        <f t="shared" si="378"/>
        <v>171</v>
      </c>
      <c r="AR818">
        <f t="shared" si="379"/>
        <v>157</v>
      </c>
      <c r="AS818">
        <f t="shared" si="380"/>
        <v>167</v>
      </c>
      <c r="AT818">
        <f t="shared" si="381"/>
        <v>152</v>
      </c>
      <c r="AU818">
        <f t="shared" si="382"/>
        <v>120</v>
      </c>
      <c r="AV818">
        <f t="shared" si="383"/>
        <v>108</v>
      </c>
      <c r="AW818">
        <f t="shared" si="384"/>
        <v>94</v>
      </c>
      <c r="AX818">
        <f t="shared" si="385"/>
        <v>161</v>
      </c>
      <c r="AY818">
        <f t="shared" si="386"/>
        <v>147</v>
      </c>
      <c r="AZ818">
        <f t="shared" si="387"/>
        <v>115</v>
      </c>
      <c r="BA818">
        <f t="shared" si="388"/>
        <v>103</v>
      </c>
      <c r="BB818">
        <f t="shared" si="389"/>
        <v>90</v>
      </c>
    </row>
    <row r="819" spans="1:54" x14ac:dyDescent="0.15">
      <c r="A819">
        <v>539</v>
      </c>
      <c r="B819" t="s">
        <v>2886</v>
      </c>
      <c r="C819">
        <v>646</v>
      </c>
      <c r="D819">
        <v>2</v>
      </c>
      <c r="E819" t="s">
        <v>2879</v>
      </c>
      <c r="F819" t="s">
        <v>2887</v>
      </c>
      <c r="G819" t="s">
        <v>2887</v>
      </c>
      <c r="H819" t="s">
        <v>2888</v>
      </c>
      <c r="J819" t="s">
        <v>2882</v>
      </c>
      <c r="K819">
        <v>325</v>
      </c>
      <c r="L819">
        <v>3.3</v>
      </c>
      <c r="M819" t="s">
        <v>60</v>
      </c>
      <c r="N819" t="s">
        <v>202</v>
      </c>
      <c r="O819" t="s">
        <v>2869</v>
      </c>
      <c r="R819">
        <v>9</v>
      </c>
      <c r="S819">
        <v>125</v>
      </c>
      <c r="T819">
        <v>170</v>
      </c>
      <c r="U819">
        <v>100</v>
      </c>
      <c r="V819">
        <v>120</v>
      </c>
      <c r="W819">
        <v>90</v>
      </c>
      <c r="X819">
        <v>95</v>
      </c>
      <c r="Y819">
        <f t="shared" si="360"/>
        <v>232</v>
      </c>
      <c r="Z819">
        <f t="shared" si="361"/>
        <v>232</v>
      </c>
      <c r="AA819">
        <f t="shared" si="362"/>
        <v>200</v>
      </c>
      <c r="AB819">
        <f t="shared" si="363"/>
        <v>200</v>
      </c>
      <c r="AC819">
        <f t="shared" si="364"/>
        <v>185</v>
      </c>
      <c r="AD819">
        <f t="shared" si="365"/>
        <v>244</v>
      </c>
      <c r="AE819">
        <f t="shared" si="366"/>
        <v>222</v>
      </c>
      <c r="AF819">
        <f t="shared" si="367"/>
        <v>190</v>
      </c>
      <c r="AG819">
        <f t="shared" si="368"/>
        <v>171</v>
      </c>
      <c r="AH819">
        <f t="shared" si="369"/>
        <v>157</v>
      </c>
      <c r="AI819">
        <f t="shared" si="370"/>
        <v>167</v>
      </c>
      <c r="AJ819">
        <f t="shared" si="371"/>
        <v>152</v>
      </c>
      <c r="AK819">
        <f t="shared" si="372"/>
        <v>120</v>
      </c>
      <c r="AL819">
        <f t="shared" si="373"/>
        <v>108</v>
      </c>
      <c r="AM819">
        <f t="shared" si="374"/>
        <v>94</v>
      </c>
      <c r="AN819">
        <f t="shared" si="375"/>
        <v>189</v>
      </c>
      <c r="AO819">
        <f t="shared" si="376"/>
        <v>172</v>
      </c>
      <c r="AP819">
        <f t="shared" si="377"/>
        <v>140</v>
      </c>
      <c r="AQ819">
        <f t="shared" si="378"/>
        <v>126</v>
      </c>
      <c r="AR819">
        <f t="shared" si="379"/>
        <v>112</v>
      </c>
      <c r="AS819">
        <f t="shared" si="380"/>
        <v>156</v>
      </c>
      <c r="AT819">
        <f t="shared" si="381"/>
        <v>142</v>
      </c>
      <c r="AU819">
        <f t="shared" si="382"/>
        <v>110</v>
      </c>
      <c r="AV819">
        <f t="shared" si="383"/>
        <v>99</v>
      </c>
      <c r="AW819">
        <f t="shared" si="384"/>
        <v>85</v>
      </c>
      <c r="AX819">
        <f t="shared" si="385"/>
        <v>161</v>
      </c>
      <c r="AY819">
        <f t="shared" si="386"/>
        <v>147</v>
      </c>
      <c r="AZ819">
        <f t="shared" si="387"/>
        <v>115</v>
      </c>
      <c r="BA819">
        <f t="shared" si="388"/>
        <v>103</v>
      </c>
      <c r="BB819">
        <f t="shared" si="389"/>
        <v>90</v>
      </c>
    </row>
    <row r="820" spans="1:54" x14ac:dyDescent="0.15">
      <c r="A820">
        <v>540</v>
      </c>
      <c r="B820" t="s">
        <v>2889</v>
      </c>
      <c r="C820">
        <v>647</v>
      </c>
      <c r="D820">
        <v>0</v>
      </c>
      <c r="E820" t="s">
        <v>2890</v>
      </c>
      <c r="F820" t="s">
        <v>2891</v>
      </c>
      <c r="G820" t="s">
        <v>2892</v>
      </c>
      <c r="H820" t="s">
        <v>2893</v>
      </c>
      <c r="J820" t="s">
        <v>2894</v>
      </c>
      <c r="K820">
        <v>48.5</v>
      </c>
      <c r="L820">
        <v>1.4</v>
      </c>
      <c r="M820" t="s">
        <v>71</v>
      </c>
      <c r="N820" t="s">
        <v>354</v>
      </c>
      <c r="O820" t="s">
        <v>365</v>
      </c>
      <c r="R820">
        <v>9</v>
      </c>
      <c r="S820">
        <v>91</v>
      </c>
      <c r="T820">
        <v>72</v>
      </c>
      <c r="U820">
        <v>90</v>
      </c>
      <c r="V820">
        <v>129</v>
      </c>
      <c r="W820">
        <v>90</v>
      </c>
      <c r="X820">
        <v>108</v>
      </c>
      <c r="Y820">
        <f t="shared" si="360"/>
        <v>198</v>
      </c>
      <c r="Z820">
        <f t="shared" si="361"/>
        <v>198</v>
      </c>
      <c r="AA820">
        <f t="shared" si="362"/>
        <v>166</v>
      </c>
      <c r="AB820">
        <f t="shared" si="363"/>
        <v>166</v>
      </c>
      <c r="AC820">
        <f t="shared" si="364"/>
        <v>151</v>
      </c>
      <c r="AD820">
        <f t="shared" si="365"/>
        <v>136</v>
      </c>
      <c r="AE820">
        <f t="shared" si="366"/>
        <v>124</v>
      </c>
      <c r="AF820">
        <f t="shared" si="367"/>
        <v>92</v>
      </c>
      <c r="AG820">
        <f t="shared" si="368"/>
        <v>82</v>
      </c>
      <c r="AH820">
        <f t="shared" si="369"/>
        <v>69</v>
      </c>
      <c r="AI820">
        <f t="shared" si="370"/>
        <v>156</v>
      </c>
      <c r="AJ820">
        <f t="shared" si="371"/>
        <v>142</v>
      </c>
      <c r="AK820">
        <f t="shared" si="372"/>
        <v>110</v>
      </c>
      <c r="AL820">
        <f t="shared" si="373"/>
        <v>99</v>
      </c>
      <c r="AM820">
        <f t="shared" si="374"/>
        <v>85</v>
      </c>
      <c r="AN820">
        <f t="shared" si="375"/>
        <v>199</v>
      </c>
      <c r="AO820">
        <f t="shared" si="376"/>
        <v>181</v>
      </c>
      <c r="AP820">
        <f t="shared" si="377"/>
        <v>149</v>
      </c>
      <c r="AQ820">
        <f t="shared" si="378"/>
        <v>134</v>
      </c>
      <c r="AR820">
        <f t="shared" si="379"/>
        <v>120</v>
      </c>
      <c r="AS820">
        <f t="shared" si="380"/>
        <v>156</v>
      </c>
      <c r="AT820">
        <f t="shared" si="381"/>
        <v>142</v>
      </c>
      <c r="AU820">
        <f t="shared" si="382"/>
        <v>110</v>
      </c>
      <c r="AV820">
        <f t="shared" si="383"/>
        <v>99</v>
      </c>
      <c r="AW820">
        <f t="shared" si="384"/>
        <v>85</v>
      </c>
      <c r="AX820">
        <f t="shared" si="385"/>
        <v>176</v>
      </c>
      <c r="AY820">
        <f t="shared" si="386"/>
        <v>160</v>
      </c>
      <c r="AZ820">
        <f t="shared" si="387"/>
        <v>128</v>
      </c>
      <c r="BA820">
        <f t="shared" si="388"/>
        <v>115</v>
      </c>
      <c r="BB820">
        <f t="shared" si="389"/>
        <v>101</v>
      </c>
    </row>
    <row r="821" spans="1:54" x14ac:dyDescent="0.15">
      <c r="A821">
        <v>541</v>
      </c>
      <c r="B821" t="s">
        <v>2895</v>
      </c>
      <c r="C821">
        <v>647</v>
      </c>
      <c r="D821">
        <v>1</v>
      </c>
      <c r="E821" t="s">
        <v>2890</v>
      </c>
      <c r="F821" t="s">
        <v>2896</v>
      </c>
      <c r="G821" t="s">
        <v>2897</v>
      </c>
      <c r="H821" t="s">
        <v>2898</v>
      </c>
      <c r="J821" t="s">
        <v>2894</v>
      </c>
      <c r="K821">
        <v>48.5</v>
      </c>
      <c r="L821">
        <v>1.4</v>
      </c>
      <c r="M821" t="s">
        <v>71</v>
      </c>
      <c r="N821" t="s">
        <v>354</v>
      </c>
      <c r="O821" t="s">
        <v>365</v>
      </c>
      <c r="R821">
        <v>9</v>
      </c>
      <c r="S821">
        <v>91</v>
      </c>
      <c r="T821">
        <v>72</v>
      </c>
      <c r="U821">
        <v>90</v>
      </c>
      <c r="V821">
        <v>129</v>
      </c>
      <c r="W821">
        <v>90</v>
      </c>
      <c r="X821">
        <v>108</v>
      </c>
      <c r="Y821">
        <f t="shared" si="360"/>
        <v>198</v>
      </c>
      <c r="Z821">
        <f t="shared" si="361"/>
        <v>198</v>
      </c>
      <c r="AA821">
        <f t="shared" si="362"/>
        <v>166</v>
      </c>
      <c r="AB821">
        <f t="shared" si="363"/>
        <v>166</v>
      </c>
      <c r="AC821">
        <f t="shared" si="364"/>
        <v>151</v>
      </c>
      <c r="AD821">
        <f t="shared" si="365"/>
        <v>136</v>
      </c>
      <c r="AE821">
        <f t="shared" si="366"/>
        <v>124</v>
      </c>
      <c r="AF821">
        <f t="shared" si="367"/>
        <v>92</v>
      </c>
      <c r="AG821">
        <f t="shared" si="368"/>
        <v>82</v>
      </c>
      <c r="AH821">
        <f t="shared" si="369"/>
        <v>69</v>
      </c>
      <c r="AI821">
        <f t="shared" si="370"/>
        <v>156</v>
      </c>
      <c r="AJ821">
        <f t="shared" si="371"/>
        <v>142</v>
      </c>
      <c r="AK821">
        <f t="shared" si="372"/>
        <v>110</v>
      </c>
      <c r="AL821">
        <f t="shared" si="373"/>
        <v>99</v>
      </c>
      <c r="AM821">
        <f t="shared" si="374"/>
        <v>85</v>
      </c>
      <c r="AN821">
        <f t="shared" si="375"/>
        <v>199</v>
      </c>
      <c r="AO821">
        <f t="shared" si="376"/>
        <v>181</v>
      </c>
      <c r="AP821">
        <f t="shared" si="377"/>
        <v>149</v>
      </c>
      <c r="AQ821">
        <f t="shared" si="378"/>
        <v>134</v>
      </c>
      <c r="AR821">
        <f t="shared" si="379"/>
        <v>120</v>
      </c>
      <c r="AS821">
        <f t="shared" si="380"/>
        <v>156</v>
      </c>
      <c r="AT821">
        <f t="shared" si="381"/>
        <v>142</v>
      </c>
      <c r="AU821">
        <f t="shared" si="382"/>
        <v>110</v>
      </c>
      <c r="AV821">
        <f t="shared" si="383"/>
        <v>99</v>
      </c>
      <c r="AW821">
        <f t="shared" si="384"/>
        <v>85</v>
      </c>
      <c r="AX821">
        <f t="shared" si="385"/>
        <v>176</v>
      </c>
      <c r="AY821">
        <f t="shared" si="386"/>
        <v>160</v>
      </c>
      <c r="AZ821">
        <f t="shared" si="387"/>
        <v>128</v>
      </c>
      <c r="BA821">
        <f t="shared" si="388"/>
        <v>115</v>
      </c>
      <c r="BB821">
        <f t="shared" si="389"/>
        <v>101</v>
      </c>
    </row>
    <row r="822" spans="1:54" x14ac:dyDescent="0.15">
      <c r="A822">
        <v>542</v>
      </c>
      <c r="B822" t="s">
        <v>2899</v>
      </c>
      <c r="C822">
        <v>648</v>
      </c>
      <c r="D822">
        <v>0</v>
      </c>
      <c r="E822" t="s">
        <v>2900</v>
      </c>
      <c r="F822" t="s">
        <v>2901</v>
      </c>
      <c r="G822" t="s">
        <v>2902</v>
      </c>
      <c r="H822" t="s">
        <v>2903</v>
      </c>
      <c r="J822" t="s">
        <v>2904</v>
      </c>
      <c r="K822">
        <v>6.5</v>
      </c>
      <c r="L822">
        <v>0.6</v>
      </c>
      <c r="M822" t="s">
        <v>120</v>
      </c>
      <c r="N822" t="s">
        <v>191</v>
      </c>
      <c r="O822" t="s">
        <v>655</v>
      </c>
      <c r="R822">
        <v>9</v>
      </c>
      <c r="S822">
        <v>100</v>
      </c>
      <c r="T822">
        <v>77</v>
      </c>
      <c r="U822">
        <v>77</v>
      </c>
      <c r="V822">
        <v>128</v>
      </c>
      <c r="W822">
        <v>128</v>
      </c>
      <c r="X822">
        <v>90</v>
      </c>
      <c r="Y822">
        <f t="shared" si="360"/>
        <v>207</v>
      </c>
      <c r="Z822">
        <f t="shared" si="361"/>
        <v>207</v>
      </c>
      <c r="AA822">
        <f t="shared" si="362"/>
        <v>175</v>
      </c>
      <c r="AB822">
        <f t="shared" si="363"/>
        <v>175</v>
      </c>
      <c r="AC822">
        <f t="shared" si="364"/>
        <v>160</v>
      </c>
      <c r="AD822">
        <f t="shared" si="365"/>
        <v>141</v>
      </c>
      <c r="AE822">
        <f t="shared" si="366"/>
        <v>129</v>
      </c>
      <c r="AF822">
        <f t="shared" si="367"/>
        <v>97</v>
      </c>
      <c r="AG822">
        <f t="shared" si="368"/>
        <v>87</v>
      </c>
      <c r="AH822">
        <f t="shared" si="369"/>
        <v>73</v>
      </c>
      <c r="AI822">
        <f t="shared" si="370"/>
        <v>141</v>
      </c>
      <c r="AJ822">
        <f t="shared" si="371"/>
        <v>129</v>
      </c>
      <c r="AK822">
        <f t="shared" si="372"/>
        <v>97</v>
      </c>
      <c r="AL822">
        <f t="shared" si="373"/>
        <v>87</v>
      </c>
      <c r="AM822">
        <f t="shared" si="374"/>
        <v>73</v>
      </c>
      <c r="AN822">
        <f t="shared" si="375"/>
        <v>198</v>
      </c>
      <c r="AO822">
        <f t="shared" si="376"/>
        <v>180</v>
      </c>
      <c r="AP822">
        <f t="shared" si="377"/>
        <v>148</v>
      </c>
      <c r="AQ822">
        <f t="shared" si="378"/>
        <v>133</v>
      </c>
      <c r="AR822">
        <f t="shared" si="379"/>
        <v>119</v>
      </c>
      <c r="AS822">
        <f t="shared" si="380"/>
        <v>198</v>
      </c>
      <c r="AT822">
        <f t="shared" si="381"/>
        <v>180</v>
      </c>
      <c r="AU822">
        <f t="shared" si="382"/>
        <v>148</v>
      </c>
      <c r="AV822">
        <f t="shared" si="383"/>
        <v>133</v>
      </c>
      <c r="AW822">
        <f t="shared" si="384"/>
        <v>119</v>
      </c>
      <c r="AX822">
        <f t="shared" si="385"/>
        <v>156</v>
      </c>
      <c r="AY822">
        <f t="shared" si="386"/>
        <v>142</v>
      </c>
      <c r="AZ822">
        <f t="shared" si="387"/>
        <v>110</v>
      </c>
      <c r="BA822">
        <f t="shared" si="388"/>
        <v>99</v>
      </c>
      <c r="BB822">
        <f t="shared" si="389"/>
        <v>85</v>
      </c>
    </row>
    <row r="823" spans="1:54" x14ac:dyDescent="0.15">
      <c r="A823">
        <v>544</v>
      </c>
      <c r="B823" t="s">
        <v>2905</v>
      </c>
      <c r="C823">
        <v>648</v>
      </c>
      <c r="D823">
        <v>1</v>
      </c>
      <c r="E823" t="s">
        <v>2900</v>
      </c>
      <c r="F823" t="s">
        <v>2906</v>
      </c>
      <c r="G823" t="s">
        <v>2907</v>
      </c>
      <c r="H823" t="s">
        <v>2908</v>
      </c>
      <c r="J823" t="s">
        <v>2904</v>
      </c>
      <c r="K823">
        <v>6.5</v>
      </c>
      <c r="L823">
        <v>0.6</v>
      </c>
      <c r="M823" t="s">
        <v>120</v>
      </c>
      <c r="N823" t="s">
        <v>354</v>
      </c>
      <c r="O823" t="s">
        <v>655</v>
      </c>
      <c r="R823">
        <v>9</v>
      </c>
      <c r="S823">
        <v>100</v>
      </c>
      <c r="T823">
        <v>128</v>
      </c>
      <c r="U823">
        <v>90</v>
      </c>
      <c r="V823">
        <v>77</v>
      </c>
      <c r="W823">
        <v>77</v>
      </c>
      <c r="X823">
        <v>128</v>
      </c>
      <c r="Y823">
        <f t="shared" si="360"/>
        <v>207</v>
      </c>
      <c r="Z823">
        <f t="shared" si="361"/>
        <v>207</v>
      </c>
      <c r="AA823">
        <f t="shared" si="362"/>
        <v>175</v>
      </c>
      <c r="AB823">
        <f t="shared" si="363"/>
        <v>175</v>
      </c>
      <c r="AC823">
        <f t="shared" si="364"/>
        <v>160</v>
      </c>
      <c r="AD823">
        <f t="shared" si="365"/>
        <v>198</v>
      </c>
      <c r="AE823">
        <f t="shared" si="366"/>
        <v>180</v>
      </c>
      <c r="AF823">
        <f t="shared" si="367"/>
        <v>148</v>
      </c>
      <c r="AG823">
        <f t="shared" si="368"/>
        <v>133</v>
      </c>
      <c r="AH823">
        <f t="shared" si="369"/>
        <v>119</v>
      </c>
      <c r="AI823">
        <f t="shared" si="370"/>
        <v>156</v>
      </c>
      <c r="AJ823">
        <f t="shared" si="371"/>
        <v>142</v>
      </c>
      <c r="AK823">
        <f t="shared" si="372"/>
        <v>110</v>
      </c>
      <c r="AL823">
        <f t="shared" si="373"/>
        <v>99</v>
      </c>
      <c r="AM823">
        <f t="shared" si="374"/>
        <v>85</v>
      </c>
      <c r="AN823">
        <f t="shared" si="375"/>
        <v>141</v>
      </c>
      <c r="AO823">
        <f t="shared" si="376"/>
        <v>129</v>
      </c>
      <c r="AP823">
        <f t="shared" si="377"/>
        <v>97</v>
      </c>
      <c r="AQ823">
        <f t="shared" si="378"/>
        <v>87</v>
      </c>
      <c r="AR823">
        <f t="shared" si="379"/>
        <v>73</v>
      </c>
      <c r="AS823">
        <f t="shared" si="380"/>
        <v>141</v>
      </c>
      <c r="AT823">
        <f t="shared" si="381"/>
        <v>129</v>
      </c>
      <c r="AU823">
        <f t="shared" si="382"/>
        <v>97</v>
      </c>
      <c r="AV823">
        <f t="shared" si="383"/>
        <v>87</v>
      </c>
      <c r="AW823">
        <f t="shared" si="384"/>
        <v>73</v>
      </c>
      <c r="AX823">
        <f t="shared" si="385"/>
        <v>198</v>
      </c>
      <c r="AY823">
        <f t="shared" si="386"/>
        <v>180</v>
      </c>
      <c r="AZ823">
        <f t="shared" si="387"/>
        <v>148</v>
      </c>
      <c r="BA823">
        <f t="shared" si="388"/>
        <v>133</v>
      </c>
      <c r="BB823">
        <f t="shared" si="389"/>
        <v>119</v>
      </c>
    </row>
    <row r="824" spans="1:54" x14ac:dyDescent="0.15">
      <c r="B824" t="s">
        <v>2909</v>
      </c>
      <c r="C824">
        <v>649</v>
      </c>
      <c r="D824">
        <v>0</v>
      </c>
      <c r="E824" t="s">
        <v>2910</v>
      </c>
      <c r="F824" t="s">
        <v>2911</v>
      </c>
      <c r="G824" t="s">
        <v>2910</v>
      </c>
      <c r="J824" t="s">
        <v>2912</v>
      </c>
      <c r="K824">
        <v>82.5</v>
      </c>
      <c r="L824">
        <v>1.5</v>
      </c>
      <c r="M824" t="s">
        <v>90</v>
      </c>
      <c r="N824" t="s">
        <v>203</v>
      </c>
      <c r="O824" t="s">
        <v>779</v>
      </c>
      <c r="R824">
        <v>8</v>
      </c>
      <c r="S824">
        <v>71</v>
      </c>
      <c r="T824">
        <v>120</v>
      </c>
      <c r="U824">
        <v>95</v>
      </c>
      <c r="V824">
        <v>120</v>
      </c>
      <c r="W824">
        <v>95</v>
      </c>
      <c r="X824">
        <v>99</v>
      </c>
      <c r="Y824">
        <f t="shared" si="360"/>
        <v>178</v>
      </c>
      <c r="Z824">
        <f t="shared" si="361"/>
        <v>178</v>
      </c>
      <c r="AA824">
        <f t="shared" si="362"/>
        <v>146</v>
      </c>
      <c r="AB824">
        <f t="shared" si="363"/>
        <v>146</v>
      </c>
      <c r="AC824">
        <f t="shared" si="364"/>
        <v>131</v>
      </c>
      <c r="AD824">
        <f t="shared" si="365"/>
        <v>189</v>
      </c>
      <c r="AE824">
        <f t="shared" si="366"/>
        <v>172</v>
      </c>
      <c r="AF824">
        <f t="shared" si="367"/>
        <v>140</v>
      </c>
      <c r="AG824">
        <f t="shared" si="368"/>
        <v>126</v>
      </c>
      <c r="AH824">
        <f t="shared" si="369"/>
        <v>112</v>
      </c>
      <c r="AI824">
        <f t="shared" si="370"/>
        <v>161</v>
      </c>
      <c r="AJ824">
        <f t="shared" si="371"/>
        <v>147</v>
      </c>
      <c r="AK824">
        <f t="shared" si="372"/>
        <v>115</v>
      </c>
      <c r="AL824">
        <f t="shared" si="373"/>
        <v>103</v>
      </c>
      <c r="AM824">
        <f t="shared" si="374"/>
        <v>90</v>
      </c>
      <c r="AN824">
        <f t="shared" si="375"/>
        <v>189</v>
      </c>
      <c r="AO824">
        <f t="shared" si="376"/>
        <v>172</v>
      </c>
      <c r="AP824">
        <f t="shared" si="377"/>
        <v>140</v>
      </c>
      <c r="AQ824">
        <f t="shared" si="378"/>
        <v>126</v>
      </c>
      <c r="AR824">
        <f t="shared" si="379"/>
        <v>112</v>
      </c>
      <c r="AS824">
        <f t="shared" si="380"/>
        <v>161</v>
      </c>
      <c r="AT824">
        <f t="shared" si="381"/>
        <v>147</v>
      </c>
      <c r="AU824">
        <f t="shared" si="382"/>
        <v>115</v>
      </c>
      <c r="AV824">
        <f t="shared" si="383"/>
        <v>103</v>
      </c>
      <c r="AW824">
        <f t="shared" si="384"/>
        <v>90</v>
      </c>
      <c r="AX824">
        <f t="shared" si="385"/>
        <v>166</v>
      </c>
      <c r="AY824">
        <f t="shared" si="386"/>
        <v>151</v>
      </c>
      <c r="AZ824">
        <f t="shared" si="387"/>
        <v>119</v>
      </c>
      <c r="BA824">
        <f t="shared" si="388"/>
        <v>107</v>
      </c>
      <c r="BB824">
        <f t="shared" si="389"/>
        <v>93</v>
      </c>
    </row>
    <row r="825" spans="1:54" x14ac:dyDescent="0.15">
      <c r="A825">
        <v>593</v>
      </c>
      <c r="B825" t="s">
        <v>2913</v>
      </c>
      <c r="C825">
        <v>650</v>
      </c>
      <c r="D825">
        <v>0</v>
      </c>
      <c r="E825" t="s">
        <v>2914</v>
      </c>
      <c r="G825" t="s">
        <v>2914</v>
      </c>
      <c r="H825" t="s">
        <v>2915</v>
      </c>
      <c r="J825" t="s">
        <v>2916</v>
      </c>
      <c r="K825">
        <v>9</v>
      </c>
      <c r="L825">
        <v>0.4</v>
      </c>
      <c r="M825" t="s">
        <v>26</v>
      </c>
      <c r="O825" t="s">
        <v>28</v>
      </c>
      <c r="P825" t="s">
        <v>2917</v>
      </c>
      <c r="R825">
        <v>9</v>
      </c>
      <c r="S825">
        <v>56</v>
      </c>
      <c r="T825">
        <v>61</v>
      </c>
      <c r="U825">
        <v>65</v>
      </c>
      <c r="V825">
        <v>48</v>
      </c>
      <c r="W825">
        <v>45</v>
      </c>
      <c r="X825">
        <v>38</v>
      </c>
      <c r="Y825">
        <f t="shared" si="360"/>
        <v>163</v>
      </c>
      <c r="Z825">
        <f t="shared" si="361"/>
        <v>163</v>
      </c>
      <c r="AA825">
        <f t="shared" si="362"/>
        <v>131</v>
      </c>
      <c r="AB825">
        <f t="shared" si="363"/>
        <v>131</v>
      </c>
      <c r="AC825">
        <f t="shared" si="364"/>
        <v>116</v>
      </c>
      <c r="AD825">
        <f t="shared" si="365"/>
        <v>124</v>
      </c>
      <c r="AE825">
        <f t="shared" si="366"/>
        <v>113</v>
      </c>
      <c r="AF825">
        <f t="shared" si="367"/>
        <v>81</v>
      </c>
      <c r="AG825">
        <f t="shared" si="368"/>
        <v>72</v>
      </c>
      <c r="AH825">
        <f t="shared" si="369"/>
        <v>59</v>
      </c>
      <c r="AI825">
        <f t="shared" si="370"/>
        <v>128</v>
      </c>
      <c r="AJ825">
        <f t="shared" si="371"/>
        <v>117</v>
      </c>
      <c r="AK825">
        <f t="shared" si="372"/>
        <v>85</v>
      </c>
      <c r="AL825">
        <f t="shared" si="373"/>
        <v>76</v>
      </c>
      <c r="AM825">
        <f t="shared" si="374"/>
        <v>63</v>
      </c>
      <c r="AN825">
        <f t="shared" si="375"/>
        <v>110</v>
      </c>
      <c r="AO825">
        <f t="shared" si="376"/>
        <v>100</v>
      </c>
      <c r="AP825">
        <f t="shared" si="377"/>
        <v>68</v>
      </c>
      <c r="AQ825">
        <f t="shared" si="378"/>
        <v>61</v>
      </c>
      <c r="AR825">
        <f t="shared" si="379"/>
        <v>47</v>
      </c>
      <c r="AS825">
        <f t="shared" si="380"/>
        <v>106</v>
      </c>
      <c r="AT825">
        <f t="shared" si="381"/>
        <v>97</v>
      </c>
      <c r="AU825">
        <f t="shared" si="382"/>
        <v>65</v>
      </c>
      <c r="AV825">
        <f t="shared" si="383"/>
        <v>58</v>
      </c>
      <c r="AW825">
        <f t="shared" si="384"/>
        <v>45</v>
      </c>
      <c r="AX825">
        <f t="shared" si="385"/>
        <v>99</v>
      </c>
      <c r="AY825">
        <f t="shared" si="386"/>
        <v>90</v>
      </c>
      <c r="AZ825">
        <f t="shared" si="387"/>
        <v>58</v>
      </c>
      <c r="BA825">
        <f t="shared" si="388"/>
        <v>52</v>
      </c>
      <c r="BB825">
        <f t="shared" si="389"/>
        <v>38</v>
      </c>
    </row>
    <row r="826" spans="1:54" x14ac:dyDescent="0.15">
      <c r="A826">
        <v>594</v>
      </c>
      <c r="B826" t="s">
        <v>2918</v>
      </c>
      <c r="C826">
        <v>651</v>
      </c>
      <c r="D826">
        <v>0</v>
      </c>
      <c r="E826" t="s">
        <v>2919</v>
      </c>
      <c r="G826" t="s">
        <v>2919</v>
      </c>
      <c r="H826" t="s">
        <v>2920</v>
      </c>
      <c r="J826" t="s">
        <v>2921</v>
      </c>
      <c r="K826">
        <v>29</v>
      </c>
      <c r="L826">
        <v>0.7</v>
      </c>
      <c r="M826" t="s">
        <v>26</v>
      </c>
      <c r="O826" t="s">
        <v>28</v>
      </c>
      <c r="P826" t="s">
        <v>2917</v>
      </c>
      <c r="R826">
        <v>9</v>
      </c>
      <c r="S826">
        <v>61</v>
      </c>
      <c r="T826">
        <v>78</v>
      </c>
      <c r="U826">
        <v>95</v>
      </c>
      <c r="V826">
        <v>56</v>
      </c>
      <c r="W826">
        <v>58</v>
      </c>
      <c r="X826">
        <v>57</v>
      </c>
      <c r="Y826">
        <f t="shared" si="360"/>
        <v>168</v>
      </c>
      <c r="Z826">
        <f t="shared" si="361"/>
        <v>168</v>
      </c>
      <c r="AA826">
        <f t="shared" si="362"/>
        <v>136</v>
      </c>
      <c r="AB826">
        <f t="shared" si="363"/>
        <v>136</v>
      </c>
      <c r="AC826">
        <f t="shared" si="364"/>
        <v>121</v>
      </c>
      <c r="AD826">
        <f t="shared" si="365"/>
        <v>143</v>
      </c>
      <c r="AE826">
        <f t="shared" si="366"/>
        <v>130</v>
      </c>
      <c r="AF826">
        <f t="shared" si="367"/>
        <v>98</v>
      </c>
      <c r="AG826">
        <f t="shared" si="368"/>
        <v>88</v>
      </c>
      <c r="AH826">
        <f t="shared" si="369"/>
        <v>74</v>
      </c>
      <c r="AI826">
        <f t="shared" si="370"/>
        <v>161</v>
      </c>
      <c r="AJ826">
        <f t="shared" si="371"/>
        <v>147</v>
      </c>
      <c r="AK826">
        <f t="shared" si="372"/>
        <v>115</v>
      </c>
      <c r="AL826">
        <f t="shared" si="373"/>
        <v>103</v>
      </c>
      <c r="AM826">
        <f t="shared" si="374"/>
        <v>90</v>
      </c>
      <c r="AN826">
        <f t="shared" si="375"/>
        <v>118</v>
      </c>
      <c r="AO826">
        <f t="shared" si="376"/>
        <v>108</v>
      </c>
      <c r="AP826">
        <f t="shared" si="377"/>
        <v>76</v>
      </c>
      <c r="AQ826">
        <f t="shared" si="378"/>
        <v>68</v>
      </c>
      <c r="AR826">
        <f t="shared" si="379"/>
        <v>54</v>
      </c>
      <c r="AS826">
        <f t="shared" si="380"/>
        <v>121</v>
      </c>
      <c r="AT826">
        <f t="shared" si="381"/>
        <v>110</v>
      </c>
      <c r="AU826">
        <f t="shared" si="382"/>
        <v>78</v>
      </c>
      <c r="AV826">
        <f t="shared" si="383"/>
        <v>70</v>
      </c>
      <c r="AW826">
        <f t="shared" si="384"/>
        <v>56</v>
      </c>
      <c r="AX826">
        <f t="shared" si="385"/>
        <v>119</v>
      </c>
      <c r="AY826">
        <f t="shared" si="386"/>
        <v>109</v>
      </c>
      <c r="AZ826">
        <f t="shared" si="387"/>
        <v>77</v>
      </c>
      <c r="BA826">
        <f t="shared" si="388"/>
        <v>69</v>
      </c>
      <c r="BB826">
        <f t="shared" si="389"/>
        <v>55</v>
      </c>
    </row>
    <row r="827" spans="1:54" x14ac:dyDescent="0.15">
      <c r="A827">
        <v>595</v>
      </c>
      <c r="B827" t="s">
        <v>2922</v>
      </c>
      <c r="C827">
        <v>652</v>
      </c>
      <c r="D827">
        <v>0</v>
      </c>
      <c r="E827" t="s">
        <v>2923</v>
      </c>
      <c r="G827" t="s">
        <v>2923</v>
      </c>
      <c r="H827" t="s">
        <v>2924</v>
      </c>
      <c r="J827" t="s">
        <v>2921</v>
      </c>
      <c r="K827">
        <v>90</v>
      </c>
      <c r="L827">
        <v>1.6</v>
      </c>
      <c r="M827" t="s">
        <v>26</v>
      </c>
      <c r="N827" t="s">
        <v>354</v>
      </c>
      <c r="O827" t="s">
        <v>28</v>
      </c>
      <c r="P827" t="s">
        <v>2917</v>
      </c>
      <c r="R827">
        <v>9</v>
      </c>
      <c r="S827">
        <v>88</v>
      </c>
      <c r="T827">
        <v>107</v>
      </c>
      <c r="U827">
        <v>122</v>
      </c>
      <c r="V827">
        <v>74</v>
      </c>
      <c r="W827">
        <v>75</v>
      </c>
      <c r="X827">
        <v>64</v>
      </c>
      <c r="Y827">
        <f t="shared" si="360"/>
        <v>195</v>
      </c>
      <c r="Z827">
        <f t="shared" si="361"/>
        <v>195</v>
      </c>
      <c r="AA827">
        <f t="shared" si="362"/>
        <v>163</v>
      </c>
      <c r="AB827">
        <f t="shared" si="363"/>
        <v>163</v>
      </c>
      <c r="AC827">
        <f t="shared" si="364"/>
        <v>148</v>
      </c>
      <c r="AD827">
        <f t="shared" si="365"/>
        <v>174</v>
      </c>
      <c r="AE827">
        <f t="shared" si="366"/>
        <v>159</v>
      </c>
      <c r="AF827">
        <f t="shared" si="367"/>
        <v>127</v>
      </c>
      <c r="AG827">
        <f t="shared" si="368"/>
        <v>114</v>
      </c>
      <c r="AH827">
        <f t="shared" si="369"/>
        <v>100</v>
      </c>
      <c r="AI827">
        <f t="shared" si="370"/>
        <v>191</v>
      </c>
      <c r="AJ827">
        <f t="shared" si="371"/>
        <v>174</v>
      </c>
      <c r="AK827">
        <f t="shared" si="372"/>
        <v>142</v>
      </c>
      <c r="AL827">
        <f t="shared" si="373"/>
        <v>127</v>
      </c>
      <c r="AM827">
        <f t="shared" si="374"/>
        <v>114</v>
      </c>
      <c r="AN827">
        <f t="shared" si="375"/>
        <v>138</v>
      </c>
      <c r="AO827">
        <f t="shared" si="376"/>
        <v>126</v>
      </c>
      <c r="AP827">
        <f t="shared" si="377"/>
        <v>94</v>
      </c>
      <c r="AQ827">
        <f t="shared" si="378"/>
        <v>84</v>
      </c>
      <c r="AR827">
        <f t="shared" si="379"/>
        <v>71</v>
      </c>
      <c r="AS827">
        <f t="shared" si="380"/>
        <v>139</v>
      </c>
      <c r="AT827">
        <f t="shared" si="381"/>
        <v>127</v>
      </c>
      <c r="AU827">
        <f t="shared" si="382"/>
        <v>95</v>
      </c>
      <c r="AV827">
        <f t="shared" si="383"/>
        <v>85</v>
      </c>
      <c r="AW827">
        <f t="shared" si="384"/>
        <v>72</v>
      </c>
      <c r="AX827">
        <f t="shared" si="385"/>
        <v>127</v>
      </c>
      <c r="AY827">
        <f t="shared" si="386"/>
        <v>116</v>
      </c>
      <c r="AZ827">
        <f t="shared" si="387"/>
        <v>84</v>
      </c>
      <c r="BA827">
        <f t="shared" si="388"/>
        <v>75</v>
      </c>
      <c r="BB827">
        <f t="shared" si="389"/>
        <v>62</v>
      </c>
    </row>
    <row r="828" spans="1:54" x14ac:dyDescent="0.15">
      <c r="A828">
        <v>590</v>
      </c>
      <c r="B828" t="s">
        <v>2925</v>
      </c>
      <c r="C828">
        <v>653</v>
      </c>
      <c r="D828">
        <v>0</v>
      </c>
      <c r="E828" t="s">
        <v>2926</v>
      </c>
      <c r="G828" t="s">
        <v>2926</v>
      </c>
      <c r="H828" t="s">
        <v>2927</v>
      </c>
      <c r="J828" t="s">
        <v>2928</v>
      </c>
      <c r="K828">
        <v>9.4</v>
      </c>
      <c r="L828">
        <v>0.4</v>
      </c>
      <c r="M828" t="s">
        <v>47</v>
      </c>
      <c r="O828" t="s">
        <v>48</v>
      </c>
      <c r="P828" t="s">
        <v>2929</v>
      </c>
      <c r="R828">
        <v>9</v>
      </c>
      <c r="S828">
        <v>40</v>
      </c>
      <c r="T828">
        <v>45</v>
      </c>
      <c r="U828">
        <v>40</v>
      </c>
      <c r="V828">
        <v>62</v>
      </c>
      <c r="W828">
        <v>60</v>
      </c>
      <c r="X828">
        <v>60</v>
      </c>
      <c r="Y828">
        <f t="shared" si="360"/>
        <v>147</v>
      </c>
      <c r="Z828">
        <f t="shared" si="361"/>
        <v>147</v>
      </c>
      <c r="AA828">
        <f t="shared" si="362"/>
        <v>115</v>
      </c>
      <c r="AB828">
        <f t="shared" si="363"/>
        <v>115</v>
      </c>
      <c r="AC828">
        <f t="shared" si="364"/>
        <v>100</v>
      </c>
      <c r="AD828">
        <f t="shared" si="365"/>
        <v>106</v>
      </c>
      <c r="AE828">
        <f t="shared" si="366"/>
        <v>97</v>
      </c>
      <c r="AF828">
        <f t="shared" si="367"/>
        <v>65</v>
      </c>
      <c r="AG828">
        <f t="shared" si="368"/>
        <v>58</v>
      </c>
      <c r="AH828">
        <f t="shared" si="369"/>
        <v>45</v>
      </c>
      <c r="AI828">
        <f t="shared" si="370"/>
        <v>101</v>
      </c>
      <c r="AJ828">
        <f t="shared" si="371"/>
        <v>92</v>
      </c>
      <c r="AK828">
        <f t="shared" si="372"/>
        <v>60</v>
      </c>
      <c r="AL828">
        <f t="shared" si="373"/>
        <v>54</v>
      </c>
      <c r="AM828">
        <f t="shared" si="374"/>
        <v>40</v>
      </c>
      <c r="AN828">
        <f t="shared" si="375"/>
        <v>125</v>
      </c>
      <c r="AO828">
        <f t="shared" si="376"/>
        <v>114</v>
      </c>
      <c r="AP828">
        <f t="shared" si="377"/>
        <v>82</v>
      </c>
      <c r="AQ828">
        <f t="shared" si="378"/>
        <v>73</v>
      </c>
      <c r="AR828">
        <f t="shared" si="379"/>
        <v>60</v>
      </c>
      <c r="AS828">
        <f t="shared" si="380"/>
        <v>123</v>
      </c>
      <c r="AT828">
        <f t="shared" si="381"/>
        <v>112</v>
      </c>
      <c r="AU828">
        <f t="shared" si="382"/>
        <v>80</v>
      </c>
      <c r="AV828">
        <f t="shared" si="383"/>
        <v>72</v>
      </c>
      <c r="AW828">
        <f t="shared" si="384"/>
        <v>58</v>
      </c>
      <c r="AX828">
        <f t="shared" si="385"/>
        <v>123</v>
      </c>
      <c r="AY828">
        <f t="shared" si="386"/>
        <v>112</v>
      </c>
      <c r="AZ828">
        <f t="shared" si="387"/>
        <v>80</v>
      </c>
      <c r="BA828">
        <f t="shared" si="388"/>
        <v>72</v>
      </c>
      <c r="BB828">
        <f t="shared" si="389"/>
        <v>58</v>
      </c>
    </row>
    <row r="829" spans="1:54" x14ac:dyDescent="0.15">
      <c r="A829">
        <v>591</v>
      </c>
      <c r="B829" t="s">
        <v>2930</v>
      </c>
      <c r="C829">
        <v>654</v>
      </c>
      <c r="D829">
        <v>0</v>
      </c>
      <c r="E829" t="s">
        <v>2931</v>
      </c>
      <c r="G829" t="s">
        <v>2931</v>
      </c>
      <c r="H829" t="s">
        <v>2932</v>
      </c>
      <c r="J829" t="s">
        <v>2928</v>
      </c>
      <c r="K829">
        <v>14.5</v>
      </c>
      <c r="L829">
        <v>1</v>
      </c>
      <c r="M829" t="s">
        <v>47</v>
      </c>
      <c r="O829" t="s">
        <v>48</v>
      </c>
      <c r="P829" t="s">
        <v>2929</v>
      </c>
      <c r="R829">
        <v>9</v>
      </c>
      <c r="S829">
        <v>59</v>
      </c>
      <c r="T829">
        <v>59</v>
      </c>
      <c r="U829">
        <v>58</v>
      </c>
      <c r="V829">
        <v>90</v>
      </c>
      <c r="W829">
        <v>70</v>
      </c>
      <c r="X829">
        <v>73</v>
      </c>
      <c r="Y829">
        <f t="shared" si="360"/>
        <v>166</v>
      </c>
      <c r="Z829">
        <f t="shared" si="361"/>
        <v>166</v>
      </c>
      <c r="AA829">
        <f t="shared" si="362"/>
        <v>134</v>
      </c>
      <c r="AB829">
        <f t="shared" si="363"/>
        <v>134</v>
      </c>
      <c r="AC829">
        <f t="shared" si="364"/>
        <v>119</v>
      </c>
      <c r="AD829">
        <f t="shared" si="365"/>
        <v>122</v>
      </c>
      <c r="AE829">
        <f t="shared" si="366"/>
        <v>111</v>
      </c>
      <c r="AF829">
        <f t="shared" si="367"/>
        <v>79</v>
      </c>
      <c r="AG829">
        <f t="shared" si="368"/>
        <v>71</v>
      </c>
      <c r="AH829">
        <f t="shared" si="369"/>
        <v>57</v>
      </c>
      <c r="AI829">
        <f t="shared" si="370"/>
        <v>121</v>
      </c>
      <c r="AJ829">
        <f t="shared" si="371"/>
        <v>110</v>
      </c>
      <c r="AK829">
        <f t="shared" si="372"/>
        <v>78</v>
      </c>
      <c r="AL829">
        <f t="shared" si="373"/>
        <v>70</v>
      </c>
      <c r="AM829">
        <f t="shared" si="374"/>
        <v>56</v>
      </c>
      <c r="AN829">
        <f t="shared" si="375"/>
        <v>156</v>
      </c>
      <c r="AO829">
        <f t="shared" si="376"/>
        <v>142</v>
      </c>
      <c r="AP829">
        <f t="shared" si="377"/>
        <v>110</v>
      </c>
      <c r="AQ829">
        <f t="shared" si="378"/>
        <v>99</v>
      </c>
      <c r="AR829">
        <f t="shared" si="379"/>
        <v>85</v>
      </c>
      <c r="AS829">
        <f t="shared" si="380"/>
        <v>134</v>
      </c>
      <c r="AT829">
        <f t="shared" si="381"/>
        <v>122</v>
      </c>
      <c r="AU829">
        <f t="shared" si="382"/>
        <v>90</v>
      </c>
      <c r="AV829">
        <f t="shared" si="383"/>
        <v>81</v>
      </c>
      <c r="AW829">
        <f t="shared" si="384"/>
        <v>67</v>
      </c>
      <c r="AX829">
        <f t="shared" si="385"/>
        <v>137</v>
      </c>
      <c r="AY829">
        <f t="shared" si="386"/>
        <v>125</v>
      </c>
      <c r="AZ829">
        <f t="shared" si="387"/>
        <v>93</v>
      </c>
      <c r="BA829">
        <f t="shared" si="388"/>
        <v>83</v>
      </c>
      <c r="BB829">
        <f t="shared" si="389"/>
        <v>70</v>
      </c>
    </row>
    <row r="830" spans="1:54" x14ac:dyDescent="0.15">
      <c r="A830">
        <v>592</v>
      </c>
      <c r="B830" t="s">
        <v>2933</v>
      </c>
      <c r="C830">
        <v>655</v>
      </c>
      <c r="D830">
        <v>0</v>
      </c>
      <c r="E830" t="s">
        <v>2934</v>
      </c>
      <c r="G830" t="s">
        <v>2934</v>
      </c>
      <c r="H830" t="s">
        <v>2935</v>
      </c>
      <c r="J830" t="s">
        <v>2928</v>
      </c>
      <c r="K830">
        <v>39</v>
      </c>
      <c r="L830">
        <v>1.5</v>
      </c>
      <c r="M830" t="s">
        <v>47</v>
      </c>
      <c r="N830" t="s">
        <v>191</v>
      </c>
      <c r="O830" t="s">
        <v>48</v>
      </c>
      <c r="P830" t="s">
        <v>2929</v>
      </c>
      <c r="R830">
        <v>9</v>
      </c>
      <c r="S830">
        <v>75</v>
      </c>
      <c r="T830">
        <v>69</v>
      </c>
      <c r="U830">
        <v>72</v>
      </c>
      <c r="V830">
        <v>114</v>
      </c>
      <c r="W830">
        <v>100</v>
      </c>
      <c r="X830">
        <v>104</v>
      </c>
      <c r="Y830">
        <f t="shared" si="360"/>
        <v>182</v>
      </c>
      <c r="Z830">
        <f t="shared" si="361"/>
        <v>182</v>
      </c>
      <c r="AA830">
        <f t="shared" si="362"/>
        <v>150</v>
      </c>
      <c r="AB830">
        <f t="shared" si="363"/>
        <v>150</v>
      </c>
      <c r="AC830">
        <f t="shared" si="364"/>
        <v>135</v>
      </c>
      <c r="AD830">
        <f t="shared" si="365"/>
        <v>133</v>
      </c>
      <c r="AE830">
        <f t="shared" si="366"/>
        <v>121</v>
      </c>
      <c r="AF830">
        <f t="shared" si="367"/>
        <v>89</v>
      </c>
      <c r="AG830">
        <f t="shared" si="368"/>
        <v>80</v>
      </c>
      <c r="AH830">
        <f t="shared" si="369"/>
        <v>66</v>
      </c>
      <c r="AI830">
        <f t="shared" si="370"/>
        <v>136</v>
      </c>
      <c r="AJ830">
        <f t="shared" si="371"/>
        <v>124</v>
      </c>
      <c r="AK830">
        <f t="shared" si="372"/>
        <v>92</v>
      </c>
      <c r="AL830">
        <f t="shared" si="373"/>
        <v>82</v>
      </c>
      <c r="AM830">
        <f t="shared" si="374"/>
        <v>69</v>
      </c>
      <c r="AN830">
        <f t="shared" si="375"/>
        <v>182</v>
      </c>
      <c r="AO830">
        <f t="shared" si="376"/>
        <v>166</v>
      </c>
      <c r="AP830">
        <f t="shared" si="377"/>
        <v>134</v>
      </c>
      <c r="AQ830">
        <f t="shared" si="378"/>
        <v>120</v>
      </c>
      <c r="AR830">
        <f t="shared" si="379"/>
        <v>107</v>
      </c>
      <c r="AS830">
        <f t="shared" si="380"/>
        <v>167</v>
      </c>
      <c r="AT830">
        <f t="shared" si="381"/>
        <v>152</v>
      </c>
      <c r="AU830">
        <f t="shared" si="382"/>
        <v>120</v>
      </c>
      <c r="AV830">
        <f t="shared" si="383"/>
        <v>108</v>
      </c>
      <c r="AW830">
        <f t="shared" si="384"/>
        <v>94</v>
      </c>
      <c r="AX830">
        <f t="shared" si="385"/>
        <v>171</v>
      </c>
      <c r="AY830">
        <f t="shared" si="386"/>
        <v>156</v>
      </c>
      <c r="AZ830">
        <f t="shared" si="387"/>
        <v>124</v>
      </c>
      <c r="BA830">
        <f t="shared" si="388"/>
        <v>111</v>
      </c>
      <c r="BB830">
        <f t="shared" si="389"/>
        <v>98</v>
      </c>
    </row>
    <row r="831" spans="1:54" x14ac:dyDescent="0.15">
      <c r="A831">
        <v>596</v>
      </c>
      <c r="B831" t="s">
        <v>2936</v>
      </c>
      <c r="C831">
        <v>656</v>
      </c>
      <c r="D831">
        <v>0</v>
      </c>
      <c r="E831" t="s">
        <v>2937</v>
      </c>
      <c r="G831" t="s">
        <v>2937</v>
      </c>
      <c r="H831" t="s">
        <v>2938</v>
      </c>
      <c r="J831" t="s">
        <v>2939</v>
      </c>
      <c r="K831">
        <v>7</v>
      </c>
      <c r="L831">
        <v>0.3</v>
      </c>
      <c r="M831" t="s">
        <v>71</v>
      </c>
      <c r="O831" t="s">
        <v>72</v>
      </c>
      <c r="P831" t="s">
        <v>1640</v>
      </c>
      <c r="R831">
        <v>9</v>
      </c>
      <c r="S831">
        <v>41</v>
      </c>
      <c r="T831">
        <v>56</v>
      </c>
      <c r="U831">
        <v>40</v>
      </c>
      <c r="V831">
        <v>62</v>
      </c>
      <c r="W831">
        <v>44</v>
      </c>
      <c r="X831">
        <v>71</v>
      </c>
      <c r="Y831">
        <f t="shared" si="360"/>
        <v>148</v>
      </c>
      <c r="Z831">
        <f t="shared" si="361"/>
        <v>148</v>
      </c>
      <c r="AA831">
        <f t="shared" si="362"/>
        <v>116</v>
      </c>
      <c r="AB831">
        <f t="shared" si="363"/>
        <v>116</v>
      </c>
      <c r="AC831">
        <f t="shared" si="364"/>
        <v>101</v>
      </c>
      <c r="AD831">
        <f t="shared" si="365"/>
        <v>118</v>
      </c>
      <c r="AE831">
        <f t="shared" si="366"/>
        <v>108</v>
      </c>
      <c r="AF831">
        <f t="shared" si="367"/>
        <v>76</v>
      </c>
      <c r="AG831">
        <f t="shared" si="368"/>
        <v>68</v>
      </c>
      <c r="AH831">
        <f t="shared" si="369"/>
        <v>54</v>
      </c>
      <c r="AI831">
        <f t="shared" si="370"/>
        <v>101</v>
      </c>
      <c r="AJ831">
        <f t="shared" si="371"/>
        <v>92</v>
      </c>
      <c r="AK831">
        <f t="shared" si="372"/>
        <v>60</v>
      </c>
      <c r="AL831">
        <f t="shared" si="373"/>
        <v>54</v>
      </c>
      <c r="AM831">
        <f t="shared" si="374"/>
        <v>40</v>
      </c>
      <c r="AN831">
        <f t="shared" si="375"/>
        <v>125</v>
      </c>
      <c r="AO831">
        <f t="shared" si="376"/>
        <v>114</v>
      </c>
      <c r="AP831">
        <f t="shared" si="377"/>
        <v>82</v>
      </c>
      <c r="AQ831">
        <f t="shared" si="378"/>
        <v>73</v>
      </c>
      <c r="AR831">
        <f t="shared" si="379"/>
        <v>60</v>
      </c>
      <c r="AS831">
        <f t="shared" si="380"/>
        <v>105</v>
      </c>
      <c r="AT831">
        <f t="shared" si="381"/>
        <v>96</v>
      </c>
      <c r="AU831">
        <f t="shared" si="382"/>
        <v>64</v>
      </c>
      <c r="AV831">
        <f t="shared" si="383"/>
        <v>57</v>
      </c>
      <c r="AW831">
        <f t="shared" si="384"/>
        <v>44</v>
      </c>
      <c r="AX831">
        <f t="shared" si="385"/>
        <v>135</v>
      </c>
      <c r="AY831">
        <f t="shared" si="386"/>
        <v>123</v>
      </c>
      <c r="AZ831">
        <f t="shared" si="387"/>
        <v>91</v>
      </c>
      <c r="BA831">
        <f t="shared" si="388"/>
        <v>81</v>
      </c>
      <c r="BB831">
        <f t="shared" si="389"/>
        <v>68</v>
      </c>
    </row>
    <row r="832" spans="1:54" x14ac:dyDescent="0.15">
      <c r="A832">
        <v>597</v>
      </c>
      <c r="B832" t="s">
        <v>2940</v>
      </c>
      <c r="C832">
        <v>657</v>
      </c>
      <c r="D832">
        <v>0</v>
      </c>
      <c r="E832" t="s">
        <v>2941</v>
      </c>
      <c r="G832" t="s">
        <v>2941</v>
      </c>
      <c r="H832" t="s">
        <v>2942</v>
      </c>
      <c r="J832" t="s">
        <v>2939</v>
      </c>
      <c r="K832">
        <v>10.9</v>
      </c>
      <c r="L832">
        <v>0.6</v>
      </c>
      <c r="M832" t="s">
        <v>71</v>
      </c>
      <c r="O832" t="s">
        <v>72</v>
      </c>
      <c r="P832" t="s">
        <v>1640</v>
      </c>
      <c r="R832">
        <v>9</v>
      </c>
      <c r="S832">
        <v>54</v>
      </c>
      <c r="T832">
        <v>63</v>
      </c>
      <c r="U832">
        <v>52</v>
      </c>
      <c r="V832">
        <v>83</v>
      </c>
      <c r="W832">
        <v>56</v>
      </c>
      <c r="X832">
        <v>97</v>
      </c>
      <c r="Y832">
        <f t="shared" si="360"/>
        <v>161</v>
      </c>
      <c r="Z832">
        <f t="shared" si="361"/>
        <v>161</v>
      </c>
      <c r="AA832">
        <f t="shared" si="362"/>
        <v>129</v>
      </c>
      <c r="AB832">
        <f t="shared" si="363"/>
        <v>129</v>
      </c>
      <c r="AC832">
        <f t="shared" si="364"/>
        <v>114</v>
      </c>
      <c r="AD832">
        <f t="shared" si="365"/>
        <v>126</v>
      </c>
      <c r="AE832">
        <f t="shared" si="366"/>
        <v>115</v>
      </c>
      <c r="AF832">
        <f t="shared" si="367"/>
        <v>83</v>
      </c>
      <c r="AG832">
        <f t="shared" si="368"/>
        <v>74</v>
      </c>
      <c r="AH832">
        <f t="shared" si="369"/>
        <v>61</v>
      </c>
      <c r="AI832">
        <f t="shared" si="370"/>
        <v>114</v>
      </c>
      <c r="AJ832">
        <f t="shared" si="371"/>
        <v>104</v>
      </c>
      <c r="AK832">
        <f t="shared" si="372"/>
        <v>72</v>
      </c>
      <c r="AL832">
        <f t="shared" si="373"/>
        <v>64</v>
      </c>
      <c r="AM832">
        <f t="shared" si="374"/>
        <v>51</v>
      </c>
      <c r="AN832">
        <f t="shared" si="375"/>
        <v>148</v>
      </c>
      <c r="AO832">
        <f t="shared" si="376"/>
        <v>135</v>
      </c>
      <c r="AP832">
        <f t="shared" si="377"/>
        <v>103</v>
      </c>
      <c r="AQ832">
        <f t="shared" si="378"/>
        <v>92</v>
      </c>
      <c r="AR832">
        <f t="shared" si="379"/>
        <v>79</v>
      </c>
      <c r="AS832">
        <f t="shared" si="380"/>
        <v>118</v>
      </c>
      <c r="AT832">
        <f t="shared" si="381"/>
        <v>108</v>
      </c>
      <c r="AU832">
        <f t="shared" si="382"/>
        <v>76</v>
      </c>
      <c r="AV832">
        <f t="shared" si="383"/>
        <v>68</v>
      </c>
      <c r="AW832">
        <f t="shared" si="384"/>
        <v>54</v>
      </c>
      <c r="AX832">
        <f t="shared" si="385"/>
        <v>163</v>
      </c>
      <c r="AY832">
        <f t="shared" si="386"/>
        <v>149</v>
      </c>
      <c r="AZ832">
        <f t="shared" si="387"/>
        <v>117</v>
      </c>
      <c r="BA832">
        <f t="shared" si="388"/>
        <v>105</v>
      </c>
      <c r="BB832">
        <f t="shared" si="389"/>
        <v>91</v>
      </c>
    </row>
    <row r="833" spans="1:54" x14ac:dyDescent="0.15">
      <c r="A833">
        <v>598</v>
      </c>
      <c r="B833" t="s">
        <v>2943</v>
      </c>
      <c r="C833">
        <v>658</v>
      </c>
      <c r="D833">
        <v>0</v>
      </c>
      <c r="E833" t="s">
        <v>2944</v>
      </c>
      <c r="G833" t="s">
        <v>2944</v>
      </c>
      <c r="H833" t="s">
        <v>2945</v>
      </c>
      <c r="J833" t="s">
        <v>1402</v>
      </c>
      <c r="K833">
        <v>40</v>
      </c>
      <c r="L833">
        <v>1.5</v>
      </c>
      <c r="M833" t="s">
        <v>71</v>
      </c>
      <c r="N833" t="s">
        <v>140</v>
      </c>
      <c r="O833" t="s">
        <v>72</v>
      </c>
      <c r="P833" t="s">
        <v>1640</v>
      </c>
      <c r="R833">
        <v>9</v>
      </c>
      <c r="S833">
        <v>72</v>
      </c>
      <c r="T833">
        <v>95</v>
      </c>
      <c r="U833">
        <v>67</v>
      </c>
      <c r="V833">
        <v>103</v>
      </c>
      <c r="W833">
        <v>71</v>
      </c>
      <c r="X833">
        <v>122</v>
      </c>
      <c r="Y833">
        <f t="shared" si="360"/>
        <v>179</v>
      </c>
      <c r="Z833">
        <f t="shared" si="361"/>
        <v>179</v>
      </c>
      <c r="AA833">
        <f t="shared" si="362"/>
        <v>147</v>
      </c>
      <c r="AB833">
        <f t="shared" si="363"/>
        <v>147</v>
      </c>
      <c r="AC833">
        <f t="shared" si="364"/>
        <v>132</v>
      </c>
      <c r="AD833">
        <f t="shared" si="365"/>
        <v>161</v>
      </c>
      <c r="AE833">
        <f t="shared" si="366"/>
        <v>147</v>
      </c>
      <c r="AF833">
        <f t="shared" si="367"/>
        <v>115</v>
      </c>
      <c r="AG833">
        <f t="shared" si="368"/>
        <v>103</v>
      </c>
      <c r="AH833">
        <f t="shared" si="369"/>
        <v>90</v>
      </c>
      <c r="AI833">
        <f t="shared" si="370"/>
        <v>130</v>
      </c>
      <c r="AJ833">
        <f t="shared" si="371"/>
        <v>119</v>
      </c>
      <c r="AK833">
        <f t="shared" si="372"/>
        <v>87</v>
      </c>
      <c r="AL833">
        <f t="shared" si="373"/>
        <v>78</v>
      </c>
      <c r="AM833">
        <f t="shared" si="374"/>
        <v>64</v>
      </c>
      <c r="AN833">
        <f t="shared" si="375"/>
        <v>170</v>
      </c>
      <c r="AO833">
        <f t="shared" si="376"/>
        <v>155</v>
      </c>
      <c r="AP833">
        <f t="shared" si="377"/>
        <v>123</v>
      </c>
      <c r="AQ833">
        <f t="shared" si="378"/>
        <v>110</v>
      </c>
      <c r="AR833">
        <f t="shared" si="379"/>
        <v>97</v>
      </c>
      <c r="AS833">
        <f t="shared" si="380"/>
        <v>135</v>
      </c>
      <c r="AT833">
        <f t="shared" si="381"/>
        <v>123</v>
      </c>
      <c r="AU833">
        <f t="shared" si="382"/>
        <v>91</v>
      </c>
      <c r="AV833">
        <f t="shared" si="383"/>
        <v>81</v>
      </c>
      <c r="AW833">
        <f t="shared" si="384"/>
        <v>68</v>
      </c>
      <c r="AX833">
        <f t="shared" si="385"/>
        <v>191</v>
      </c>
      <c r="AY833">
        <f t="shared" si="386"/>
        <v>174</v>
      </c>
      <c r="AZ833">
        <f t="shared" si="387"/>
        <v>142</v>
      </c>
      <c r="BA833">
        <f t="shared" si="388"/>
        <v>127</v>
      </c>
      <c r="BB833">
        <f t="shared" si="389"/>
        <v>114</v>
      </c>
    </row>
    <row r="834" spans="1:54" x14ac:dyDescent="0.15">
      <c r="B834" t="s">
        <v>2946</v>
      </c>
      <c r="C834">
        <v>659</v>
      </c>
      <c r="D834">
        <v>0</v>
      </c>
      <c r="E834" t="s">
        <v>2947</v>
      </c>
      <c r="G834" t="s">
        <v>2947</v>
      </c>
      <c r="J834" t="s">
        <v>2948</v>
      </c>
      <c r="K834">
        <v>5</v>
      </c>
      <c r="L834">
        <v>0.4</v>
      </c>
      <c r="M834" t="s">
        <v>120</v>
      </c>
      <c r="O834" t="s">
        <v>321</v>
      </c>
      <c r="P834" t="s">
        <v>2949</v>
      </c>
      <c r="Q834" t="s">
        <v>964</v>
      </c>
      <c r="R834">
        <v>8</v>
      </c>
      <c r="S834">
        <v>38</v>
      </c>
      <c r="T834">
        <v>36</v>
      </c>
      <c r="U834">
        <v>38</v>
      </c>
      <c r="V834">
        <v>32</v>
      </c>
      <c r="W834">
        <v>36</v>
      </c>
      <c r="X834">
        <v>57</v>
      </c>
      <c r="Y834">
        <f t="shared" ref="Y834:Y897" si="390">IF(S834="", "", S834+107)</f>
        <v>145</v>
      </c>
      <c r="Z834">
        <f t="shared" ref="Z834:Z897" si="391">IF(S834="", "", S834+107)</f>
        <v>145</v>
      </c>
      <c r="AA834">
        <f t="shared" ref="AA834:AA897" si="392">IF(S834="", "", INT(INT(S834*2 + 31)/2) + 60)</f>
        <v>113</v>
      </c>
      <c r="AB834">
        <f t="shared" ref="AB834:AB897" si="393">IF(S834="", "", INT(INT(S834*2 + 31)/2) + 60)</f>
        <v>113</v>
      </c>
      <c r="AC834">
        <f t="shared" ref="AC834:AC897" si="394">IF(S834="", "", S834 + 60)</f>
        <v>98</v>
      </c>
      <c r="AD834">
        <f t="shared" ref="AD834:AD897" si="395">IF(T834="","",INT((T834+52)*1.1))</f>
        <v>96</v>
      </c>
      <c r="AE834">
        <f t="shared" ref="AE834:AE897" si="396">IF(T834="","",T834+52)</f>
        <v>88</v>
      </c>
      <c r="AF834">
        <f t="shared" ref="AF834:AF897" si="397">IF(T834="", "", INT((T834*2 + 31)/2) + 5)</f>
        <v>56</v>
      </c>
      <c r="AG834">
        <f t="shared" ref="AG834:AG897" si="398">IF(T834="", "", INT((INT((T834*2 + 31)/2) + 5)*0.9) )</f>
        <v>50</v>
      </c>
      <c r="AH834">
        <f t="shared" ref="AH834:AH897" si="399">IF(T834="", "", INT((T834 + 5) * 0.9))</f>
        <v>36</v>
      </c>
      <c r="AI834">
        <f t="shared" ref="AI834:AI897" si="400">IF(U834="","",INT((U834+52)*1.1))</f>
        <v>99</v>
      </c>
      <c r="AJ834">
        <f t="shared" ref="AJ834:AJ897" si="401">IF(U834="","",U834+52)</f>
        <v>90</v>
      </c>
      <c r="AK834">
        <f t="shared" ref="AK834:AK897" si="402">IF(U834="", "", INT((U834*2 + 31)/2) + 5)</f>
        <v>58</v>
      </c>
      <c r="AL834">
        <f t="shared" ref="AL834:AL897" si="403">IF(U834="", "", INT((INT((U834*2 + 31)/2) + 5)*0.9) )</f>
        <v>52</v>
      </c>
      <c r="AM834">
        <f t="shared" ref="AM834:AM897" si="404">IF(U834="", "", INT((U834 + 5) * 0.9))</f>
        <v>38</v>
      </c>
      <c r="AN834">
        <f t="shared" ref="AN834:AN897" si="405">IF(V834="","",INT((V834+52)*1.1))</f>
        <v>92</v>
      </c>
      <c r="AO834">
        <f t="shared" ref="AO834:AO897" si="406">IF(V834="","",V834+52)</f>
        <v>84</v>
      </c>
      <c r="AP834">
        <f t="shared" ref="AP834:AP897" si="407">IF(V834="", "", INT((V834*2 + 31)/2) + 5)</f>
        <v>52</v>
      </c>
      <c r="AQ834">
        <f t="shared" ref="AQ834:AQ897" si="408">IF(V834="", "", INT((INT((V834*2 + 31)/2) + 5)*0.9) )</f>
        <v>46</v>
      </c>
      <c r="AR834">
        <f t="shared" ref="AR834:AR897" si="409">IF(V834="", "", INT((V834 + 5) * 0.9))</f>
        <v>33</v>
      </c>
      <c r="AS834">
        <f t="shared" ref="AS834:AS897" si="410">IF(W834="","",INT((W834+52)*1.1))</f>
        <v>96</v>
      </c>
      <c r="AT834">
        <f t="shared" ref="AT834:AT897" si="411">IF(W834="","",W834+52)</f>
        <v>88</v>
      </c>
      <c r="AU834">
        <f t="shared" ref="AU834:AU897" si="412">IF(W834="", "", INT((W834*2 + 31)/2) + 5)</f>
        <v>56</v>
      </c>
      <c r="AV834">
        <f t="shared" ref="AV834:AV897" si="413">IF(W834="", "", INT((INT((W834*2 + 31)/2) + 5)*0.9) )</f>
        <v>50</v>
      </c>
      <c r="AW834">
        <f t="shared" ref="AW834:AW897" si="414">IF(W834="", "", INT((W834 + 5) * 0.9))</f>
        <v>36</v>
      </c>
      <c r="AX834">
        <f t="shared" ref="AX834:AX897" si="415">IF(X834="","",INT((X834+52)*1.1))</f>
        <v>119</v>
      </c>
      <c r="AY834">
        <f t="shared" ref="AY834:AY897" si="416">IF(X834="","",X834+52)</f>
        <v>109</v>
      </c>
      <c r="AZ834">
        <f t="shared" ref="AZ834:AZ897" si="417">IF(X834="", "", INT((X834*2 + 31)/2) + 5)</f>
        <v>77</v>
      </c>
      <c r="BA834">
        <f t="shared" ref="BA834:BA897" si="418">IF(X834="", "", INT((INT((X834*2 + 31)/2) + 5)*0.9) )</f>
        <v>69</v>
      </c>
      <c r="BB834">
        <f t="shared" ref="BB834:BB897" si="419">IF(X834="", "", INT((X834 + 5) * 0.9))</f>
        <v>55</v>
      </c>
    </row>
    <row r="835" spans="1:54" x14ac:dyDescent="0.15">
      <c r="B835" t="s">
        <v>2950</v>
      </c>
      <c r="C835">
        <v>660</v>
      </c>
      <c r="D835">
        <v>0</v>
      </c>
      <c r="E835" t="s">
        <v>2951</v>
      </c>
      <c r="G835" t="s">
        <v>2951</v>
      </c>
      <c r="J835" t="s">
        <v>2948</v>
      </c>
      <c r="K835">
        <v>42.4</v>
      </c>
      <c r="L835">
        <v>1</v>
      </c>
      <c r="M835" t="s">
        <v>120</v>
      </c>
      <c r="N835" t="s">
        <v>196</v>
      </c>
      <c r="O835" t="s">
        <v>321</v>
      </c>
      <c r="P835" t="s">
        <v>2949</v>
      </c>
      <c r="Q835" t="s">
        <v>964</v>
      </c>
      <c r="R835">
        <v>8</v>
      </c>
      <c r="S835">
        <v>85</v>
      </c>
      <c r="T835">
        <v>56</v>
      </c>
      <c r="U835">
        <v>77</v>
      </c>
      <c r="V835">
        <v>50</v>
      </c>
      <c r="W835">
        <v>77</v>
      </c>
      <c r="X835">
        <v>78</v>
      </c>
      <c r="Y835">
        <f t="shared" si="390"/>
        <v>192</v>
      </c>
      <c r="Z835">
        <f t="shared" si="391"/>
        <v>192</v>
      </c>
      <c r="AA835">
        <f t="shared" si="392"/>
        <v>160</v>
      </c>
      <c r="AB835">
        <f t="shared" si="393"/>
        <v>160</v>
      </c>
      <c r="AC835">
        <f t="shared" si="394"/>
        <v>145</v>
      </c>
      <c r="AD835">
        <f t="shared" si="395"/>
        <v>118</v>
      </c>
      <c r="AE835">
        <f t="shared" si="396"/>
        <v>108</v>
      </c>
      <c r="AF835">
        <f t="shared" si="397"/>
        <v>76</v>
      </c>
      <c r="AG835">
        <f t="shared" si="398"/>
        <v>68</v>
      </c>
      <c r="AH835">
        <f t="shared" si="399"/>
        <v>54</v>
      </c>
      <c r="AI835">
        <f t="shared" si="400"/>
        <v>141</v>
      </c>
      <c r="AJ835">
        <f t="shared" si="401"/>
        <v>129</v>
      </c>
      <c r="AK835">
        <f t="shared" si="402"/>
        <v>97</v>
      </c>
      <c r="AL835">
        <f t="shared" si="403"/>
        <v>87</v>
      </c>
      <c r="AM835">
        <f t="shared" si="404"/>
        <v>73</v>
      </c>
      <c r="AN835">
        <f t="shared" si="405"/>
        <v>112</v>
      </c>
      <c r="AO835">
        <f t="shared" si="406"/>
        <v>102</v>
      </c>
      <c r="AP835">
        <f t="shared" si="407"/>
        <v>70</v>
      </c>
      <c r="AQ835">
        <f t="shared" si="408"/>
        <v>63</v>
      </c>
      <c r="AR835">
        <f t="shared" si="409"/>
        <v>49</v>
      </c>
      <c r="AS835">
        <f t="shared" si="410"/>
        <v>141</v>
      </c>
      <c r="AT835">
        <f t="shared" si="411"/>
        <v>129</v>
      </c>
      <c r="AU835">
        <f t="shared" si="412"/>
        <v>97</v>
      </c>
      <c r="AV835">
        <f t="shared" si="413"/>
        <v>87</v>
      </c>
      <c r="AW835">
        <f t="shared" si="414"/>
        <v>73</v>
      </c>
      <c r="AX835">
        <f t="shared" si="415"/>
        <v>143</v>
      </c>
      <c r="AY835">
        <f t="shared" si="416"/>
        <v>130</v>
      </c>
      <c r="AZ835">
        <f t="shared" si="417"/>
        <v>98</v>
      </c>
      <c r="BA835">
        <f t="shared" si="418"/>
        <v>88</v>
      </c>
      <c r="BB835">
        <f t="shared" si="419"/>
        <v>74</v>
      </c>
    </row>
    <row r="836" spans="1:54" x14ac:dyDescent="0.15">
      <c r="A836">
        <v>610</v>
      </c>
      <c r="B836" t="s">
        <v>2952</v>
      </c>
      <c r="C836">
        <v>661</v>
      </c>
      <c r="D836">
        <v>0</v>
      </c>
      <c r="E836" t="s">
        <v>2953</v>
      </c>
      <c r="G836" t="s">
        <v>2953</v>
      </c>
      <c r="H836" t="s">
        <v>2954</v>
      </c>
      <c r="J836" t="s">
        <v>2955</v>
      </c>
      <c r="K836">
        <v>1.7</v>
      </c>
      <c r="L836">
        <v>0.3</v>
      </c>
      <c r="M836" t="s">
        <v>120</v>
      </c>
      <c r="N836" t="s">
        <v>57</v>
      </c>
      <c r="O836" t="s">
        <v>123</v>
      </c>
      <c r="P836" t="s">
        <v>2956</v>
      </c>
      <c r="R836">
        <v>9</v>
      </c>
      <c r="S836">
        <v>45</v>
      </c>
      <c r="T836">
        <v>50</v>
      </c>
      <c r="U836">
        <v>43</v>
      </c>
      <c r="V836">
        <v>40</v>
      </c>
      <c r="W836">
        <v>38</v>
      </c>
      <c r="X836">
        <v>62</v>
      </c>
      <c r="Y836">
        <f t="shared" si="390"/>
        <v>152</v>
      </c>
      <c r="Z836">
        <f t="shared" si="391"/>
        <v>152</v>
      </c>
      <c r="AA836">
        <f t="shared" si="392"/>
        <v>120</v>
      </c>
      <c r="AB836">
        <f t="shared" si="393"/>
        <v>120</v>
      </c>
      <c r="AC836">
        <f t="shared" si="394"/>
        <v>105</v>
      </c>
      <c r="AD836">
        <f t="shared" si="395"/>
        <v>112</v>
      </c>
      <c r="AE836">
        <f t="shared" si="396"/>
        <v>102</v>
      </c>
      <c r="AF836">
        <f t="shared" si="397"/>
        <v>70</v>
      </c>
      <c r="AG836">
        <f t="shared" si="398"/>
        <v>63</v>
      </c>
      <c r="AH836">
        <f t="shared" si="399"/>
        <v>49</v>
      </c>
      <c r="AI836">
        <f t="shared" si="400"/>
        <v>104</v>
      </c>
      <c r="AJ836">
        <f t="shared" si="401"/>
        <v>95</v>
      </c>
      <c r="AK836">
        <f t="shared" si="402"/>
        <v>63</v>
      </c>
      <c r="AL836">
        <f t="shared" si="403"/>
        <v>56</v>
      </c>
      <c r="AM836">
        <f t="shared" si="404"/>
        <v>43</v>
      </c>
      <c r="AN836">
        <f t="shared" si="405"/>
        <v>101</v>
      </c>
      <c r="AO836">
        <f t="shared" si="406"/>
        <v>92</v>
      </c>
      <c r="AP836">
        <f t="shared" si="407"/>
        <v>60</v>
      </c>
      <c r="AQ836">
        <f t="shared" si="408"/>
        <v>54</v>
      </c>
      <c r="AR836">
        <f t="shared" si="409"/>
        <v>40</v>
      </c>
      <c r="AS836">
        <f t="shared" si="410"/>
        <v>99</v>
      </c>
      <c r="AT836">
        <f t="shared" si="411"/>
        <v>90</v>
      </c>
      <c r="AU836">
        <f t="shared" si="412"/>
        <v>58</v>
      </c>
      <c r="AV836">
        <f t="shared" si="413"/>
        <v>52</v>
      </c>
      <c r="AW836">
        <f t="shared" si="414"/>
        <v>38</v>
      </c>
      <c r="AX836">
        <f t="shared" si="415"/>
        <v>125</v>
      </c>
      <c r="AY836">
        <f t="shared" si="416"/>
        <v>114</v>
      </c>
      <c r="AZ836">
        <f t="shared" si="417"/>
        <v>82</v>
      </c>
      <c r="BA836">
        <f t="shared" si="418"/>
        <v>73</v>
      </c>
      <c r="BB836">
        <f t="shared" si="419"/>
        <v>60</v>
      </c>
    </row>
    <row r="837" spans="1:54" x14ac:dyDescent="0.15">
      <c r="A837">
        <v>611</v>
      </c>
      <c r="B837" t="s">
        <v>2957</v>
      </c>
      <c r="C837">
        <v>662</v>
      </c>
      <c r="D837">
        <v>0</v>
      </c>
      <c r="E837" t="s">
        <v>2958</v>
      </c>
      <c r="G837" t="s">
        <v>2958</v>
      </c>
      <c r="H837" t="s">
        <v>2959</v>
      </c>
      <c r="J837" t="s">
        <v>2364</v>
      </c>
      <c r="K837">
        <v>16</v>
      </c>
      <c r="L837">
        <v>0.7</v>
      </c>
      <c r="M837" t="s">
        <v>47</v>
      </c>
      <c r="N837" t="s">
        <v>57</v>
      </c>
      <c r="O837" t="s">
        <v>456</v>
      </c>
      <c r="P837" t="s">
        <v>2956</v>
      </c>
      <c r="R837">
        <v>9</v>
      </c>
      <c r="S837">
        <v>62</v>
      </c>
      <c r="T837">
        <v>73</v>
      </c>
      <c r="U837">
        <v>55</v>
      </c>
      <c r="V837">
        <v>56</v>
      </c>
      <c r="W837">
        <v>52</v>
      </c>
      <c r="X837">
        <v>84</v>
      </c>
      <c r="Y837">
        <f t="shared" si="390"/>
        <v>169</v>
      </c>
      <c r="Z837">
        <f t="shared" si="391"/>
        <v>169</v>
      </c>
      <c r="AA837">
        <f t="shared" si="392"/>
        <v>137</v>
      </c>
      <c r="AB837">
        <f t="shared" si="393"/>
        <v>137</v>
      </c>
      <c r="AC837">
        <f t="shared" si="394"/>
        <v>122</v>
      </c>
      <c r="AD837">
        <f t="shared" si="395"/>
        <v>137</v>
      </c>
      <c r="AE837">
        <f t="shared" si="396"/>
        <v>125</v>
      </c>
      <c r="AF837">
        <f t="shared" si="397"/>
        <v>93</v>
      </c>
      <c r="AG837">
        <f t="shared" si="398"/>
        <v>83</v>
      </c>
      <c r="AH837">
        <f t="shared" si="399"/>
        <v>70</v>
      </c>
      <c r="AI837">
        <f t="shared" si="400"/>
        <v>117</v>
      </c>
      <c r="AJ837">
        <f t="shared" si="401"/>
        <v>107</v>
      </c>
      <c r="AK837">
        <f t="shared" si="402"/>
        <v>75</v>
      </c>
      <c r="AL837">
        <f t="shared" si="403"/>
        <v>67</v>
      </c>
      <c r="AM837">
        <f t="shared" si="404"/>
        <v>54</v>
      </c>
      <c r="AN837">
        <f t="shared" si="405"/>
        <v>118</v>
      </c>
      <c r="AO837">
        <f t="shared" si="406"/>
        <v>108</v>
      </c>
      <c r="AP837">
        <f t="shared" si="407"/>
        <v>76</v>
      </c>
      <c r="AQ837">
        <f t="shared" si="408"/>
        <v>68</v>
      </c>
      <c r="AR837">
        <f t="shared" si="409"/>
        <v>54</v>
      </c>
      <c r="AS837">
        <f t="shared" si="410"/>
        <v>114</v>
      </c>
      <c r="AT837">
        <f t="shared" si="411"/>
        <v>104</v>
      </c>
      <c r="AU837">
        <f t="shared" si="412"/>
        <v>72</v>
      </c>
      <c r="AV837">
        <f t="shared" si="413"/>
        <v>64</v>
      </c>
      <c r="AW837">
        <f t="shared" si="414"/>
        <v>51</v>
      </c>
      <c r="AX837">
        <f t="shared" si="415"/>
        <v>149</v>
      </c>
      <c r="AY837">
        <f t="shared" si="416"/>
        <v>136</v>
      </c>
      <c r="AZ837">
        <f t="shared" si="417"/>
        <v>104</v>
      </c>
      <c r="BA837">
        <f t="shared" si="418"/>
        <v>93</v>
      </c>
      <c r="BB837">
        <f t="shared" si="419"/>
        <v>80</v>
      </c>
    </row>
    <row r="838" spans="1:54" x14ac:dyDescent="0.15">
      <c r="A838">
        <v>612</v>
      </c>
      <c r="B838" t="s">
        <v>2960</v>
      </c>
      <c r="C838">
        <v>663</v>
      </c>
      <c r="D838">
        <v>0</v>
      </c>
      <c r="E838" t="s">
        <v>2961</v>
      </c>
      <c r="G838" t="s">
        <v>2961</v>
      </c>
      <c r="H838" t="s">
        <v>2962</v>
      </c>
      <c r="J838" t="s">
        <v>2963</v>
      </c>
      <c r="K838">
        <v>24.5</v>
      </c>
      <c r="L838">
        <v>1.2</v>
      </c>
      <c r="M838" t="s">
        <v>47</v>
      </c>
      <c r="N838" t="s">
        <v>57</v>
      </c>
      <c r="O838" t="s">
        <v>456</v>
      </c>
      <c r="P838" t="s">
        <v>2956</v>
      </c>
      <c r="R838">
        <v>9</v>
      </c>
      <c r="S838">
        <v>78</v>
      </c>
      <c r="T838">
        <v>81</v>
      </c>
      <c r="U838">
        <v>71</v>
      </c>
      <c r="V838">
        <v>74</v>
      </c>
      <c r="W838">
        <v>69</v>
      </c>
      <c r="X838">
        <v>126</v>
      </c>
      <c r="Y838">
        <f t="shared" si="390"/>
        <v>185</v>
      </c>
      <c r="Z838">
        <f t="shared" si="391"/>
        <v>185</v>
      </c>
      <c r="AA838">
        <f t="shared" si="392"/>
        <v>153</v>
      </c>
      <c r="AB838">
        <f t="shared" si="393"/>
        <v>153</v>
      </c>
      <c r="AC838">
        <f t="shared" si="394"/>
        <v>138</v>
      </c>
      <c r="AD838">
        <f t="shared" si="395"/>
        <v>146</v>
      </c>
      <c r="AE838">
        <f t="shared" si="396"/>
        <v>133</v>
      </c>
      <c r="AF838">
        <f t="shared" si="397"/>
        <v>101</v>
      </c>
      <c r="AG838">
        <f t="shared" si="398"/>
        <v>90</v>
      </c>
      <c r="AH838">
        <f t="shared" si="399"/>
        <v>77</v>
      </c>
      <c r="AI838">
        <f t="shared" si="400"/>
        <v>135</v>
      </c>
      <c r="AJ838">
        <f t="shared" si="401"/>
        <v>123</v>
      </c>
      <c r="AK838">
        <f t="shared" si="402"/>
        <v>91</v>
      </c>
      <c r="AL838">
        <f t="shared" si="403"/>
        <v>81</v>
      </c>
      <c r="AM838">
        <f t="shared" si="404"/>
        <v>68</v>
      </c>
      <c r="AN838">
        <f t="shared" si="405"/>
        <v>138</v>
      </c>
      <c r="AO838">
        <f t="shared" si="406"/>
        <v>126</v>
      </c>
      <c r="AP838">
        <f t="shared" si="407"/>
        <v>94</v>
      </c>
      <c r="AQ838">
        <f t="shared" si="408"/>
        <v>84</v>
      </c>
      <c r="AR838">
        <f t="shared" si="409"/>
        <v>71</v>
      </c>
      <c r="AS838">
        <f t="shared" si="410"/>
        <v>133</v>
      </c>
      <c r="AT838">
        <f t="shared" si="411"/>
        <v>121</v>
      </c>
      <c r="AU838">
        <f t="shared" si="412"/>
        <v>89</v>
      </c>
      <c r="AV838">
        <f t="shared" si="413"/>
        <v>80</v>
      </c>
      <c r="AW838">
        <f t="shared" si="414"/>
        <v>66</v>
      </c>
      <c r="AX838">
        <f t="shared" si="415"/>
        <v>195</v>
      </c>
      <c r="AY838">
        <f t="shared" si="416"/>
        <v>178</v>
      </c>
      <c r="AZ838">
        <f t="shared" si="417"/>
        <v>146</v>
      </c>
      <c r="BA838">
        <f t="shared" si="418"/>
        <v>131</v>
      </c>
      <c r="BB838">
        <f t="shared" si="419"/>
        <v>117</v>
      </c>
    </row>
    <row r="839" spans="1:54" x14ac:dyDescent="0.15">
      <c r="A839">
        <v>550</v>
      </c>
      <c r="B839" t="s">
        <v>2964</v>
      </c>
      <c r="C839">
        <v>664</v>
      </c>
      <c r="D839">
        <v>0</v>
      </c>
      <c r="E839" t="s">
        <v>2965</v>
      </c>
      <c r="G839" t="s">
        <v>2965</v>
      </c>
      <c r="H839" t="s">
        <v>2966</v>
      </c>
      <c r="J839" t="s">
        <v>2967</v>
      </c>
      <c r="K839">
        <v>2.5</v>
      </c>
      <c r="L839">
        <v>0.3</v>
      </c>
      <c r="M839" t="s">
        <v>90</v>
      </c>
      <c r="O839" t="s">
        <v>91</v>
      </c>
      <c r="P839" t="s">
        <v>100</v>
      </c>
      <c r="Q839" t="s">
        <v>236</v>
      </c>
      <c r="R839">
        <v>9</v>
      </c>
      <c r="S839">
        <v>38</v>
      </c>
      <c r="T839">
        <v>35</v>
      </c>
      <c r="U839">
        <v>40</v>
      </c>
      <c r="V839">
        <v>27</v>
      </c>
      <c r="W839">
        <v>25</v>
      </c>
      <c r="X839">
        <v>35</v>
      </c>
      <c r="Y839">
        <f t="shared" si="390"/>
        <v>145</v>
      </c>
      <c r="Z839">
        <f t="shared" si="391"/>
        <v>145</v>
      </c>
      <c r="AA839">
        <f t="shared" si="392"/>
        <v>113</v>
      </c>
      <c r="AB839">
        <f t="shared" si="393"/>
        <v>113</v>
      </c>
      <c r="AC839">
        <f t="shared" si="394"/>
        <v>98</v>
      </c>
      <c r="AD839">
        <f t="shared" si="395"/>
        <v>95</v>
      </c>
      <c r="AE839">
        <f t="shared" si="396"/>
        <v>87</v>
      </c>
      <c r="AF839">
        <f t="shared" si="397"/>
        <v>55</v>
      </c>
      <c r="AG839">
        <f t="shared" si="398"/>
        <v>49</v>
      </c>
      <c r="AH839">
        <f t="shared" si="399"/>
        <v>36</v>
      </c>
      <c r="AI839">
        <f t="shared" si="400"/>
        <v>101</v>
      </c>
      <c r="AJ839">
        <f t="shared" si="401"/>
        <v>92</v>
      </c>
      <c r="AK839">
        <f t="shared" si="402"/>
        <v>60</v>
      </c>
      <c r="AL839">
        <f t="shared" si="403"/>
        <v>54</v>
      </c>
      <c r="AM839">
        <f t="shared" si="404"/>
        <v>40</v>
      </c>
      <c r="AN839">
        <f t="shared" si="405"/>
        <v>86</v>
      </c>
      <c r="AO839">
        <f t="shared" si="406"/>
        <v>79</v>
      </c>
      <c r="AP839">
        <f t="shared" si="407"/>
        <v>47</v>
      </c>
      <c r="AQ839">
        <f t="shared" si="408"/>
        <v>42</v>
      </c>
      <c r="AR839">
        <f t="shared" si="409"/>
        <v>28</v>
      </c>
      <c r="AS839">
        <f t="shared" si="410"/>
        <v>84</v>
      </c>
      <c r="AT839">
        <f t="shared" si="411"/>
        <v>77</v>
      </c>
      <c r="AU839">
        <f t="shared" si="412"/>
        <v>45</v>
      </c>
      <c r="AV839">
        <f t="shared" si="413"/>
        <v>40</v>
      </c>
      <c r="AW839">
        <f t="shared" si="414"/>
        <v>27</v>
      </c>
      <c r="AX839">
        <f t="shared" si="415"/>
        <v>95</v>
      </c>
      <c r="AY839">
        <f t="shared" si="416"/>
        <v>87</v>
      </c>
      <c r="AZ839">
        <f t="shared" si="417"/>
        <v>55</v>
      </c>
      <c r="BA839">
        <f t="shared" si="418"/>
        <v>49</v>
      </c>
      <c r="BB839">
        <f t="shared" si="419"/>
        <v>36</v>
      </c>
    </row>
    <row r="840" spans="1:54" x14ac:dyDescent="0.15">
      <c r="A840">
        <v>551</v>
      </c>
      <c r="B840" t="s">
        <v>2968</v>
      </c>
      <c r="C840">
        <v>665</v>
      </c>
      <c r="D840">
        <v>0</v>
      </c>
      <c r="E840" t="s">
        <v>2969</v>
      </c>
      <c r="G840" t="s">
        <v>2969</v>
      </c>
      <c r="H840" t="s">
        <v>2970</v>
      </c>
      <c r="J840" t="s">
        <v>2967</v>
      </c>
      <c r="K840">
        <v>8.4</v>
      </c>
      <c r="L840">
        <v>0.3</v>
      </c>
      <c r="M840" t="s">
        <v>90</v>
      </c>
      <c r="O840" t="s">
        <v>96</v>
      </c>
      <c r="P840" t="s">
        <v>236</v>
      </c>
      <c r="R840">
        <v>9</v>
      </c>
      <c r="S840">
        <v>45</v>
      </c>
      <c r="T840">
        <v>22</v>
      </c>
      <c r="U840">
        <v>60</v>
      </c>
      <c r="V840">
        <v>27</v>
      </c>
      <c r="W840">
        <v>30</v>
      </c>
      <c r="X840">
        <v>29</v>
      </c>
      <c r="Y840">
        <f t="shared" si="390"/>
        <v>152</v>
      </c>
      <c r="Z840">
        <f t="shared" si="391"/>
        <v>152</v>
      </c>
      <c r="AA840">
        <f t="shared" si="392"/>
        <v>120</v>
      </c>
      <c r="AB840">
        <f t="shared" si="393"/>
        <v>120</v>
      </c>
      <c r="AC840">
        <f t="shared" si="394"/>
        <v>105</v>
      </c>
      <c r="AD840">
        <f t="shared" si="395"/>
        <v>81</v>
      </c>
      <c r="AE840">
        <f t="shared" si="396"/>
        <v>74</v>
      </c>
      <c r="AF840">
        <f t="shared" si="397"/>
        <v>42</v>
      </c>
      <c r="AG840">
        <f t="shared" si="398"/>
        <v>37</v>
      </c>
      <c r="AH840">
        <f t="shared" si="399"/>
        <v>24</v>
      </c>
      <c r="AI840">
        <f t="shared" si="400"/>
        <v>123</v>
      </c>
      <c r="AJ840">
        <f t="shared" si="401"/>
        <v>112</v>
      </c>
      <c r="AK840">
        <f t="shared" si="402"/>
        <v>80</v>
      </c>
      <c r="AL840">
        <f t="shared" si="403"/>
        <v>72</v>
      </c>
      <c r="AM840">
        <f t="shared" si="404"/>
        <v>58</v>
      </c>
      <c r="AN840">
        <f t="shared" si="405"/>
        <v>86</v>
      </c>
      <c r="AO840">
        <f t="shared" si="406"/>
        <v>79</v>
      </c>
      <c r="AP840">
        <f t="shared" si="407"/>
        <v>47</v>
      </c>
      <c r="AQ840">
        <f t="shared" si="408"/>
        <v>42</v>
      </c>
      <c r="AR840">
        <f t="shared" si="409"/>
        <v>28</v>
      </c>
      <c r="AS840">
        <f t="shared" si="410"/>
        <v>90</v>
      </c>
      <c r="AT840">
        <f t="shared" si="411"/>
        <v>82</v>
      </c>
      <c r="AU840">
        <f t="shared" si="412"/>
        <v>50</v>
      </c>
      <c r="AV840">
        <f t="shared" si="413"/>
        <v>45</v>
      </c>
      <c r="AW840">
        <f t="shared" si="414"/>
        <v>31</v>
      </c>
      <c r="AX840">
        <f t="shared" si="415"/>
        <v>89</v>
      </c>
      <c r="AY840">
        <f t="shared" si="416"/>
        <v>81</v>
      </c>
      <c r="AZ840">
        <f t="shared" si="417"/>
        <v>49</v>
      </c>
      <c r="BA840">
        <f t="shared" si="418"/>
        <v>44</v>
      </c>
      <c r="BB840">
        <f t="shared" si="419"/>
        <v>30</v>
      </c>
    </row>
    <row r="841" spans="1:54" x14ac:dyDescent="0.15">
      <c r="A841">
        <v>552</v>
      </c>
      <c r="B841" t="s">
        <v>2971</v>
      </c>
      <c r="C841">
        <v>666</v>
      </c>
      <c r="D841">
        <v>0</v>
      </c>
      <c r="E841" t="s">
        <v>2972</v>
      </c>
      <c r="F841" t="s">
        <v>2973</v>
      </c>
      <c r="G841" t="s">
        <v>2972</v>
      </c>
      <c r="H841" t="s">
        <v>2974</v>
      </c>
      <c r="J841" t="s">
        <v>2975</v>
      </c>
      <c r="K841">
        <v>17</v>
      </c>
      <c r="L841">
        <v>1.2</v>
      </c>
      <c r="M841" t="s">
        <v>90</v>
      </c>
      <c r="N841" t="s">
        <v>57</v>
      </c>
      <c r="O841" t="s">
        <v>91</v>
      </c>
      <c r="P841" t="s">
        <v>100</v>
      </c>
      <c r="Q841" t="s">
        <v>236</v>
      </c>
      <c r="R841">
        <v>9</v>
      </c>
      <c r="S841">
        <v>80</v>
      </c>
      <c r="T841">
        <v>52</v>
      </c>
      <c r="U841">
        <v>50</v>
      </c>
      <c r="V841">
        <v>90</v>
      </c>
      <c r="W841">
        <v>50</v>
      </c>
      <c r="X841">
        <v>89</v>
      </c>
      <c r="Y841">
        <f t="shared" si="390"/>
        <v>187</v>
      </c>
      <c r="Z841">
        <f t="shared" si="391"/>
        <v>187</v>
      </c>
      <c r="AA841">
        <f t="shared" si="392"/>
        <v>155</v>
      </c>
      <c r="AB841">
        <f t="shared" si="393"/>
        <v>155</v>
      </c>
      <c r="AC841">
        <f t="shared" si="394"/>
        <v>140</v>
      </c>
      <c r="AD841">
        <f t="shared" si="395"/>
        <v>114</v>
      </c>
      <c r="AE841">
        <f t="shared" si="396"/>
        <v>104</v>
      </c>
      <c r="AF841">
        <f t="shared" si="397"/>
        <v>72</v>
      </c>
      <c r="AG841">
        <f t="shared" si="398"/>
        <v>64</v>
      </c>
      <c r="AH841">
        <f t="shared" si="399"/>
        <v>51</v>
      </c>
      <c r="AI841">
        <f t="shared" si="400"/>
        <v>112</v>
      </c>
      <c r="AJ841">
        <f t="shared" si="401"/>
        <v>102</v>
      </c>
      <c r="AK841">
        <f t="shared" si="402"/>
        <v>70</v>
      </c>
      <c r="AL841">
        <f t="shared" si="403"/>
        <v>63</v>
      </c>
      <c r="AM841">
        <f t="shared" si="404"/>
        <v>49</v>
      </c>
      <c r="AN841">
        <f t="shared" si="405"/>
        <v>156</v>
      </c>
      <c r="AO841">
        <f t="shared" si="406"/>
        <v>142</v>
      </c>
      <c r="AP841">
        <f t="shared" si="407"/>
        <v>110</v>
      </c>
      <c r="AQ841">
        <f t="shared" si="408"/>
        <v>99</v>
      </c>
      <c r="AR841">
        <f t="shared" si="409"/>
        <v>85</v>
      </c>
      <c r="AS841">
        <f t="shared" si="410"/>
        <v>112</v>
      </c>
      <c r="AT841">
        <f t="shared" si="411"/>
        <v>102</v>
      </c>
      <c r="AU841">
        <f t="shared" si="412"/>
        <v>70</v>
      </c>
      <c r="AV841">
        <f t="shared" si="413"/>
        <v>63</v>
      </c>
      <c r="AW841">
        <f t="shared" si="414"/>
        <v>49</v>
      </c>
      <c r="AX841">
        <f t="shared" si="415"/>
        <v>155</v>
      </c>
      <c r="AY841">
        <f t="shared" si="416"/>
        <v>141</v>
      </c>
      <c r="AZ841">
        <f t="shared" si="417"/>
        <v>109</v>
      </c>
      <c r="BA841">
        <f t="shared" si="418"/>
        <v>98</v>
      </c>
      <c r="BB841">
        <f t="shared" si="419"/>
        <v>84</v>
      </c>
    </row>
    <row r="842" spans="1:54" x14ac:dyDescent="0.15">
      <c r="A842">
        <v>553</v>
      </c>
      <c r="B842" t="s">
        <v>2971</v>
      </c>
      <c r="C842">
        <v>666</v>
      </c>
      <c r="D842">
        <v>0</v>
      </c>
      <c r="E842" t="s">
        <v>2972</v>
      </c>
      <c r="F842" t="s">
        <v>2976</v>
      </c>
      <c r="G842" t="s">
        <v>2972</v>
      </c>
      <c r="H842" t="s">
        <v>2977</v>
      </c>
      <c r="J842" t="s">
        <v>2975</v>
      </c>
      <c r="K842">
        <v>17</v>
      </c>
      <c r="L842">
        <v>1.2</v>
      </c>
      <c r="M842" t="s">
        <v>90</v>
      </c>
      <c r="N842" t="s">
        <v>57</v>
      </c>
      <c r="O842" t="s">
        <v>91</v>
      </c>
      <c r="P842" t="s">
        <v>100</v>
      </c>
      <c r="Q842" t="s">
        <v>236</v>
      </c>
      <c r="R842">
        <v>9</v>
      </c>
      <c r="S842">
        <v>80</v>
      </c>
      <c r="T842">
        <v>52</v>
      </c>
      <c r="U842">
        <v>50</v>
      </c>
      <c r="V842">
        <v>90</v>
      </c>
      <c r="W842">
        <v>50</v>
      </c>
      <c r="X842">
        <v>89</v>
      </c>
      <c r="Y842">
        <f t="shared" si="390"/>
        <v>187</v>
      </c>
      <c r="Z842">
        <f t="shared" si="391"/>
        <v>187</v>
      </c>
      <c r="AA842">
        <f t="shared" si="392"/>
        <v>155</v>
      </c>
      <c r="AB842">
        <f t="shared" si="393"/>
        <v>155</v>
      </c>
      <c r="AC842">
        <f t="shared" si="394"/>
        <v>140</v>
      </c>
      <c r="AD842">
        <f t="shared" si="395"/>
        <v>114</v>
      </c>
      <c r="AE842">
        <f t="shared" si="396"/>
        <v>104</v>
      </c>
      <c r="AF842">
        <f t="shared" si="397"/>
        <v>72</v>
      </c>
      <c r="AG842">
        <f t="shared" si="398"/>
        <v>64</v>
      </c>
      <c r="AH842">
        <f t="shared" si="399"/>
        <v>51</v>
      </c>
      <c r="AI842">
        <f t="shared" si="400"/>
        <v>112</v>
      </c>
      <c r="AJ842">
        <f t="shared" si="401"/>
        <v>102</v>
      </c>
      <c r="AK842">
        <f t="shared" si="402"/>
        <v>70</v>
      </c>
      <c r="AL842">
        <f t="shared" si="403"/>
        <v>63</v>
      </c>
      <c r="AM842">
        <f t="shared" si="404"/>
        <v>49</v>
      </c>
      <c r="AN842">
        <f t="shared" si="405"/>
        <v>156</v>
      </c>
      <c r="AO842">
        <f t="shared" si="406"/>
        <v>142</v>
      </c>
      <c r="AP842">
        <f t="shared" si="407"/>
        <v>110</v>
      </c>
      <c r="AQ842">
        <f t="shared" si="408"/>
        <v>99</v>
      </c>
      <c r="AR842">
        <f t="shared" si="409"/>
        <v>85</v>
      </c>
      <c r="AS842">
        <f t="shared" si="410"/>
        <v>112</v>
      </c>
      <c r="AT842">
        <f t="shared" si="411"/>
        <v>102</v>
      </c>
      <c r="AU842">
        <f t="shared" si="412"/>
        <v>70</v>
      </c>
      <c r="AV842">
        <f t="shared" si="413"/>
        <v>63</v>
      </c>
      <c r="AW842">
        <f t="shared" si="414"/>
        <v>49</v>
      </c>
      <c r="AX842">
        <f t="shared" si="415"/>
        <v>155</v>
      </c>
      <c r="AY842">
        <f t="shared" si="416"/>
        <v>141</v>
      </c>
      <c r="AZ842">
        <f t="shared" si="417"/>
        <v>109</v>
      </c>
      <c r="BA842">
        <f t="shared" si="418"/>
        <v>98</v>
      </c>
      <c r="BB842">
        <f t="shared" si="419"/>
        <v>84</v>
      </c>
    </row>
    <row r="843" spans="1:54" x14ac:dyDescent="0.15">
      <c r="A843">
        <v>554</v>
      </c>
      <c r="B843" t="s">
        <v>2971</v>
      </c>
      <c r="C843">
        <v>666</v>
      </c>
      <c r="D843">
        <v>0</v>
      </c>
      <c r="E843" t="s">
        <v>2972</v>
      </c>
      <c r="F843" t="s">
        <v>2978</v>
      </c>
      <c r="G843" t="s">
        <v>2972</v>
      </c>
      <c r="H843" t="s">
        <v>2979</v>
      </c>
      <c r="J843" t="s">
        <v>2975</v>
      </c>
      <c r="K843">
        <v>17</v>
      </c>
      <c r="L843">
        <v>1.2</v>
      </c>
      <c r="M843" t="s">
        <v>90</v>
      </c>
      <c r="N843" t="s">
        <v>57</v>
      </c>
      <c r="O843" t="s">
        <v>91</v>
      </c>
      <c r="P843" t="s">
        <v>100</v>
      </c>
      <c r="Q843" t="s">
        <v>236</v>
      </c>
      <c r="R843">
        <v>9</v>
      </c>
      <c r="S843">
        <v>80</v>
      </c>
      <c r="T843">
        <v>52</v>
      </c>
      <c r="U843">
        <v>50</v>
      </c>
      <c r="V843">
        <v>90</v>
      </c>
      <c r="W843">
        <v>50</v>
      </c>
      <c r="X843">
        <v>89</v>
      </c>
      <c r="Y843">
        <f t="shared" si="390"/>
        <v>187</v>
      </c>
      <c r="Z843">
        <f t="shared" si="391"/>
        <v>187</v>
      </c>
      <c r="AA843">
        <f t="shared" si="392"/>
        <v>155</v>
      </c>
      <c r="AB843">
        <f t="shared" si="393"/>
        <v>155</v>
      </c>
      <c r="AC843">
        <f t="shared" si="394"/>
        <v>140</v>
      </c>
      <c r="AD843">
        <f t="shared" si="395"/>
        <v>114</v>
      </c>
      <c r="AE843">
        <f t="shared" si="396"/>
        <v>104</v>
      </c>
      <c r="AF843">
        <f t="shared" si="397"/>
        <v>72</v>
      </c>
      <c r="AG843">
        <f t="shared" si="398"/>
        <v>64</v>
      </c>
      <c r="AH843">
        <f t="shared" si="399"/>
        <v>51</v>
      </c>
      <c r="AI843">
        <f t="shared" si="400"/>
        <v>112</v>
      </c>
      <c r="AJ843">
        <f t="shared" si="401"/>
        <v>102</v>
      </c>
      <c r="AK843">
        <f t="shared" si="402"/>
        <v>70</v>
      </c>
      <c r="AL843">
        <f t="shared" si="403"/>
        <v>63</v>
      </c>
      <c r="AM843">
        <f t="shared" si="404"/>
        <v>49</v>
      </c>
      <c r="AN843">
        <f t="shared" si="405"/>
        <v>156</v>
      </c>
      <c r="AO843">
        <f t="shared" si="406"/>
        <v>142</v>
      </c>
      <c r="AP843">
        <f t="shared" si="407"/>
        <v>110</v>
      </c>
      <c r="AQ843">
        <f t="shared" si="408"/>
        <v>99</v>
      </c>
      <c r="AR843">
        <f t="shared" si="409"/>
        <v>85</v>
      </c>
      <c r="AS843">
        <f t="shared" si="410"/>
        <v>112</v>
      </c>
      <c r="AT843">
        <f t="shared" si="411"/>
        <v>102</v>
      </c>
      <c r="AU843">
        <f t="shared" si="412"/>
        <v>70</v>
      </c>
      <c r="AV843">
        <f t="shared" si="413"/>
        <v>63</v>
      </c>
      <c r="AW843">
        <f t="shared" si="414"/>
        <v>49</v>
      </c>
      <c r="AX843">
        <f t="shared" si="415"/>
        <v>155</v>
      </c>
      <c r="AY843">
        <f t="shared" si="416"/>
        <v>141</v>
      </c>
      <c r="AZ843">
        <f t="shared" si="417"/>
        <v>109</v>
      </c>
      <c r="BA843">
        <f t="shared" si="418"/>
        <v>98</v>
      </c>
      <c r="BB843">
        <f t="shared" si="419"/>
        <v>84</v>
      </c>
    </row>
    <row r="844" spans="1:54" x14ac:dyDescent="0.15">
      <c r="A844">
        <v>555</v>
      </c>
      <c r="B844" t="s">
        <v>2971</v>
      </c>
      <c r="C844">
        <v>666</v>
      </c>
      <c r="D844">
        <v>0</v>
      </c>
      <c r="E844" t="s">
        <v>2972</v>
      </c>
      <c r="F844" t="s">
        <v>2980</v>
      </c>
      <c r="G844" t="s">
        <v>2972</v>
      </c>
      <c r="H844" t="s">
        <v>2981</v>
      </c>
      <c r="J844" t="s">
        <v>2975</v>
      </c>
      <c r="K844">
        <v>17</v>
      </c>
      <c r="L844">
        <v>1.2</v>
      </c>
      <c r="M844" t="s">
        <v>90</v>
      </c>
      <c r="N844" t="s">
        <v>57</v>
      </c>
      <c r="O844" t="s">
        <v>91</v>
      </c>
      <c r="P844" t="s">
        <v>100</v>
      </c>
      <c r="Q844" t="s">
        <v>236</v>
      </c>
      <c r="R844">
        <v>9</v>
      </c>
      <c r="S844">
        <v>80</v>
      </c>
      <c r="T844">
        <v>52</v>
      </c>
      <c r="U844">
        <v>50</v>
      </c>
      <c r="V844">
        <v>90</v>
      </c>
      <c r="W844">
        <v>50</v>
      </c>
      <c r="X844">
        <v>89</v>
      </c>
      <c r="Y844">
        <f t="shared" si="390"/>
        <v>187</v>
      </c>
      <c r="Z844">
        <f t="shared" si="391"/>
        <v>187</v>
      </c>
      <c r="AA844">
        <f t="shared" si="392"/>
        <v>155</v>
      </c>
      <c r="AB844">
        <f t="shared" si="393"/>
        <v>155</v>
      </c>
      <c r="AC844">
        <f t="shared" si="394"/>
        <v>140</v>
      </c>
      <c r="AD844">
        <f t="shared" si="395"/>
        <v>114</v>
      </c>
      <c r="AE844">
        <f t="shared" si="396"/>
        <v>104</v>
      </c>
      <c r="AF844">
        <f t="shared" si="397"/>
        <v>72</v>
      </c>
      <c r="AG844">
        <f t="shared" si="398"/>
        <v>64</v>
      </c>
      <c r="AH844">
        <f t="shared" si="399"/>
        <v>51</v>
      </c>
      <c r="AI844">
        <f t="shared" si="400"/>
        <v>112</v>
      </c>
      <c r="AJ844">
        <f t="shared" si="401"/>
        <v>102</v>
      </c>
      <c r="AK844">
        <f t="shared" si="402"/>
        <v>70</v>
      </c>
      <c r="AL844">
        <f t="shared" si="403"/>
        <v>63</v>
      </c>
      <c r="AM844">
        <f t="shared" si="404"/>
        <v>49</v>
      </c>
      <c r="AN844">
        <f t="shared" si="405"/>
        <v>156</v>
      </c>
      <c r="AO844">
        <f t="shared" si="406"/>
        <v>142</v>
      </c>
      <c r="AP844">
        <f t="shared" si="407"/>
        <v>110</v>
      </c>
      <c r="AQ844">
        <f t="shared" si="408"/>
        <v>99</v>
      </c>
      <c r="AR844">
        <f t="shared" si="409"/>
        <v>85</v>
      </c>
      <c r="AS844">
        <f t="shared" si="410"/>
        <v>112</v>
      </c>
      <c r="AT844">
        <f t="shared" si="411"/>
        <v>102</v>
      </c>
      <c r="AU844">
        <f t="shared" si="412"/>
        <v>70</v>
      </c>
      <c r="AV844">
        <f t="shared" si="413"/>
        <v>63</v>
      </c>
      <c r="AW844">
        <f t="shared" si="414"/>
        <v>49</v>
      </c>
      <c r="AX844">
        <f t="shared" si="415"/>
        <v>155</v>
      </c>
      <c r="AY844">
        <f t="shared" si="416"/>
        <v>141</v>
      </c>
      <c r="AZ844">
        <f t="shared" si="417"/>
        <v>109</v>
      </c>
      <c r="BA844">
        <f t="shared" si="418"/>
        <v>98</v>
      </c>
      <c r="BB844">
        <f t="shared" si="419"/>
        <v>84</v>
      </c>
    </row>
    <row r="845" spans="1:54" x14ac:dyDescent="0.15">
      <c r="A845">
        <v>556</v>
      </c>
      <c r="B845" t="s">
        <v>2971</v>
      </c>
      <c r="C845">
        <v>666</v>
      </c>
      <c r="D845">
        <v>0</v>
      </c>
      <c r="E845" t="s">
        <v>2972</v>
      </c>
      <c r="F845" t="s">
        <v>2982</v>
      </c>
      <c r="G845" t="s">
        <v>2972</v>
      </c>
      <c r="H845" t="s">
        <v>2983</v>
      </c>
      <c r="J845" t="s">
        <v>2975</v>
      </c>
      <c r="K845">
        <v>17</v>
      </c>
      <c r="L845">
        <v>1.2</v>
      </c>
      <c r="M845" t="s">
        <v>90</v>
      </c>
      <c r="N845" t="s">
        <v>57</v>
      </c>
      <c r="O845" t="s">
        <v>91</v>
      </c>
      <c r="P845" t="s">
        <v>100</v>
      </c>
      <c r="Q845" t="s">
        <v>236</v>
      </c>
      <c r="R845">
        <v>9</v>
      </c>
      <c r="S845">
        <v>80</v>
      </c>
      <c r="T845">
        <v>52</v>
      </c>
      <c r="U845">
        <v>50</v>
      </c>
      <c r="V845">
        <v>90</v>
      </c>
      <c r="W845">
        <v>50</v>
      </c>
      <c r="X845">
        <v>89</v>
      </c>
      <c r="Y845">
        <f t="shared" si="390"/>
        <v>187</v>
      </c>
      <c r="Z845">
        <f t="shared" si="391"/>
        <v>187</v>
      </c>
      <c r="AA845">
        <f t="shared" si="392"/>
        <v>155</v>
      </c>
      <c r="AB845">
        <f t="shared" si="393"/>
        <v>155</v>
      </c>
      <c r="AC845">
        <f t="shared" si="394"/>
        <v>140</v>
      </c>
      <c r="AD845">
        <f t="shared" si="395"/>
        <v>114</v>
      </c>
      <c r="AE845">
        <f t="shared" si="396"/>
        <v>104</v>
      </c>
      <c r="AF845">
        <f t="shared" si="397"/>
        <v>72</v>
      </c>
      <c r="AG845">
        <f t="shared" si="398"/>
        <v>64</v>
      </c>
      <c r="AH845">
        <f t="shared" si="399"/>
        <v>51</v>
      </c>
      <c r="AI845">
        <f t="shared" si="400"/>
        <v>112</v>
      </c>
      <c r="AJ845">
        <f t="shared" si="401"/>
        <v>102</v>
      </c>
      <c r="AK845">
        <f t="shared" si="402"/>
        <v>70</v>
      </c>
      <c r="AL845">
        <f t="shared" si="403"/>
        <v>63</v>
      </c>
      <c r="AM845">
        <f t="shared" si="404"/>
        <v>49</v>
      </c>
      <c r="AN845">
        <f t="shared" si="405"/>
        <v>156</v>
      </c>
      <c r="AO845">
        <f t="shared" si="406"/>
        <v>142</v>
      </c>
      <c r="AP845">
        <f t="shared" si="407"/>
        <v>110</v>
      </c>
      <c r="AQ845">
        <f t="shared" si="408"/>
        <v>99</v>
      </c>
      <c r="AR845">
        <f t="shared" si="409"/>
        <v>85</v>
      </c>
      <c r="AS845">
        <f t="shared" si="410"/>
        <v>112</v>
      </c>
      <c r="AT845">
        <f t="shared" si="411"/>
        <v>102</v>
      </c>
      <c r="AU845">
        <f t="shared" si="412"/>
        <v>70</v>
      </c>
      <c r="AV845">
        <f t="shared" si="413"/>
        <v>63</v>
      </c>
      <c r="AW845">
        <f t="shared" si="414"/>
        <v>49</v>
      </c>
      <c r="AX845">
        <f t="shared" si="415"/>
        <v>155</v>
      </c>
      <c r="AY845">
        <f t="shared" si="416"/>
        <v>141</v>
      </c>
      <c r="AZ845">
        <f t="shared" si="417"/>
        <v>109</v>
      </c>
      <c r="BA845">
        <f t="shared" si="418"/>
        <v>98</v>
      </c>
      <c r="BB845">
        <f t="shared" si="419"/>
        <v>84</v>
      </c>
    </row>
    <row r="846" spans="1:54" x14ac:dyDescent="0.15">
      <c r="A846">
        <v>557</v>
      </c>
      <c r="B846" t="s">
        <v>2971</v>
      </c>
      <c r="C846">
        <v>666</v>
      </c>
      <c r="D846">
        <v>0</v>
      </c>
      <c r="E846" t="s">
        <v>2972</v>
      </c>
      <c r="F846" t="s">
        <v>2984</v>
      </c>
      <c r="G846" t="s">
        <v>2972</v>
      </c>
      <c r="H846" t="s">
        <v>2985</v>
      </c>
      <c r="J846" t="s">
        <v>2975</v>
      </c>
      <c r="K846">
        <v>17</v>
      </c>
      <c r="L846">
        <v>1.2</v>
      </c>
      <c r="M846" t="s">
        <v>90</v>
      </c>
      <c r="N846" t="s">
        <v>57</v>
      </c>
      <c r="O846" t="s">
        <v>91</v>
      </c>
      <c r="P846" t="s">
        <v>100</v>
      </c>
      <c r="Q846" t="s">
        <v>236</v>
      </c>
      <c r="R846">
        <v>9</v>
      </c>
      <c r="S846">
        <v>80</v>
      </c>
      <c r="T846">
        <v>52</v>
      </c>
      <c r="U846">
        <v>50</v>
      </c>
      <c r="V846">
        <v>90</v>
      </c>
      <c r="W846">
        <v>50</v>
      </c>
      <c r="X846">
        <v>89</v>
      </c>
      <c r="Y846">
        <f t="shared" si="390"/>
        <v>187</v>
      </c>
      <c r="Z846">
        <f t="shared" si="391"/>
        <v>187</v>
      </c>
      <c r="AA846">
        <f t="shared" si="392"/>
        <v>155</v>
      </c>
      <c r="AB846">
        <f t="shared" si="393"/>
        <v>155</v>
      </c>
      <c r="AC846">
        <f t="shared" si="394"/>
        <v>140</v>
      </c>
      <c r="AD846">
        <f t="shared" si="395"/>
        <v>114</v>
      </c>
      <c r="AE846">
        <f t="shared" si="396"/>
        <v>104</v>
      </c>
      <c r="AF846">
        <f t="shared" si="397"/>
        <v>72</v>
      </c>
      <c r="AG846">
        <f t="shared" si="398"/>
        <v>64</v>
      </c>
      <c r="AH846">
        <f t="shared" si="399"/>
        <v>51</v>
      </c>
      <c r="AI846">
        <f t="shared" si="400"/>
        <v>112</v>
      </c>
      <c r="AJ846">
        <f t="shared" si="401"/>
        <v>102</v>
      </c>
      <c r="AK846">
        <f t="shared" si="402"/>
        <v>70</v>
      </c>
      <c r="AL846">
        <f t="shared" si="403"/>
        <v>63</v>
      </c>
      <c r="AM846">
        <f t="shared" si="404"/>
        <v>49</v>
      </c>
      <c r="AN846">
        <f t="shared" si="405"/>
        <v>156</v>
      </c>
      <c r="AO846">
        <f t="shared" si="406"/>
        <v>142</v>
      </c>
      <c r="AP846">
        <f t="shared" si="407"/>
        <v>110</v>
      </c>
      <c r="AQ846">
        <f t="shared" si="408"/>
        <v>99</v>
      </c>
      <c r="AR846">
        <f t="shared" si="409"/>
        <v>85</v>
      </c>
      <c r="AS846">
        <f t="shared" si="410"/>
        <v>112</v>
      </c>
      <c r="AT846">
        <f t="shared" si="411"/>
        <v>102</v>
      </c>
      <c r="AU846">
        <f t="shared" si="412"/>
        <v>70</v>
      </c>
      <c r="AV846">
        <f t="shared" si="413"/>
        <v>63</v>
      </c>
      <c r="AW846">
        <f t="shared" si="414"/>
        <v>49</v>
      </c>
      <c r="AX846">
        <f t="shared" si="415"/>
        <v>155</v>
      </c>
      <c r="AY846">
        <f t="shared" si="416"/>
        <v>141</v>
      </c>
      <c r="AZ846">
        <f t="shared" si="417"/>
        <v>109</v>
      </c>
      <c r="BA846">
        <f t="shared" si="418"/>
        <v>98</v>
      </c>
      <c r="BB846">
        <f t="shared" si="419"/>
        <v>84</v>
      </c>
    </row>
    <row r="847" spans="1:54" x14ac:dyDescent="0.15">
      <c r="A847">
        <v>558</v>
      </c>
      <c r="B847" t="s">
        <v>2971</v>
      </c>
      <c r="C847">
        <v>666</v>
      </c>
      <c r="D847">
        <v>0</v>
      </c>
      <c r="E847" t="s">
        <v>2972</v>
      </c>
      <c r="F847" t="s">
        <v>2986</v>
      </c>
      <c r="G847" t="s">
        <v>2972</v>
      </c>
      <c r="H847" t="s">
        <v>2987</v>
      </c>
      <c r="J847" t="s">
        <v>2975</v>
      </c>
      <c r="K847">
        <v>17</v>
      </c>
      <c r="L847">
        <v>1.2</v>
      </c>
      <c r="M847" t="s">
        <v>90</v>
      </c>
      <c r="N847" t="s">
        <v>57</v>
      </c>
      <c r="O847" t="s">
        <v>91</v>
      </c>
      <c r="P847" t="s">
        <v>100</v>
      </c>
      <c r="Q847" t="s">
        <v>236</v>
      </c>
      <c r="R847">
        <v>9</v>
      </c>
      <c r="S847">
        <v>80</v>
      </c>
      <c r="T847">
        <v>52</v>
      </c>
      <c r="U847">
        <v>50</v>
      </c>
      <c r="V847">
        <v>90</v>
      </c>
      <c r="W847">
        <v>50</v>
      </c>
      <c r="X847">
        <v>89</v>
      </c>
      <c r="Y847">
        <f t="shared" si="390"/>
        <v>187</v>
      </c>
      <c r="Z847">
        <f t="shared" si="391"/>
        <v>187</v>
      </c>
      <c r="AA847">
        <f t="shared" si="392"/>
        <v>155</v>
      </c>
      <c r="AB847">
        <f t="shared" si="393"/>
        <v>155</v>
      </c>
      <c r="AC847">
        <f t="shared" si="394"/>
        <v>140</v>
      </c>
      <c r="AD847">
        <f t="shared" si="395"/>
        <v>114</v>
      </c>
      <c r="AE847">
        <f t="shared" si="396"/>
        <v>104</v>
      </c>
      <c r="AF847">
        <f t="shared" si="397"/>
        <v>72</v>
      </c>
      <c r="AG847">
        <f t="shared" si="398"/>
        <v>64</v>
      </c>
      <c r="AH847">
        <f t="shared" si="399"/>
        <v>51</v>
      </c>
      <c r="AI847">
        <f t="shared" si="400"/>
        <v>112</v>
      </c>
      <c r="AJ847">
        <f t="shared" si="401"/>
        <v>102</v>
      </c>
      <c r="AK847">
        <f t="shared" si="402"/>
        <v>70</v>
      </c>
      <c r="AL847">
        <f t="shared" si="403"/>
        <v>63</v>
      </c>
      <c r="AM847">
        <f t="shared" si="404"/>
        <v>49</v>
      </c>
      <c r="AN847">
        <f t="shared" si="405"/>
        <v>156</v>
      </c>
      <c r="AO847">
        <f t="shared" si="406"/>
        <v>142</v>
      </c>
      <c r="AP847">
        <f t="shared" si="407"/>
        <v>110</v>
      </c>
      <c r="AQ847">
        <f t="shared" si="408"/>
        <v>99</v>
      </c>
      <c r="AR847">
        <f t="shared" si="409"/>
        <v>85</v>
      </c>
      <c r="AS847">
        <f t="shared" si="410"/>
        <v>112</v>
      </c>
      <c r="AT847">
        <f t="shared" si="411"/>
        <v>102</v>
      </c>
      <c r="AU847">
        <f t="shared" si="412"/>
        <v>70</v>
      </c>
      <c r="AV847">
        <f t="shared" si="413"/>
        <v>63</v>
      </c>
      <c r="AW847">
        <f t="shared" si="414"/>
        <v>49</v>
      </c>
      <c r="AX847">
        <f t="shared" si="415"/>
        <v>155</v>
      </c>
      <c r="AY847">
        <f t="shared" si="416"/>
        <v>141</v>
      </c>
      <c r="AZ847">
        <f t="shared" si="417"/>
        <v>109</v>
      </c>
      <c r="BA847">
        <f t="shared" si="418"/>
        <v>98</v>
      </c>
      <c r="BB847">
        <f t="shared" si="419"/>
        <v>84</v>
      </c>
    </row>
    <row r="848" spans="1:54" x14ac:dyDescent="0.15">
      <c r="A848">
        <v>559</v>
      </c>
      <c r="B848" t="s">
        <v>2971</v>
      </c>
      <c r="C848">
        <v>666</v>
      </c>
      <c r="D848">
        <v>0</v>
      </c>
      <c r="E848" t="s">
        <v>2972</v>
      </c>
      <c r="F848" t="s">
        <v>2988</v>
      </c>
      <c r="G848" t="s">
        <v>2972</v>
      </c>
      <c r="H848" t="s">
        <v>2989</v>
      </c>
      <c r="J848" t="s">
        <v>2975</v>
      </c>
      <c r="K848">
        <v>17</v>
      </c>
      <c r="L848">
        <v>1.2</v>
      </c>
      <c r="M848" t="s">
        <v>90</v>
      </c>
      <c r="N848" t="s">
        <v>57</v>
      </c>
      <c r="O848" t="s">
        <v>91</v>
      </c>
      <c r="P848" t="s">
        <v>100</v>
      </c>
      <c r="Q848" t="s">
        <v>236</v>
      </c>
      <c r="R848">
        <v>9</v>
      </c>
      <c r="S848">
        <v>80</v>
      </c>
      <c r="T848">
        <v>52</v>
      </c>
      <c r="U848">
        <v>50</v>
      </c>
      <c r="V848">
        <v>90</v>
      </c>
      <c r="W848">
        <v>50</v>
      </c>
      <c r="X848">
        <v>89</v>
      </c>
      <c r="Y848">
        <f t="shared" si="390"/>
        <v>187</v>
      </c>
      <c r="Z848">
        <f t="shared" si="391"/>
        <v>187</v>
      </c>
      <c r="AA848">
        <f t="shared" si="392"/>
        <v>155</v>
      </c>
      <c r="AB848">
        <f t="shared" si="393"/>
        <v>155</v>
      </c>
      <c r="AC848">
        <f t="shared" si="394"/>
        <v>140</v>
      </c>
      <c r="AD848">
        <f t="shared" si="395"/>
        <v>114</v>
      </c>
      <c r="AE848">
        <f t="shared" si="396"/>
        <v>104</v>
      </c>
      <c r="AF848">
        <f t="shared" si="397"/>
        <v>72</v>
      </c>
      <c r="AG848">
        <f t="shared" si="398"/>
        <v>64</v>
      </c>
      <c r="AH848">
        <f t="shared" si="399"/>
        <v>51</v>
      </c>
      <c r="AI848">
        <f t="shared" si="400"/>
        <v>112</v>
      </c>
      <c r="AJ848">
        <f t="shared" si="401"/>
        <v>102</v>
      </c>
      <c r="AK848">
        <f t="shared" si="402"/>
        <v>70</v>
      </c>
      <c r="AL848">
        <f t="shared" si="403"/>
        <v>63</v>
      </c>
      <c r="AM848">
        <f t="shared" si="404"/>
        <v>49</v>
      </c>
      <c r="AN848">
        <f t="shared" si="405"/>
        <v>156</v>
      </c>
      <c r="AO848">
        <f t="shared" si="406"/>
        <v>142</v>
      </c>
      <c r="AP848">
        <f t="shared" si="407"/>
        <v>110</v>
      </c>
      <c r="AQ848">
        <f t="shared" si="408"/>
        <v>99</v>
      </c>
      <c r="AR848">
        <f t="shared" si="409"/>
        <v>85</v>
      </c>
      <c r="AS848">
        <f t="shared" si="410"/>
        <v>112</v>
      </c>
      <c r="AT848">
        <f t="shared" si="411"/>
        <v>102</v>
      </c>
      <c r="AU848">
        <f t="shared" si="412"/>
        <v>70</v>
      </c>
      <c r="AV848">
        <f t="shared" si="413"/>
        <v>63</v>
      </c>
      <c r="AW848">
        <f t="shared" si="414"/>
        <v>49</v>
      </c>
      <c r="AX848">
        <f t="shared" si="415"/>
        <v>155</v>
      </c>
      <c r="AY848">
        <f t="shared" si="416"/>
        <v>141</v>
      </c>
      <c r="AZ848">
        <f t="shared" si="417"/>
        <v>109</v>
      </c>
      <c r="BA848">
        <f t="shared" si="418"/>
        <v>98</v>
      </c>
      <c r="BB848">
        <f t="shared" si="419"/>
        <v>84</v>
      </c>
    </row>
    <row r="849" spans="1:54" x14ac:dyDescent="0.15">
      <c r="A849">
        <v>560</v>
      </c>
      <c r="B849" t="s">
        <v>2971</v>
      </c>
      <c r="C849">
        <v>666</v>
      </c>
      <c r="D849">
        <v>0</v>
      </c>
      <c r="E849" t="s">
        <v>2972</v>
      </c>
      <c r="F849" t="s">
        <v>2990</v>
      </c>
      <c r="G849" t="s">
        <v>2972</v>
      </c>
      <c r="H849" t="s">
        <v>2991</v>
      </c>
      <c r="J849" t="s">
        <v>2975</v>
      </c>
      <c r="K849">
        <v>17</v>
      </c>
      <c r="L849">
        <v>1.2</v>
      </c>
      <c r="M849" t="s">
        <v>90</v>
      </c>
      <c r="N849" t="s">
        <v>57</v>
      </c>
      <c r="O849" t="s">
        <v>91</v>
      </c>
      <c r="P849" t="s">
        <v>100</v>
      </c>
      <c r="Q849" t="s">
        <v>236</v>
      </c>
      <c r="R849">
        <v>9</v>
      </c>
      <c r="S849">
        <v>80</v>
      </c>
      <c r="T849">
        <v>52</v>
      </c>
      <c r="U849">
        <v>50</v>
      </c>
      <c r="V849">
        <v>90</v>
      </c>
      <c r="W849">
        <v>50</v>
      </c>
      <c r="X849">
        <v>89</v>
      </c>
      <c r="Y849">
        <f t="shared" si="390"/>
        <v>187</v>
      </c>
      <c r="Z849">
        <f t="shared" si="391"/>
        <v>187</v>
      </c>
      <c r="AA849">
        <f t="shared" si="392"/>
        <v>155</v>
      </c>
      <c r="AB849">
        <f t="shared" si="393"/>
        <v>155</v>
      </c>
      <c r="AC849">
        <f t="shared" si="394"/>
        <v>140</v>
      </c>
      <c r="AD849">
        <f t="shared" si="395"/>
        <v>114</v>
      </c>
      <c r="AE849">
        <f t="shared" si="396"/>
        <v>104</v>
      </c>
      <c r="AF849">
        <f t="shared" si="397"/>
        <v>72</v>
      </c>
      <c r="AG849">
        <f t="shared" si="398"/>
        <v>64</v>
      </c>
      <c r="AH849">
        <f t="shared" si="399"/>
        <v>51</v>
      </c>
      <c r="AI849">
        <f t="shared" si="400"/>
        <v>112</v>
      </c>
      <c r="AJ849">
        <f t="shared" si="401"/>
        <v>102</v>
      </c>
      <c r="AK849">
        <f t="shared" si="402"/>
        <v>70</v>
      </c>
      <c r="AL849">
        <f t="shared" si="403"/>
        <v>63</v>
      </c>
      <c r="AM849">
        <f t="shared" si="404"/>
        <v>49</v>
      </c>
      <c r="AN849">
        <f t="shared" si="405"/>
        <v>156</v>
      </c>
      <c r="AO849">
        <f t="shared" si="406"/>
        <v>142</v>
      </c>
      <c r="AP849">
        <f t="shared" si="407"/>
        <v>110</v>
      </c>
      <c r="AQ849">
        <f t="shared" si="408"/>
        <v>99</v>
      </c>
      <c r="AR849">
        <f t="shared" si="409"/>
        <v>85</v>
      </c>
      <c r="AS849">
        <f t="shared" si="410"/>
        <v>112</v>
      </c>
      <c r="AT849">
        <f t="shared" si="411"/>
        <v>102</v>
      </c>
      <c r="AU849">
        <f t="shared" si="412"/>
        <v>70</v>
      </c>
      <c r="AV849">
        <f t="shared" si="413"/>
        <v>63</v>
      </c>
      <c r="AW849">
        <f t="shared" si="414"/>
        <v>49</v>
      </c>
      <c r="AX849">
        <f t="shared" si="415"/>
        <v>155</v>
      </c>
      <c r="AY849">
        <f t="shared" si="416"/>
        <v>141</v>
      </c>
      <c r="AZ849">
        <f t="shared" si="417"/>
        <v>109</v>
      </c>
      <c r="BA849">
        <f t="shared" si="418"/>
        <v>98</v>
      </c>
      <c r="BB849">
        <f t="shared" si="419"/>
        <v>84</v>
      </c>
    </row>
    <row r="850" spans="1:54" x14ac:dyDescent="0.15">
      <c r="A850">
        <v>561</v>
      </c>
      <c r="B850" t="s">
        <v>2971</v>
      </c>
      <c r="C850">
        <v>666</v>
      </c>
      <c r="D850">
        <v>0</v>
      </c>
      <c r="E850" t="s">
        <v>2972</v>
      </c>
      <c r="F850" t="s">
        <v>2992</v>
      </c>
      <c r="G850" t="s">
        <v>2972</v>
      </c>
      <c r="H850" t="s">
        <v>2993</v>
      </c>
      <c r="J850" t="s">
        <v>2975</v>
      </c>
      <c r="K850">
        <v>17</v>
      </c>
      <c r="L850">
        <v>1.2</v>
      </c>
      <c r="M850" t="s">
        <v>90</v>
      </c>
      <c r="N850" t="s">
        <v>57</v>
      </c>
      <c r="O850" t="s">
        <v>91</v>
      </c>
      <c r="P850" t="s">
        <v>100</v>
      </c>
      <c r="Q850" t="s">
        <v>236</v>
      </c>
      <c r="R850">
        <v>9</v>
      </c>
      <c r="S850">
        <v>80</v>
      </c>
      <c r="T850">
        <v>52</v>
      </c>
      <c r="U850">
        <v>50</v>
      </c>
      <c r="V850">
        <v>90</v>
      </c>
      <c r="W850">
        <v>50</v>
      </c>
      <c r="X850">
        <v>89</v>
      </c>
      <c r="Y850">
        <f t="shared" si="390"/>
        <v>187</v>
      </c>
      <c r="Z850">
        <f t="shared" si="391"/>
        <v>187</v>
      </c>
      <c r="AA850">
        <f t="shared" si="392"/>
        <v>155</v>
      </c>
      <c r="AB850">
        <f t="shared" si="393"/>
        <v>155</v>
      </c>
      <c r="AC850">
        <f t="shared" si="394"/>
        <v>140</v>
      </c>
      <c r="AD850">
        <f t="shared" si="395"/>
        <v>114</v>
      </c>
      <c r="AE850">
        <f t="shared" si="396"/>
        <v>104</v>
      </c>
      <c r="AF850">
        <f t="shared" si="397"/>
        <v>72</v>
      </c>
      <c r="AG850">
        <f t="shared" si="398"/>
        <v>64</v>
      </c>
      <c r="AH850">
        <f t="shared" si="399"/>
        <v>51</v>
      </c>
      <c r="AI850">
        <f t="shared" si="400"/>
        <v>112</v>
      </c>
      <c r="AJ850">
        <f t="shared" si="401"/>
        <v>102</v>
      </c>
      <c r="AK850">
        <f t="shared" si="402"/>
        <v>70</v>
      </c>
      <c r="AL850">
        <f t="shared" si="403"/>
        <v>63</v>
      </c>
      <c r="AM850">
        <f t="shared" si="404"/>
        <v>49</v>
      </c>
      <c r="AN850">
        <f t="shared" si="405"/>
        <v>156</v>
      </c>
      <c r="AO850">
        <f t="shared" si="406"/>
        <v>142</v>
      </c>
      <c r="AP850">
        <f t="shared" si="407"/>
        <v>110</v>
      </c>
      <c r="AQ850">
        <f t="shared" si="408"/>
        <v>99</v>
      </c>
      <c r="AR850">
        <f t="shared" si="409"/>
        <v>85</v>
      </c>
      <c r="AS850">
        <f t="shared" si="410"/>
        <v>112</v>
      </c>
      <c r="AT850">
        <f t="shared" si="411"/>
        <v>102</v>
      </c>
      <c r="AU850">
        <f t="shared" si="412"/>
        <v>70</v>
      </c>
      <c r="AV850">
        <f t="shared" si="413"/>
        <v>63</v>
      </c>
      <c r="AW850">
        <f t="shared" si="414"/>
        <v>49</v>
      </c>
      <c r="AX850">
        <f t="shared" si="415"/>
        <v>155</v>
      </c>
      <c r="AY850">
        <f t="shared" si="416"/>
        <v>141</v>
      </c>
      <c r="AZ850">
        <f t="shared" si="417"/>
        <v>109</v>
      </c>
      <c r="BA850">
        <f t="shared" si="418"/>
        <v>98</v>
      </c>
      <c r="BB850">
        <f t="shared" si="419"/>
        <v>84</v>
      </c>
    </row>
    <row r="851" spans="1:54" x14ac:dyDescent="0.15">
      <c r="A851">
        <v>562</v>
      </c>
      <c r="B851" t="s">
        <v>2971</v>
      </c>
      <c r="C851">
        <v>666</v>
      </c>
      <c r="D851">
        <v>0</v>
      </c>
      <c r="E851" t="s">
        <v>2972</v>
      </c>
      <c r="F851" t="s">
        <v>2994</v>
      </c>
      <c r="G851" t="s">
        <v>2972</v>
      </c>
      <c r="H851" t="s">
        <v>2995</v>
      </c>
      <c r="J851" t="s">
        <v>2975</v>
      </c>
      <c r="K851">
        <v>17</v>
      </c>
      <c r="L851">
        <v>1.2</v>
      </c>
      <c r="M851" t="s">
        <v>90</v>
      </c>
      <c r="N851" t="s">
        <v>57</v>
      </c>
      <c r="O851" t="s">
        <v>91</v>
      </c>
      <c r="P851" t="s">
        <v>100</v>
      </c>
      <c r="Q851" t="s">
        <v>236</v>
      </c>
      <c r="R851">
        <v>9</v>
      </c>
      <c r="S851">
        <v>80</v>
      </c>
      <c r="T851">
        <v>52</v>
      </c>
      <c r="U851">
        <v>50</v>
      </c>
      <c r="V851">
        <v>90</v>
      </c>
      <c r="W851">
        <v>50</v>
      </c>
      <c r="X851">
        <v>89</v>
      </c>
      <c r="Y851">
        <f t="shared" si="390"/>
        <v>187</v>
      </c>
      <c r="Z851">
        <f t="shared" si="391"/>
        <v>187</v>
      </c>
      <c r="AA851">
        <f t="shared" si="392"/>
        <v>155</v>
      </c>
      <c r="AB851">
        <f t="shared" si="393"/>
        <v>155</v>
      </c>
      <c r="AC851">
        <f t="shared" si="394"/>
        <v>140</v>
      </c>
      <c r="AD851">
        <f t="shared" si="395"/>
        <v>114</v>
      </c>
      <c r="AE851">
        <f t="shared" si="396"/>
        <v>104</v>
      </c>
      <c r="AF851">
        <f t="shared" si="397"/>
        <v>72</v>
      </c>
      <c r="AG851">
        <f t="shared" si="398"/>
        <v>64</v>
      </c>
      <c r="AH851">
        <f t="shared" si="399"/>
        <v>51</v>
      </c>
      <c r="AI851">
        <f t="shared" si="400"/>
        <v>112</v>
      </c>
      <c r="AJ851">
        <f t="shared" si="401"/>
        <v>102</v>
      </c>
      <c r="AK851">
        <f t="shared" si="402"/>
        <v>70</v>
      </c>
      <c r="AL851">
        <f t="shared" si="403"/>
        <v>63</v>
      </c>
      <c r="AM851">
        <f t="shared" si="404"/>
        <v>49</v>
      </c>
      <c r="AN851">
        <f t="shared" si="405"/>
        <v>156</v>
      </c>
      <c r="AO851">
        <f t="shared" si="406"/>
        <v>142</v>
      </c>
      <c r="AP851">
        <f t="shared" si="407"/>
        <v>110</v>
      </c>
      <c r="AQ851">
        <f t="shared" si="408"/>
        <v>99</v>
      </c>
      <c r="AR851">
        <f t="shared" si="409"/>
        <v>85</v>
      </c>
      <c r="AS851">
        <f t="shared" si="410"/>
        <v>112</v>
      </c>
      <c r="AT851">
        <f t="shared" si="411"/>
        <v>102</v>
      </c>
      <c r="AU851">
        <f t="shared" si="412"/>
        <v>70</v>
      </c>
      <c r="AV851">
        <f t="shared" si="413"/>
        <v>63</v>
      </c>
      <c r="AW851">
        <f t="shared" si="414"/>
        <v>49</v>
      </c>
      <c r="AX851">
        <f t="shared" si="415"/>
        <v>155</v>
      </c>
      <c r="AY851">
        <f t="shared" si="416"/>
        <v>141</v>
      </c>
      <c r="AZ851">
        <f t="shared" si="417"/>
        <v>109</v>
      </c>
      <c r="BA851">
        <f t="shared" si="418"/>
        <v>98</v>
      </c>
      <c r="BB851">
        <f t="shared" si="419"/>
        <v>84</v>
      </c>
    </row>
    <row r="852" spans="1:54" x14ac:dyDescent="0.15">
      <c r="A852">
        <v>563</v>
      </c>
      <c r="B852" t="s">
        <v>2971</v>
      </c>
      <c r="C852">
        <v>666</v>
      </c>
      <c r="D852">
        <v>0</v>
      </c>
      <c r="E852" t="s">
        <v>2972</v>
      </c>
      <c r="F852" t="s">
        <v>2996</v>
      </c>
      <c r="G852" t="s">
        <v>2972</v>
      </c>
      <c r="H852" t="s">
        <v>2997</v>
      </c>
      <c r="J852" t="s">
        <v>2975</v>
      </c>
      <c r="K852">
        <v>17</v>
      </c>
      <c r="L852">
        <v>1.2</v>
      </c>
      <c r="M852" t="s">
        <v>90</v>
      </c>
      <c r="N852" t="s">
        <v>57</v>
      </c>
      <c r="O852" t="s">
        <v>91</v>
      </c>
      <c r="P852" t="s">
        <v>100</v>
      </c>
      <c r="Q852" t="s">
        <v>236</v>
      </c>
      <c r="R852">
        <v>9</v>
      </c>
      <c r="S852">
        <v>80</v>
      </c>
      <c r="T852">
        <v>52</v>
      </c>
      <c r="U852">
        <v>50</v>
      </c>
      <c r="V852">
        <v>90</v>
      </c>
      <c r="W852">
        <v>50</v>
      </c>
      <c r="X852">
        <v>89</v>
      </c>
      <c r="Y852">
        <f t="shared" si="390"/>
        <v>187</v>
      </c>
      <c r="Z852">
        <f t="shared" si="391"/>
        <v>187</v>
      </c>
      <c r="AA852">
        <f t="shared" si="392"/>
        <v>155</v>
      </c>
      <c r="AB852">
        <f t="shared" si="393"/>
        <v>155</v>
      </c>
      <c r="AC852">
        <f t="shared" si="394"/>
        <v>140</v>
      </c>
      <c r="AD852">
        <f t="shared" si="395"/>
        <v>114</v>
      </c>
      <c r="AE852">
        <f t="shared" si="396"/>
        <v>104</v>
      </c>
      <c r="AF852">
        <f t="shared" si="397"/>
        <v>72</v>
      </c>
      <c r="AG852">
        <f t="shared" si="398"/>
        <v>64</v>
      </c>
      <c r="AH852">
        <f t="shared" si="399"/>
        <v>51</v>
      </c>
      <c r="AI852">
        <f t="shared" si="400"/>
        <v>112</v>
      </c>
      <c r="AJ852">
        <f t="shared" si="401"/>
        <v>102</v>
      </c>
      <c r="AK852">
        <f t="shared" si="402"/>
        <v>70</v>
      </c>
      <c r="AL852">
        <f t="shared" si="403"/>
        <v>63</v>
      </c>
      <c r="AM852">
        <f t="shared" si="404"/>
        <v>49</v>
      </c>
      <c r="AN852">
        <f t="shared" si="405"/>
        <v>156</v>
      </c>
      <c r="AO852">
        <f t="shared" si="406"/>
        <v>142</v>
      </c>
      <c r="AP852">
        <f t="shared" si="407"/>
        <v>110</v>
      </c>
      <c r="AQ852">
        <f t="shared" si="408"/>
        <v>99</v>
      </c>
      <c r="AR852">
        <f t="shared" si="409"/>
        <v>85</v>
      </c>
      <c r="AS852">
        <f t="shared" si="410"/>
        <v>112</v>
      </c>
      <c r="AT852">
        <f t="shared" si="411"/>
        <v>102</v>
      </c>
      <c r="AU852">
        <f t="shared" si="412"/>
        <v>70</v>
      </c>
      <c r="AV852">
        <f t="shared" si="413"/>
        <v>63</v>
      </c>
      <c r="AW852">
        <f t="shared" si="414"/>
        <v>49</v>
      </c>
      <c r="AX852">
        <f t="shared" si="415"/>
        <v>155</v>
      </c>
      <c r="AY852">
        <f t="shared" si="416"/>
        <v>141</v>
      </c>
      <c r="AZ852">
        <f t="shared" si="417"/>
        <v>109</v>
      </c>
      <c r="BA852">
        <f t="shared" si="418"/>
        <v>98</v>
      </c>
      <c r="BB852">
        <f t="shared" si="419"/>
        <v>84</v>
      </c>
    </row>
    <row r="853" spans="1:54" x14ac:dyDescent="0.15">
      <c r="A853">
        <v>564</v>
      </c>
      <c r="B853" t="s">
        <v>2971</v>
      </c>
      <c r="C853">
        <v>666</v>
      </c>
      <c r="D853">
        <v>0</v>
      </c>
      <c r="E853" t="s">
        <v>2972</v>
      </c>
      <c r="F853" t="s">
        <v>2998</v>
      </c>
      <c r="G853" t="s">
        <v>2972</v>
      </c>
      <c r="H853" t="s">
        <v>2999</v>
      </c>
      <c r="J853" t="s">
        <v>2975</v>
      </c>
      <c r="K853">
        <v>17</v>
      </c>
      <c r="L853">
        <v>1.2</v>
      </c>
      <c r="M853" t="s">
        <v>90</v>
      </c>
      <c r="N853" t="s">
        <v>57</v>
      </c>
      <c r="O853" t="s">
        <v>91</v>
      </c>
      <c r="P853" t="s">
        <v>100</v>
      </c>
      <c r="Q853" t="s">
        <v>236</v>
      </c>
      <c r="R853">
        <v>9</v>
      </c>
      <c r="S853">
        <v>80</v>
      </c>
      <c r="T853">
        <v>52</v>
      </c>
      <c r="U853">
        <v>50</v>
      </c>
      <c r="V853">
        <v>90</v>
      </c>
      <c r="W853">
        <v>50</v>
      </c>
      <c r="X853">
        <v>89</v>
      </c>
      <c r="Y853">
        <f t="shared" si="390"/>
        <v>187</v>
      </c>
      <c r="Z853">
        <f t="shared" si="391"/>
        <v>187</v>
      </c>
      <c r="AA853">
        <f t="shared" si="392"/>
        <v>155</v>
      </c>
      <c r="AB853">
        <f t="shared" si="393"/>
        <v>155</v>
      </c>
      <c r="AC853">
        <f t="shared" si="394"/>
        <v>140</v>
      </c>
      <c r="AD853">
        <f t="shared" si="395"/>
        <v>114</v>
      </c>
      <c r="AE853">
        <f t="shared" si="396"/>
        <v>104</v>
      </c>
      <c r="AF853">
        <f t="shared" si="397"/>
        <v>72</v>
      </c>
      <c r="AG853">
        <f t="shared" si="398"/>
        <v>64</v>
      </c>
      <c r="AH853">
        <f t="shared" si="399"/>
        <v>51</v>
      </c>
      <c r="AI853">
        <f t="shared" si="400"/>
        <v>112</v>
      </c>
      <c r="AJ853">
        <f t="shared" si="401"/>
        <v>102</v>
      </c>
      <c r="AK853">
        <f t="shared" si="402"/>
        <v>70</v>
      </c>
      <c r="AL853">
        <f t="shared" si="403"/>
        <v>63</v>
      </c>
      <c r="AM853">
        <f t="shared" si="404"/>
        <v>49</v>
      </c>
      <c r="AN853">
        <f t="shared" si="405"/>
        <v>156</v>
      </c>
      <c r="AO853">
        <f t="shared" si="406"/>
        <v>142</v>
      </c>
      <c r="AP853">
        <f t="shared" si="407"/>
        <v>110</v>
      </c>
      <c r="AQ853">
        <f t="shared" si="408"/>
        <v>99</v>
      </c>
      <c r="AR853">
        <f t="shared" si="409"/>
        <v>85</v>
      </c>
      <c r="AS853">
        <f t="shared" si="410"/>
        <v>112</v>
      </c>
      <c r="AT853">
        <f t="shared" si="411"/>
        <v>102</v>
      </c>
      <c r="AU853">
        <f t="shared" si="412"/>
        <v>70</v>
      </c>
      <c r="AV853">
        <f t="shared" si="413"/>
        <v>63</v>
      </c>
      <c r="AW853">
        <f t="shared" si="414"/>
        <v>49</v>
      </c>
      <c r="AX853">
        <f t="shared" si="415"/>
        <v>155</v>
      </c>
      <c r="AY853">
        <f t="shared" si="416"/>
        <v>141</v>
      </c>
      <c r="AZ853">
        <f t="shared" si="417"/>
        <v>109</v>
      </c>
      <c r="BA853">
        <f t="shared" si="418"/>
        <v>98</v>
      </c>
      <c r="BB853">
        <f t="shared" si="419"/>
        <v>84</v>
      </c>
    </row>
    <row r="854" spans="1:54" x14ac:dyDescent="0.15">
      <c r="A854">
        <v>565</v>
      </c>
      <c r="B854" t="s">
        <v>2971</v>
      </c>
      <c r="C854">
        <v>666</v>
      </c>
      <c r="D854">
        <v>0</v>
      </c>
      <c r="E854" t="s">
        <v>2972</v>
      </c>
      <c r="F854" t="s">
        <v>3000</v>
      </c>
      <c r="G854" t="s">
        <v>2972</v>
      </c>
      <c r="H854" t="s">
        <v>3001</v>
      </c>
      <c r="J854" t="s">
        <v>2975</v>
      </c>
      <c r="K854">
        <v>17</v>
      </c>
      <c r="L854">
        <v>1.2</v>
      </c>
      <c r="M854" t="s">
        <v>90</v>
      </c>
      <c r="N854" t="s">
        <v>57</v>
      </c>
      <c r="O854" t="s">
        <v>91</v>
      </c>
      <c r="P854" t="s">
        <v>100</v>
      </c>
      <c r="Q854" t="s">
        <v>236</v>
      </c>
      <c r="R854">
        <v>9</v>
      </c>
      <c r="S854">
        <v>80</v>
      </c>
      <c r="T854">
        <v>52</v>
      </c>
      <c r="U854">
        <v>50</v>
      </c>
      <c r="V854">
        <v>90</v>
      </c>
      <c r="W854">
        <v>50</v>
      </c>
      <c r="X854">
        <v>89</v>
      </c>
      <c r="Y854">
        <f t="shared" si="390"/>
        <v>187</v>
      </c>
      <c r="Z854">
        <f t="shared" si="391"/>
        <v>187</v>
      </c>
      <c r="AA854">
        <f t="shared" si="392"/>
        <v>155</v>
      </c>
      <c r="AB854">
        <f t="shared" si="393"/>
        <v>155</v>
      </c>
      <c r="AC854">
        <f t="shared" si="394"/>
        <v>140</v>
      </c>
      <c r="AD854">
        <f t="shared" si="395"/>
        <v>114</v>
      </c>
      <c r="AE854">
        <f t="shared" si="396"/>
        <v>104</v>
      </c>
      <c r="AF854">
        <f t="shared" si="397"/>
        <v>72</v>
      </c>
      <c r="AG854">
        <f t="shared" si="398"/>
        <v>64</v>
      </c>
      <c r="AH854">
        <f t="shared" si="399"/>
        <v>51</v>
      </c>
      <c r="AI854">
        <f t="shared" si="400"/>
        <v>112</v>
      </c>
      <c r="AJ854">
        <f t="shared" si="401"/>
        <v>102</v>
      </c>
      <c r="AK854">
        <f t="shared" si="402"/>
        <v>70</v>
      </c>
      <c r="AL854">
        <f t="shared" si="403"/>
        <v>63</v>
      </c>
      <c r="AM854">
        <f t="shared" si="404"/>
        <v>49</v>
      </c>
      <c r="AN854">
        <f t="shared" si="405"/>
        <v>156</v>
      </c>
      <c r="AO854">
        <f t="shared" si="406"/>
        <v>142</v>
      </c>
      <c r="AP854">
        <f t="shared" si="407"/>
        <v>110</v>
      </c>
      <c r="AQ854">
        <f t="shared" si="408"/>
        <v>99</v>
      </c>
      <c r="AR854">
        <f t="shared" si="409"/>
        <v>85</v>
      </c>
      <c r="AS854">
        <f t="shared" si="410"/>
        <v>112</v>
      </c>
      <c r="AT854">
        <f t="shared" si="411"/>
        <v>102</v>
      </c>
      <c r="AU854">
        <f t="shared" si="412"/>
        <v>70</v>
      </c>
      <c r="AV854">
        <f t="shared" si="413"/>
        <v>63</v>
      </c>
      <c r="AW854">
        <f t="shared" si="414"/>
        <v>49</v>
      </c>
      <c r="AX854">
        <f t="shared" si="415"/>
        <v>155</v>
      </c>
      <c r="AY854">
        <f t="shared" si="416"/>
        <v>141</v>
      </c>
      <c r="AZ854">
        <f t="shared" si="417"/>
        <v>109</v>
      </c>
      <c r="BA854">
        <f t="shared" si="418"/>
        <v>98</v>
      </c>
      <c r="BB854">
        <f t="shared" si="419"/>
        <v>84</v>
      </c>
    </row>
    <row r="855" spans="1:54" x14ac:dyDescent="0.15">
      <c r="A855">
        <v>566</v>
      </c>
      <c r="B855" t="s">
        <v>2971</v>
      </c>
      <c r="C855">
        <v>666</v>
      </c>
      <c r="D855">
        <v>0</v>
      </c>
      <c r="E855" t="s">
        <v>2972</v>
      </c>
      <c r="F855" t="s">
        <v>3002</v>
      </c>
      <c r="G855" t="s">
        <v>2972</v>
      </c>
      <c r="H855" t="s">
        <v>3003</v>
      </c>
      <c r="J855" t="s">
        <v>2975</v>
      </c>
      <c r="K855">
        <v>17</v>
      </c>
      <c r="L855">
        <v>1.2</v>
      </c>
      <c r="M855" t="s">
        <v>90</v>
      </c>
      <c r="N855" t="s">
        <v>57</v>
      </c>
      <c r="O855" t="s">
        <v>91</v>
      </c>
      <c r="P855" t="s">
        <v>100</v>
      </c>
      <c r="Q855" t="s">
        <v>236</v>
      </c>
      <c r="R855">
        <v>9</v>
      </c>
      <c r="S855">
        <v>80</v>
      </c>
      <c r="T855">
        <v>52</v>
      </c>
      <c r="U855">
        <v>50</v>
      </c>
      <c r="V855">
        <v>90</v>
      </c>
      <c r="W855">
        <v>50</v>
      </c>
      <c r="X855">
        <v>89</v>
      </c>
      <c r="Y855">
        <f t="shared" si="390"/>
        <v>187</v>
      </c>
      <c r="Z855">
        <f t="shared" si="391"/>
        <v>187</v>
      </c>
      <c r="AA855">
        <f t="shared" si="392"/>
        <v>155</v>
      </c>
      <c r="AB855">
        <f t="shared" si="393"/>
        <v>155</v>
      </c>
      <c r="AC855">
        <f t="shared" si="394"/>
        <v>140</v>
      </c>
      <c r="AD855">
        <f t="shared" si="395"/>
        <v>114</v>
      </c>
      <c r="AE855">
        <f t="shared" si="396"/>
        <v>104</v>
      </c>
      <c r="AF855">
        <f t="shared" si="397"/>
        <v>72</v>
      </c>
      <c r="AG855">
        <f t="shared" si="398"/>
        <v>64</v>
      </c>
      <c r="AH855">
        <f t="shared" si="399"/>
        <v>51</v>
      </c>
      <c r="AI855">
        <f t="shared" si="400"/>
        <v>112</v>
      </c>
      <c r="AJ855">
        <f t="shared" si="401"/>
        <v>102</v>
      </c>
      <c r="AK855">
        <f t="shared" si="402"/>
        <v>70</v>
      </c>
      <c r="AL855">
        <f t="shared" si="403"/>
        <v>63</v>
      </c>
      <c r="AM855">
        <f t="shared" si="404"/>
        <v>49</v>
      </c>
      <c r="AN855">
        <f t="shared" si="405"/>
        <v>156</v>
      </c>
      <c r="AO855">
        <f t="shared" si="406"/>
        <v>142</v>
      </c>
      <c r="AP855">
        <f t="shared" si="407"/>
        <v>110</v>
      </c>
      <c r="AQ855">
        <f t="shared" si="408"/>
        <v>99</v>
      </c>
      <c r="AR855">
        <f t="shared" si="409"/>
        <v>85</v>
      </c>
      <c r="AS855">
        <f t="shared" si="410"/>
        <v>112</v>
      </c>
      <c r="AT855">
        <f t="shared" si="411"/>
        <v>102</v>
      </c>
      <c r="AU855">
        <f t="shared" si="412"/>
        <v>70</v>
      </c>
      <c r="AV855">
        <f t="shared" si="413"/>
        <v>63</v>
      </c>
      <c r="AW855">
        <f t="shared" si="414"/>
        <v>49</v>
      </c>
      <c r="AX855">
        <f t="shared" si="415"/>
        <v>155</v>
      </c>
      <c r="AY855">
        <f t="shared" si="416"/>
        <v>141</v>
      </c>
      <c r="AZ855">
        <f t="shared" si="417"/>
        <v>109</v>
      </c>
      <c r="BA855">
        <f t="shared" si="418"/>
        <v>98</v>
      </c>
      <c r="BB855">
        <f t="shared" si="419"/>
        <v>84</v>
      </c>
    </row>
    <row r="856" spans="1:54" x14ac:dyDescent="0.15">
      <c r="A856">
        <v>567</v>
      </c>
      <c r="B856" t="s">
        <v>2971</v>
      </c>
      <c r="C856">
        <v>666</v>
      </c>
      <c r="D856">
        <v>0</v>
      </c>
      <c r="E856" t="s">
        <v>2972</v>
      </c>
      <c r="F856" t="s">
        <v>3004</v>
      </c>
      <c r="G856" t="s">
        <v>2972</v>
      </c>
      <c r="H856" t="s">
        <v>3005</v>
      </c>
      <c r="J856" t="s">
        <v>2975</v>
      </c>
      <c r="K856">
        <v>17</v>
      </c>
      <c r="L856">
        <v>1.2</v>
      </c>
      <c r="M856" t="s">
        <v>90</v>
      </c>
      <c r="N856" t="s">
        <v>57</v>
      </c>
      <c r="O856" t="s">
        <v>91</v>
      </c>
      <c r="P856" t="s">
        <v>100</v>
      </c>
      <c r="Q856" t="s">
        <v>236</v>
      </c>
      <c r="R856">
        <v>9</v>
      </c>
      <c r="S856">
        <v>80</v>
      </c>
      <c r="T856">
        <v>52</v>
      </c>
      <c r="U856">
        <v>50</v>
      </c>
      <c r="V856">
        <v>90</v>
      </c>
      <c r="W856">
        <v>50</v>
      </c>
      <c r="X856">
        <v>89</v>
      </c>
      <c r="Y856">
        <f t="shared" si="390"/>
        <v>187</v>
      </c>
      <c r="Z856">
        <f t="shared" si="391"/>
        <v>187</v>
      </c>
      <c r="AA856">
        <f t="shared" si="392"/>
        <v>155</v>
      </c>
      <c r="AB856">
        <f t="shared" si="393"/>
        <v>155</v>
      </c>
      <c r="AC856">
        <f t="shared" si="394"/>
        <v>140</v>
      </c>
      <c r="AD856">
        <f t="shared" si="395"/>
        <v>114</v>
      </c>
      <c r="AE856">
        <f t="shared" si="396"/>
        <v>104</v>
      </c>
      <c r="AF856">
        <f t="shared" si="397"/>
        <v>72</v>
      </c>
      <c r="AG856">
        <f t="shared" si="398"/>
        <v>64</v>
      </c>
      <c r="AH856">
        <f t="shared" si="399"/>
        <v>51</v>
      </c>
      <c r="AI856">
        <f t="shared" si="400"/>
        <v>112</v>
      </c>
      <c r="AJ856">
        <f t="shared" si="401"/>
        <v>102</v>
      </c>
      <c r="AK856">
        <f t="shared" si="402"/>
        <v>70</v>
      </c>
      <c r="AL856">
        <f t="shared" si="403"/>
        <v>63</v>
      </c>
      <c r="AM856">
        <f t="shared" si="404"/>
        <v>49</v>
      </c>
      <c r="AN856">
        <f t="shared" si="405"/>
        <v>156</v>
      </c>
      <c r="AO856">
        <f t="shared" si="406"/>
        <v>142</v>
      </c>
      <c r="AP856">
        <f t="shared" si="407"/>
        <v>110</v>
      </c>
      <c r="AQ856">
        <f t="shared" si="408"/>
        <v>99</v>
      </c>
      <c r="AR856">
        <f t="shared" si="409"/>
        <v>85</v>
      </c>
      <c r="AS856">
        <f t="shared" si="410"/>
        <v>112</v>
      </c>
      <c r="AT856">
        <f t="shared" si="411"/>
        <v>102</v>
      </c>
      <c r="AU856">
        <f t="shared" si="412"/>
        <v>70</v>
      </c>
      <c r="AV856">
        <f t="shared" si="413"/>
        <v>63</v>
      </c>
      <c r="AW856">
        <f t="shared" si="414"/>
        <v>49</v>
      </c>
      <c r="AX856">
        <f t="shared" si="415"/>
        <v>155</v>
      </c>
      <c r="AY856">
        <f t="shared" si="416"/>
        <v>141</v>
      </c>
      <c r="AZ856">
        <f t="shared" si="417"/>
        <v>109</v>
      </c>
      <c r="BA856">
        <f t="shared" si="418"/>
        <v>98</v>
      </c>
      <c r="BB856">
        <f t="shared" si="419"/>
        <v>84</v>
      </c>
    </row>
    <row r="857" spans="1:54" x14ac:dyDescent="0.15">
      <c r="A857">
        <v>568</v>
      </c>
      <c r="B857" t="s">
        <v>2971</v>
      </c>
      <c r="C857">
        <v>666</v>
      </c>
      <c r="D857">
        <v>0</v>
      </c>
      <c r="E857" t="s">
        <v>2972</v>
      </c>
      <c r="F857" t="s">
        <v>3006</v>
      </c>
      <c r="G857" t="s">
        <v>2972</v>
      </c>
      <c r="H857" t="s">
        <v>3007</v>
      </c>
      <c r="J857" t="s">
        <v>2975</v>
      </c>
      <c r="K857">
        <v>17</v>
      </c>
      <c r="L857">
        <v>1.2</v>
      </c>
      <c r="M857" t="s">
        <v>90</v>
      </c>
      <c r="N857" t="s">
        <v>57</v>
      </c>
      <c r="O857" t="s">
        <v>91</v>
      </c>
      <c r="P857" t="s">
        <v>100</v>
      </c>
      <c r="Q857" t="s">
        <v>236</v>
      </c>
      <c r="R857">
        <v>9</v>
      </c>
      <c r="S857">
        <v>80</v>
      </c>
      <c r="T857">
        <v>52</v>
      </c>
      <c r="U857">
        <v>50</v>
      </c>
      <c r="V857">
        <v>90</v>
      </c>
      <c r="W857">
        <v>50</v>
      </c>
      <c r="X857">
        <v>89</v>
      </c>
      <c r="Y857">
        <f t="shared" si="390"/>
        <v>187</v>
      </c>
      <c r="Z857">
        <f t="shared" si="391"/>
        <v>187</v>
      </c>
      <c r="AA857">
        <f t="shared" si="392"/>
        <v>155</v>
      </c>
      <c r="AB857">
        <f t="shared" si="393"/>
        <v>155</v>
      </c>
      <c r="AC857">
        <f t="shared" si="394"/>
        <v>140</v>
      </c>
      <c r="AD857">
        <f t="shared" si="395"/>
        <v>114</v>
      </c>
      <c r="AE857">
        <f t="shared" si="396"/>
        <v>104</v>
      </c>
      <c r="AF857">
        <f t="shared" si="397"/>
        <v>72</v>
      </c>
      <c r="AG857">
        <f t="shared" si="398"/>
        <v>64</v>
      </c>
      <c r="AH857">
        <f t="shared" si="399"/>
        <v>51</v>
      </c>
      <c r="AI857">
        <f t="shared" si="400"/>
        <v>112</v>
      </c>
      <c r="AJ857">
        <f t="shared" si="401"/>
        <v>102</v>
      </c>
      <c r="AK857">
        <f t="shared" si="402"/>
        <v>70</v>
      </c>
      <c r="AL857">
        <f t="shared" si="403"/>
        <v>63</v>
      </c>
      <c r="AM857">
        <f t="shared" si="404"/>
        <v>49</v>
      </c>
      <c r="AN857">
        <f t="shared" si="405"/>
        <v>156</v>
      </c>
      <c r="AO857">
        <f t="shared" si="406"/>
        <v>142</v>
      </c>
      <c r="AP857">
        <f t="shared" si="407"/>
        <v>110</v>
      </c>
      <c r="AQ857">
        <f t="shared" si="408"/>
        <v>99</v>
      </c>
      <c r="AR857">
        <f t="shared" si="409"/>
        <v>85</v>
      </c>
      <c r="AS857">
        <f t="shared" si="410"/>
        <v>112</v>
      </c>
      <c r="AT857">
        <f t="shared" si="411"/>
        <v>102</v>
      </c>
      <c r="AU857">
        <f t="shared" si="412"/>
        <v>70</v>
      </c>
      <c r="AV857">
        <f t="shared" si="413"/>
        <v>63</v>
      </c>
      <c r="AW857">
        <f t="shared" si="414"/>
        <v>49</v>
      </c>
      <c r="AX857">
        <f t="shared" si="415"/>
        <v>155</v>
      </c>
      <c r="AY857">
        <f t="shared" si="416"/>
        <v>141</v>
      </c>
      <c r="AZ857">
        <f t="shared" si="417"/>
        <v>109</v>
      </c>
      <c r="BA857">
        <f t="shared" si="418"/>
        <v>98</v>
      </c>
      <c r="BB857">
        <f t="shared" si="419"/>
        <v>84</v>
      </c>
    </row>
    <row r="858" spans="1:54" x14ac:dyDescent="0.15">
      <c r="A858">
        <v>569</v>
      </c>
      <c r="B858" t="s">
        <v>2971</v>
      </c>
      <c r="C858">
        <v>666</v>
      </c>
      <c r="D858">
        <v>0</v>
      </c>
      <c r="E858" t="s">
        <v>2972</v>
      </c>
      <c r="F858" t="s">
        <v>3008</v>
      </c>
      <c r="G858" t="s">
        <v>2972</v>
      </c>
      <c r="H858" t="s">
        <v>3009</v>
      </c>
      <c r="J858" t="s">
        <v>2975</v>
      </c>
      <c r="K858">
        <v>17</v>
      </c>
      <c r="L858">
        <v>1.2</v>
      </c>
      <c r="M858" t="s">
        <v>90</v>
      </c>
      <c r="N858" t="s">
        <v>57</v>
      </c>
      <c r="O858" t="s">
        <v>91</v>
      </c>
      <c r="P858" t="s">
        <v>100</v>
      </c>
      <c r="Q858" t="s">
        <v>236</v>
      </c>
      <c r="R858">
        <v>9</v>
      </c>
      <c r="S858">
        <v>80</v>
      </c>
      <c r="T858">
        <v>52</v>
      </c>
      <c r="U858">
        <v>50</v>
      </c>
      <c r="V858">
        <v>90</v>
      </c>
      <c r="W858">
        <v>50</v>
      </c>
      <c r="X858">
        <v>89</v>
      </c>
      <c r="Y858">
        <f t="shared" si="390"/>
        <v>187</v>
      </c>
      <c r="Z858">
        <f t="shared" si="391"/>
        <v>187</v>
      </c>
      <c r="AA858">
        <f t="shared" si="392"/>
        <v>155</v>
      </c>
      <c r="AB858">
        <f t="shared" si="393"/>
        <v>155</v>
      </c>
      <c r="AC858">
        <f t="shared" si="394"/>
        <v>140</v>
      </c>
      <c r="AD858">
        <f t="shared" si="395"/>
        <v>114</v>
      </c>
      <c r="AE858">
        <f t="shared" si="396"/>
        <v>104</v>
      </c>
      <c r="AF858">
        <f t="shared" si="397"/>
        <v>72</v>
      </c>
      <c r="AG858">
        <f t="shared" si="398"/>
        <v>64</v>
      </c>
      <c r="AH858">
        <f t="shared" si="399"/>
        <v>51</v>
      </c>
      <c r="AI858">
        <f t="shared" si="400"/>
        <v>112</v>
      </c>
      <c r="AJ858">
        <f t="shared" si="401"/>
        <v>102</v>
      </c>
      <c r="AK858">
        <f t="shared" si="402"/>
        <v>70</v>
      </c>
      <c r="AL858">
        <f t="shared" si="403"/>
        <v>63</v>
      </c>
      <c r="AM858">
        <f t="shared" si="404"/>
        <v>49</v>
      </c>
      <c r="AN858">
        <f t="shared" si="405"/>
        <v>156</v>
      </c>
      <c r="AO858">
        <f t="shared" si="406"/>
        <v>142</v>
      </c>
      <c r="AP858">
        <f t="shared" si="407"/>
        <v>110</v>
      </c>
      <c r="AQ858">
        <f t="shared" si="408"/>
        <v>99</v>
      </c>
      <c r="AR858">
        <f t="shared" si="409"/>
        <v>85</v>
      </c>
      <c r="AS858">
        <f t="shared" si="410"/>
        <v>112</v>
      </c>
      <c r="AT858">
        <f t="shared" si="411"/>
        <v>102</v>
      </c>
      <c r="AU858">
        <f t="shared" si="412"/>
        <v>70</v>
      </c>
      <c r="AV858">
        <f t="shared" si="413"/>
        <v>63</v>
      </c>
      <c r="AW858">
        <f t="shared" si="414"/>
        <v>49</v>
      </c>
      <c r="AX858">
        <f t="shared" si="415"/>
        <v>155</v>
      </c>
      <c r="AY858">
        <f t="shared" si="416"/>
        <v>141</v>
      </c>
      <c r="AZ858">
        <f t="shared" si="417"/>
        <v>109</v>
      </c>
      <c r="BA858">
        <f t="shared" si="418"/>
        <v>98</v>
      </c>
      <c r="BB858">
        <f t="shared" si="419"/>
        <v>84</v>
      </c>
    </row>
    <row r="859" spans="1:54" x14ac:dyDescent="0.15">
      <c r="A859">
        <v>570</v>
      </c>
      <c r="B859" t="s">
        <v>2971</v>
      </c>
      <c r="C859">
        <v>666</v>
      </c>
      <c r="D859">
        <v>0</v>
      </c>
      <c r="E859" t="s">
        <v>2972</v>
      </c>
      <c r="F859" t="s">
        <v>3010</v>
      </c>
      <c r="G859" t="s">
        <v>2972</v>
      </c>
      <c r="H859" t="s">
        <v>3011</v>
      </c>
      <c r="J859" t="s">
        <v>2975</v>
      </c>
      <c r="K859">
        <v>17</v>
      </c>
      <c r="L859">
        <v>1.2</v>
      </c>
      <c r="M859" t="s">
        <v>90</v>
      </c>
      <c r="N859" t="s">
        <v>57</v>
      </c>
      <c r="O859" t="s">
        <v>91</v>
      </c>
      <c r="P859" t="s">
        <v>100</v>
      </c>
      <c r="Q859" t="s">
        <v>236</v>
      </c>
      <c r="R859">
        <v>9</v>
      </c>
      <c r="S859">
        <v>80</v>
      </c>
      <c r="T859">
        <v>52</v>
      </c>
      <c r="U859">
        <v>50</v>
      </c>
      <c r="V859">
        <v>90</v>
      </c>
      <c r="W859">
        <v>50</v>
      </c>
      <c r="X859">
        <v>89</v>
      </c>
      <c r="Y859">
        <f t="shared" si="390"/>
        <v>187</v>
      </c>
      <c r="Z859">
        <f t="shared" si="391"/>
        <v>187</v>
      </c>
      <c r="AA859">
        <f t="shared" si="392"/>
        <v>155</v>
      </c>
      <c r="AB859">
        <f t="shared" si="393"/>
        <v>155</v>
      </c>
      <c r="AC859">
        <f t="shared" si="394"/>
        <v>140</v>
      </c>
      <c r="AD859">
        <f t="shared" si="395"/>
        <v>114</v>
      </c>
      <c r="AE859">
        <f t="shared" si="396"/>
        <v>104</v>
      </c>
      <c r="AF859">
        <f t="shared" si="397"/>
        <v>72</v>
      </c>
      <c r="AG859">
        <f t="shared" si="398"/>
        <v>64</v>
      </c>
      <c r="AH859">
        <f t="shared" si="399"/>
        <v>51</v>
      </c>
      <c r="AI859">
        <f t="shared" si="400"/>
        <v>112</v>
      </c>
      <c r="AJ859">
        <f t="shared" si="401"/>
        <v>102</v>
      </c>
      <c r="AK859">
        <f t="shared" si="402"/>
        <v>70</v>
      </c>
      <c r="AL859">
        <f t="shared" si="403"/>
        <v>63</v>
      </c>
      <c r="AM859">
        <f t="shared" si="404"/>
        <v>49</v>
      </c>
      <c r="AN859">
        <f t="shared" si="405"/>
        <v>156</v>
      </c>
      <c r="AO859">
        <f t="shared" si="406"/>
        <v>142</v>
      </c>
      <c r="AP859">
        <f t="shared" si="407"/>
        <v>110</v>
      </c>
      <c r="AQ859">
        <f t="shared" si="408"/>
        <v>99</v>
      </c>
      <c r="AR859">
        <f t="shared" si="409"/>
        <v>85</v>
      </c>
      <c r="AS859">
        <f t="shared" si="410"/>
        <v>112</v>
      </c>
      <c r="AT859">
        <f t="shared" si="411"/>
        <v>102</v>
      </c>
      <c r="AU859">
        <f t="shared" si="412"/>
        <v>70</v>
      </c>
      <c r="AV859">
        <f t="shared" si="413"/>
        <v>63</v>
      </c>
      <c r="AW859">
        <f t="shared" si="414"/>
        <v>49</v>
      </c>
      <c r="AX859">
        <f t="shared" si="415"/>
        <v>155</v>
      </c>
      <c r="AY859">
        <f t="shared" si="416"/>
        <v>141</v>
      </c>
      <c r="AZ859">
        <f t="shared" si="417"/>
        <v>109</v>
      </c>
      <c r="BA859">
        <f t="shared" si="418"/>
        <v>98</v>
      </c>
      <c r="BB859">
        <f t="shared" si="419"/>
        <v>84</v>
      </c>
    </row>
    <row r="860" spans="1:54" x14ac:dyDescent="0.15">
      <c r="A860">
        <v>571</v>
      </c>
      <c r="B860" t="s">
        <v>2971</v>
      </c>
      <c r="C860">
        <v>666</v>
      </c>
      <c r="D860">
        <v>0</v>
      </c>
      <c r="E860" t="s">
        <v>2972</v>
      </c>
      <c r="F860" t="s">
        <v>3012</v>
      </c>
      <c r="G860" t="s">
        <v>2972</v>
      </c>
      <c r="H860" t="s">
        <v>3013</v>
      </c>
      <c r="J860" t="s">
        <v>2975</v>
      </c>
      <c r="K860">
        <v>17</v>
      </c>
      <c r="L860">
        <v>1.2</v>
      </c>
      <c r="M860" t="s">
        <v>90</v>
      </c>
      <c r="N860" t="s">
        <v>57</v>
      </c>
      <c r="O860" t="s">
        <v>91</v>
      </c>
      <c r="P860" t="s">
        <v>100</v>
      </c>
      <c r="Q860" t="s">
        <v>236</v>
      </c>
      <c r="R860">
        <v>9</v>
      </c>
      <c r="S860">
        <v>80</v>
      </c>
      <c r="T860">
        <v>52</v>
      </c>
      <c r="U860">
        <v>50</v>
      </c>
      <c r="V860">
        <v>90</v>
      </c>
      <c r="W860">
        <v>50</v>
      </c>
      <c r="X860">
        <v>89</v>
      </c>
      <c r="Y860">
        <f t="shared" si="390"/>
        <v>187</v>
      </c>
      <c r="Z860">
        <f t="shared" si="391"/>
        <v>187</v>
      </c>
      <c r="AA860">
        <f t="shared" si="392"/>
        <v>155</v>
      </c>
      <c r="AB860">
        <f t="shared" si="393"/>
        <v>155</v>
      </c>
      <c r="AC860">
        <f t="shared" si="394"/>
        <v>140</v>
      </c>
      <c r="AD860">
        <f t="shared" si="395"/>
        <v>114</v>
      </c>
      <c r="AE860">
        <f t="shared" si="396"/>
        <v>104</v>
      </c>
      <c r="AF860">
        <f t="shared" si="397"/>
        <v>72</v>
      </c>
      <c r="AG860">
        <f t="shared" si="398"/>
        <v>64</v>
      </c>
      <c r="AH860">
        <f t="shared" si="399"/>
        <v>51</v>
      </c>
      <c r="AI860">
        <f t="shared" si="400"/>
        <v>112</v>
      </c>
      <c r="AJ860">
        <f t="shared" si="401"/>
        <v>102</v>
      </c>
      <c r="AK860">
        <f t="shared" si="402"/>
        <v>70</v>
      </c>
      <c r="AL860">
        <f t="shared" si="403"/>
        <v>63</v>
      </c>
      <c r="AM860">
        <f t="shared" si="404"/>
        <v>49</v>
      </c>
      <c r="AN860">
        <f t="shared" si="405"/>
        <v>156</v>
      </c>
      <c r="AO860">
        <f t="shared" si="406"/>
        <v>142</v>
      </c>
      <c r="AP860">
        <f t="shared" si="407"/>
        <v>110</v>
      </c>
      <c r="AQ860">
        <f t="shared" si="408"/>
        <v>99</v>
      </c>
      <c r="AR860">
        <f t="shared" si="409"/>
        <v>85</v>
      </c>
      <c r="AS860">
        <f t="shared" si="410"/>
        <v>112</v>
      </c>
      <c r="AT860">
        <f t="shared" si="411"/>
        <v>102</v>
      </c>
      <c r="AU860">
        <f t="shared" si="412"/>
        <v>70</v>
      </c>
      <c r="AV860">
        <f t="shared" si="413"/>
        <v>63</v>
      </c>
      <c r="AW860">
        <f t="shared" si="414"/>
        <v>49</v>
      </c>
      <c r="AX860">
        <f t="shared" si="415"/>
        <v>155</v>
      </c>
      <c r="AY860">
        <f t="shared" si="416"/>
        <v>141</v>
      </c>
      <c r="AZ860">
        <f t="shared" si="417"/>
        <v>109</v>
      </c>
      <c r="BA860">
        <f t="shared" si="418"/>
        <v>98</v>
      </c>
      <c r="BB860">
        <f t="shared" si="419"/>
        <v>84</v>
      </c>
    </row>
    <row r="861" spans="1:54" x14ac:dyDescent="0.15">
      <c r="A861">
        <v>547</v>
      </c>
      <c r="B861" t="s">
        <v>3014</v>
      </c>
      <c r="C861">
        <v>667</v>
      </c>
      <c r="D861">
        <v>0</v>
      </c>
      <c r="E861" t="s">
        <v>3015</v>
      </c>
      <c r="G861" t="s">
        <v>3015</v>
      </c>
      <c r="H861" t="s">
        <v>3016</v>
      </c>
      <c r="J861" t="s">
        <v>3017</v>
      </c>
      <c r="K861">
        <v>13.5</v>
      </c>
      <c r="L861">
        <v>0.6</v>
      </c>
      <c r="M861" t="s">
        <v>47</v>
      </c>
      <c r="N861" t="s">
        <v>120</v>
      </c>
      <c r="O861" t="s">
        <v>216</v>
      </c>
      <c r="P861" t="s">
        <v>156</v>
      </c>
      <c r="Q861" t="s">
        <v>714</v>
      </c>
      <c r="R861">
        <v>9</v>
      </c>
      <c r="S861">
        <v>62</v>
      </c>
      <c r="T861">
        <v>50</v>
      </c>
      <c r="U861">
        <v>58</v>
      </c>
      <c r="V861">
        <v>73</v>
      </c>
      <c r="W861">
        <v>54</v>
      </c>
      <c r="X861">
        <v>72</v>
      </c>
      <c r="Y861">
        <f t="shared" si="390"/>
        <v>169</v>
      </c>
      <c r="Z861">
        <f t="shared" si="391"/>
        <v>169</v>
      </c>
      <c r="AA861">
        <f t="shared" si="392"/>
        <v>137</v>
      </c>
      <c r="AB861">
        <f t="shared" si="393"/>
        <v>137</v>
      </c>
      <c r="AC861">
        <f t="shared" si="394"/>
        <v>122</v>
      </c>
      <c r="AD861">
        <f t="shared" si="395"/>
        <v>112</v>
      </c>
      <c r="AE861">
        <f t="shared" si="396"/>
        <v>102</v>
      </c>
      <c r="AF861">
        <f t="shared" si="397"/>
        <v>70</v>
      </c>
      <c r="AG861">
        <f t="shared" si="398"/>
        <v>63</v>
      </c>
      <c r="AH861">
        <f t="shared" si="399"/>
        <v>49</v>
      </c>
      <c r="AI861">
        <f t="shared" si="400"/>
        <v>121</v>
      </c>
      <c r="AJ861">
        <f t="shared" si="401"/>
        <v>110</v>
      </c>
      <c r="AK861">
        <f t="shared" si="402"/>
        <v>78</v>
      </c>
      <c r="AL861">
        <f t="shared" si="403"/>
        <v>70</v>
      </c>
      <c r="AM861">
        <f t="shared" si="404"/>
        <v>56</v>
      </c>
      <c r="AN861">
        <f t="shared" si="405"/>
        <v>137</v>
      </c>
      <c r="AO861">
        <f t="shared" si="406"/>
        <v>125</v>
      </c>
      <c r="AP861">
        <f t="shared" si="407"/>
        <v>93</v>
      </c>
      <c r="AQ861">
        <f t="shared" si="408"/>
        <v>83</v>
      </c>
      <c r="AR861">
        <f t="shared" si="409"/>
        <v>70</v>
      </c>
      <c r="AS861">
        <f t="shared" si="410"/>
        <v>116</v>
      </c>
      <c r="AT861">
        <f t="shared" si="411"/>
        <v>106</v>
      </c>
      <c r="AU861">
        <f t="shared" si="412"/>
        <v>74</v>
      </c>
      <c r="AV861">
        <f t="shared" si="413"/>
        <v>66</v>
      </c>
      <c r="AW861">
        <f t="shared" si="414"/>
        <v>53</v>
      </c>
      <c r="AX861">
        <f t="shared" si="415"/>
        <v>136</v>
      </c>
      <c r="AY861">
        <f t="shared" si="416"/>
        <v>124</v>
      </c>
      <c r="AZ861">
        <f t="shared" si="417"/>
        <v>92</v>
      </c>
      <c r="BA861">
        <f t="shared" si="418"/>
        <v>82</v>
      </c>
      <c r="BB861">
        <f t="shared" si="419"/>
        <v>69</v>
      </c>
    </row>
    <row r="862" spans="1:54" x14ac:dyDescent="0.15">
      <c r="A862">
        <v>548</v>
      </c>
      <c r="B862" t="s">
        <v>3018</v>
      </c>
      <c r="C862">
        <v>668</v>
      </c>
      <c r="D862">
        <v>0</v>
      </c>
      <c r="E862" t="s">
        <v>3019</v>
      </c>
      <c r="G862" t="s">
        <v>3019</v>
      </c>
      <c r="H862" t="s">
        <v>3020</v>
      </c>
      <c r="J862" t="s">
        <v>1031</v>
      </c>
      <c r="K862">
        <v>81.5</v>
      </c>
      <c r="L862">
        <v>1.5</v>
      </c>
      <c r="M862" t="s">
        <v>47</v>
      </c>
      <c r="N862" t="s">
        <v>120</v>
      </c>
      <c r="O862" t="s">
        <v>216</v>
      </c>
      <c r="P862" t="s">
        <v>156</v>
      </c>
      <c r="Q862" t="s">
        <v>714</v>
      </c>
      <c r="R862">
        <v>9</v>
      </c>
      <c r="S862">
        <v>86</v>
      </c>
      <c r="T862">
        <v>68</v>
      </c>
      <c r="U862">
        <v>72</v>
      </c>
      <c r="V862">
        <v>109</v>
      </c>
      <c r="W862">
        <v>66</v>
      </c>
      <c r="X862">
        <v>106</v>
      </c>
      <c r="Y862">
        <f t="shared" si="390"/>
        <v>193</v>
      </c>
      <c r="Z862">
        <f t="shared" si="391"/>
        <v>193</v>
      </c>
      <c r="AA862">
        <f t="shared" si="392"/>
        <v>161</v>
      </c>
      <c r="AB862">
        <f t="shared" si="393"/>
        <v>161</v>
      </c>
      <c r="AC862">
        <f t="shared" si="394"/>
        <v>146</v>
      </c>
      <c r="AD862">
        <f t="shared" si="395"/>
        <v>132</v>
      </c>
      <c r="AE862">
        <f t="shared" si="396"/>
        <v>120</v>
      </c>
      <c r="AF862">
        <f t="shared" si="397"/>
        <v>88</v>
      </c>
      <c r="AG862">
        <f t="shared" si="398"/>
        <v>79</v>
      </c>
      <c r="AH862">
        <f t="shared" si="399"/>
        <v>65</v>
      </c>
      <c r="AI862">
        <f t="shared" si="400"/>
        <v>136</v>
      </c>
      <c r="AJ862">
        <f t="shared" si="401"/>
        <v>124</v>
      </c>
      <c r="AK862">
        <f t="shared" si="402"/>
        <v>92</v>
      </c>
      <c r="AL862">
        <f t="shared" si="403"/>
        <v>82</v>
      </c>
      <c r="AM862">
        <f t="shared" si="404"/>
        <v>69</v>
      </c>
      <c r="AN862">
        <f t="shared" si="405"/>
        <v>177</v>
      </c>
      <c r="AO862">
        <f t="shared" si="406"/>
        <v>161</v>
      </c>
      <c r="AP862">
        <f t="shared" si="407"/>
        <v>129</v>
      </c>
      <c r="AQ862">
        <f t="shared" si="408"/>
        <v>116</v>
      </c>
      <c r="AR862">
        <f t="shared" si="409"/>
        <v>102</v>
      </c>
      <c r="AS862">
        <f t="shared" si="410"/>
        <v>129</v>
      </c>
      <c r="AT862">
        <f t="shared" si="411"/>
        <v>118</v>
      </c>
      <c r="AU862">
        <f t="shared" si="412"/>
        <v>86</v>
      </c>
      <c r="AV862">
        <f t="shared" si="413"/>
        <v>77</v>
      </c>
      <c r="AW862">
        <f t="shared" si="414"/>
        <v>63</v>
      </c>
      <c r="AX862">
        <f t="shared" si="415"/>
        <v>173</v>
      </c>
      <c r="AY862">
        <f t="shared" si="416"/>
        <v>158</v>
      </c>
      <c r="AZ862">
        <f t="shared" si="417"/>
        <v>126</v>
      </c>
      <c r="BA862">
        <f t="shared" si="418"/>
        <v>113</v>
      </c>
      <c r="BB862">
        <f t="shared" si="419"/>
        <v>99</v>
      </c>
    </row>
    <row r="863" spans="1:54" x14ac:dyDescent="0.15">
      <c r="A863">
        <v>549</v>
      </c>
      <c r="B863" t="s">
        <v>3018</v>
      </c>
      <c r="C863">
        <v>668</v>
      </c>
      <c r="D863">
        <v>0</v>
      </c>
      <c r="E863" t="s">
        <v>3019</v>
      </c>
      <c r="G863" t="s">
        <v>3019</v>
      </c>
      <c r="H863" t="s">
        <v>3021</v>
      </c>
      <c r="J863" t="s">
        <v>1031</v>
      </c>
      <c r="K863">
        <v>81.5</v>
      </c>
      <c r="L863">
        <v>1.5</v>
      </c>
      <c r="M863" t="s">
        <v>47</v>
      </c>
      <c r="N863" t="s">
        <v>120</v>
      </c>
      <c r="O863" t="s">
        <v>216</v>
      </c>
      <c r="P863" t="s">
        <v>156</v>
      </c>
      <c r="Q863" t="s">
        <v>714</v>
      </c>
      <c r="R863">
        <v>9</v>
      </c>
      <c r="S863">
        <v>86</v>
      </c>
      <c r="T863">
        <v>68</v>
      </c>
      <c r="U863">
        <v>72</v>
      </c>
      <c r="V863">
        <v>109</v>
      </c>
      <c r="W863">
        <v>66</v>
      </c>
      <c r="X863">
        <v>106</v>
      </c>
      <c r="Y863">
        <f t="shared" si="390"/>
        <v>193</v>
      </c>
      <c r="Z863">
        <f t="shared" si="391"/>
        <v>193</v>
      </c>
      <c r="AA863">
        <f t="shared" si="392"/>
        <v>161</v>
      </c>
      <c r="AB863">
        <f t="shared" si="393"/>
        <v>161</v>
      </c>
      <c r="AC863">
        <f t="shared" si="394"/>
        <v>146</v>
      </c>
      <c r="AD863">
        <f t="shared" si="395"/>
        <v>132</v>
      </c>
      <c r="AE863">
        <f t="shared" si="396"/>
        <v>120</v>
      </c>
      <c r="AF863">
        <f t="shared" si="397"/>
        <v>88</v>
      </c>
      <c r="AG863">
        <f t="shared" si="398"/>
        <v>79</v>
      </c>
      <c r="AH863">
        <f t="shared" si="399"/>
        <v>65</v>
      </c>
      <c r="AI863">
        <f t="shared" si="400"/>
        <v>136</v>
      </c>
      <c r="AJ863">
        <f t="shared" si="401"/>
        <v>124</v>
      </c>
      <c r="AK863">
        <f t="shared" si="402"/>
        <v>92</v>
      </c>
      <c r="AL863">
        <f t="shared" si="403"/>
        <v>82</v>
      </c>
      <c r="AM863">
        <f t="shared" si="404"/>
        <v>69</v>
      </c>
      <c r="AN863">
        <f t="shared" si="405"/>
        <v>177</v>
      </c>
      <c r="AO863">
        <f t="shared" si="406"/>
        <v>161</v>
      </c>
      <c r="AP863">
        <f t="shared" si="407"/>
        <v>129</v>
      </c>
      <c r="AQ863">
        <f t="shared" si="408"/>
        <v>116</v>
      </c>
      <c r="AR863">
        <f t="shared" si="409"/>
        <v>102</v>
      </c>
      <c r="AS863">
        <f t="shared" si="410"/>
        <v>129</v>
      </c>
      <c r="AT863">
        <f t="shared" si="411"/>
        <v>118</v>
      </c>
      <c r="AU863">
        <f t="shared" si="412"/>
        <v>86</v>
      </c>
      <c r="AV863">
        <f t="shared" si="413"/>
        <v>77</v>
      </c>
      <c r="AW863">
        <f t="shared" si="414"/>
        <v>63</v>
      </c>
      <c r="AX863">
        <f t="shared" si="415"/>
        <v>173</v>
      </c>
      <c r="AY863">
        <f t="shared" si="416"/>
        <v>158</v>
      </c>
      <c r="AZ863">
        <f t="shared" si="417"/>
        <v>126</v>
      </c>
      <c r="BA863">
        <f t="shared" si="418"/>
        <v>113</v>
      </c>
      <c r="BB863">
        <f t="shared" si="419"/>
        <v>99</v>
      </c>
    </row>
    <row r="864" spans="1:54" x14ac:dyDescent="0.15">
      <c r="A864">
        <v>574</v>
      </c>
      <c r="B864" t="s">
        <v>3022</v>
      </c>
      <c r="C864">
        <v>669</v>
      </c>
      <c r="D864">
        <v>0</v>
      </c>
      <c r="E864" t="s">
        <v>3023</v>
      </c>
      <c r="F864" t="s">
        <v>3024</v>
      </c>
      <c r="G864" t="s">
        <v>3023</v>
      </c>
      <c r="H864" t="s">
        <v>3025</v>
      </c>
      <c r="J864" t="s">
        <v>3026</v>
      </c>
      <c r="K864">
        <v>0.1</v>
      </c>
      <c r="L864">
        <v>0.1</v>
      </c>
      <c r="M864" t="s">
        <v>233</v>
      </c>
      <c r="O864" t="s">
        <v>3027</v>
      </c>
      <c r="P864" t="s">
        <v>3028</v>
      </c>
      <c r="R864">
        <v>9</v>
      </c>
      <c r="S864">
        <v>44</v>
      </c>
      <c r="T864">
        <v>38</v>
      </c>
      <c r="U864">
        <v>39</v>
      </c>
      <c r="V864">
        <v>61</v>
      </c>
      <c r="W864">
        <v>79</v>
      </c>
      <c r="X864">
        <v>42</v>
      </c>
      <c r="Y864">
        <f t="shared" si="390"/>
        <v>151</v>
      </c>
      <c r="Z864">
        <f t="shared" si="391"/>
        <v>151</v>
      </c>
      <c r="AA864">
        <f t="shared" si="392"/>
        <v>119</v>
      </c>
      <c r="AB864">
        <f t="shared" si="393"/>
        <v>119</v>
      </c>
      <c r="AC864">
        <f t="shared" si="394"/>
        <v>104</v>
      </c>
      <c r="AD864">
        <f t="shared" si="395"/>
        <v>99</v>
      </c>
      <c r="AE864">
        <f t="shared" si="396"/>
        <v>90</v>
      </c>
      <c r="AF864">
        <f t="shared" si="397"/>
        <v>58</v>
      </c>
      <c r="AG864">
        <f t="shared" si="398"/>
        <v>52</v>
      </c>
      <c r="AH864">
        <f t="shared" si="399"/>
        <v>38</v>
      </c>
      <c r="AI864">
        <f t="shared" si="400"/>
        <v>100</v>
      </c>
      <c r="AJ864">
        <f t="shared" si="401"/>
        <v>91</v>
      </c>
      <c r="AK864">
        <f t="shared" si="402"/>
        <v>59</v>
      </c>
      <c r="AL864">
        <f t="shared" si="403"/>
        <v>53</v>
      </c>
      <c r="AM864">
        <f t="shared" si="404"/>
        <v>39</v>
      </c>
      <c r="AN864">
        <f t="shared" si="405"/>
        <v>124</v>
      </c>
      <c r="AO864">
        <f t="shared" si="406"/>
        <v>113</v>
      </c>
      <c r="AP864">
        <f t="shared" si="407"/>
        <v>81</v>
      </c>
      <c r="AQ864">
        <f t="shared" si="408"/>
        <v>72</v>
      </c>
      <c r="AR864">
        <f t="shared" si="409"/>
        <v>59</v>
      </c>
      <c r="AS864">
        <f t="shared" si="410"/>
        <v>144</v>
      </c>
      <c r="AT864">
        <f t="shared" si="411"/>
        <v>131</v>
      </c>
      <c r="AU864">
        <f t="shared" si="412"/>
        <v>99</v>
      </c>
      <c r="AV864">
        <f t="shared" si="413"/>
        <v>89</v>
      </c>
      <c r="AW864">
        <f t="shared" si="414"/>
        <v>75</v>
      </c>
      <c r="AX864">
        <f t="shared" si="415"/>
        <v>103</v>
      </c>
      <c r="AY864">
        <f t="shared" si="416"/>
        <v>94</v>
      </c>
      <c r="AZ864">
        <f t="shared" si="417"/>
        <v>62</v>
      </c>
      <c r="BA864">
        <f t="shared" si="418"/>
        <v>55</v>
      </c>
      <c r="BB864">
        <f t="shared" si="419"/>
        <v>42</v>
      </c>
    </row>
    <row r="865" spans="1:54" x14ac:dyDescent="0.15">
      <c r="A865">
        <v>575</v>
      </c>
      <c r="B865" t="s">
        <v>3022</v>
      </c>
      <c r="C865">
        <v>669</v>
      </c>
      <c r="D865">
        <v>0</v>
      </c>
      <c r="E865" t="s">
        <v>3023</v>
      </c>
      <c r="F865" t="s">
        <v>3029</v>
      </c>
      <c r="G865" t="s">
        <v>3023</v>
      </c>
      <c r="H865" t="s">
        <v>3030</v>
      </c>
      <c r="J865" t="s">
        <v>3026</v>
      </c>
      <c r="K865">
        <v>0.1</v>
      </c>
      <c r="L865">
        <v>0.1</v>
      </c>
      <c r="M865" t="s">
        <v>233</v>
      </c>
      <c r="O865" t="s">
        <v>3027</v>
      </c>
      <c r="P865" t="s">
        <v>3028</v>
      </c>
      <c r="R865">
        <v>9</v>
      </c>
      <c r="S865">
        <v>44</v>
      </c>
      <c r="T865">
        <v>38</v>
      </c>
      <c r="U865">
        <v>39</v>
      </c>
      <c r="V865">
        <v>61</v>
      </c>
      <c r="W865">
        <v>79</v>
      </c>
      <c r="X865">
        <v>42</v>
      </c>
      <c r="Y865">
        <f t="shared" si="390"/>
        <v>151</v>
      </c>
      <c r="Z865">
        <f t="shared" si="391"/>
        <v>151</v>
      </c>
      <c r="AA865">
        <f t="shared" si="392"/>
        <v>119</v>
      </c>
      <c r="AB865">
        <f t="shared" si="393"/>
        <v>119</v>
      </c>
      <c r="AC865">
        <f t="shared" si="394"/>
        <v>104</v>
      </c>
      <c r="AD865">
        <f t="shared" si="395"/>
        <v>99</v>
      </c>
      <c r="AE865">
        <f t="shared" si="396"/>
        <v>90</v>
      </c>
      <c r="AF865">
        <f t="shared" si="397"/>
        <v>58</v>
      </c>
      <c r="AG865">
        <f t="shared" si="398"/>
        <v>52</v>
      </c>
      <c r="AH865">
        <f t="shared" si="399"/>
        <v>38</v>
      </c>
      <c r="AI865">
        <f t="shared" si="400"/>
        <v>100</v>
      </c>
      <c r="AJ865">
        <f t="shared" si="401"/>
        <v>91</v>
      </c>
      <c r="AK865">
        <f t="shared" si="402"/>
        <v>59</v>
      </c>
      <c r="AL865">
        <f t="shared" si="403"/>
        <v>53</v>
      </c>
      <c r="AM865">
        <f t="shared" si="404"/>
        <v>39</v>
      </c>
      <c r="AN865">
        <f t="shared" si="405"/>
        <v>124</v>
      </c>
      <c r="AO865">
        <f t="shared" si="406"/>
        <v>113</v>
      </c>
      <c r="AP865">
        <f t="shared" si="407"/>
        <v>81</v>
      </c>
      <c r="AQ865">
        <f t="shared" si="408"/>
        <v>72</v>
      </c>
      <c r="AR865">
        <f t="shared" si="409"/>
        <v>59</v>
      </c>
      <c r="AS865">
        <f t="shared" si="410"/>
        <v>144</v>
      </c>
      <c r="AT865">
        <f t="shared" si="411"/>
        <v>131</v>
      </c>
      <c r="AU865">
        <f t="shared" si="412"/>
        <v>99</v>
      </c>
      <c r="AV865">
        <f t="shared" si="413"/>
        <v>89</v>
      </c>
      <c r="AW865">
        <f t="shared" si="414"/>
        <v>75</v>
      </c>
      <c r="AX865">
        <f t="shared" si="415"/>
        <v>103</v>
      </c>
      <c r="AY865">
        <f t="shared" si="416"/>
        <v>94</v>
      </c>
      <c r="AZ865">
        <f t="shared" si="417"/>
        <v>62</v>
      </c>
      <c r="BA865">
        <f t="shared" si="418"/>
        <v>55</v>
      </c>
      <c r="BB865">
        <f t="shared" si="419"/>
        <v>42</v>
      </c>
    </row>
    <row r="866" spans="1:54" x14ac:dyDescent="0.15">
      <c r="A866">
        <v>576</v>
      </c>
      <c r="B866" t="s">
        <v>3022</v>
      </c>
      <c r="C866">
        <v>669</v>
      </c>
      <c r="D866">
        <v>0</v>
      </c>
      <c r="E866" t="s">
        <v>3023</v>
      </c>
      <c r="F866" t="s">
        <v>3031</v>
      </c>
      <c r="G866" t="s">
        <v>3023</v>
      </c>
      <c r="H866" t="s">
        <v>3032</v>
      </c>
      <c r="J866" t="s">
        <v>3026</v>
      </c>
      <c r="K866">
        <v>0.1</v>
      </c>
      <c r="L866">
        <v>0.1</v>
      </c>
      <c r="M866" t="s">
        <v>233</v>
      </c>
      <c r="O866" t="s">
        <v>3027</v>
      </c>
      <c r="P866" t="s">
        <v>3028</v>
      </c>
      <c r="R866">
        <v>9</v>
      </c>
      <c r="S866">
        <v>44</v>
      </c>
      <c r="T866">
        <v>38</v>
      </c>
      <c r="U866">
        <v>39</v>
      </c>
      <c r="V866">
        <v>61</v>
      </c>
      <c r="W866">
        <v>79</v>
      </c>
      <c r="X866">
        <v>42</v>
      </c>
      <c r="Y866">
        <f t="shared" si="390"/>
        <v>151</v>
      </c>
      <c r="Z866">
        <f t="shared" si="391"/>
        <v>151</v>
      </c>
      <c r="AA866">
        <f t="shared" si="392"/>
        <v>119</v>
      </c>
      <c r="AB866">
        <f t="shared" si="393"/>
        <v>119</v>
      </c>
      <c r="AC866">
        <f t="shared" si="394"/>
        <v>104</v>
      </c>
      <c r="AD866">
        <f t="shared" si="395"/>
        <v>99</v>
      </c>
      <c r="AE866">
        <f t="shared" si="396"/>
        <v>90</v>
      </c>
      <c r="AF866">
        <f t="shared" si="397"/>
        <v>58</v>
      </c>
      <c r="AG866">
        <f t="shared" si="398"/>
        <v>52</v>
      </c>
      <c r="AH866">
        <f t="shared" si="399"/>
        <v>38</v>
      </c>
      <c r="AI866">
        <f t="shared" si="400"/>
        <v>100</v>
      </c>
      <c r="AJ866">
        <f t="shared" si="401"/>
        <v>91</v>
      </c>
      <c r="AK866">
        <f t="shared" si="402"/>
        <v>59</v>
      </c>
      <c r="AL866">
        <f t="shared" si="403"/>
        <v>53</v>
      </c>
      <c r="AM866">
        <f t="shared" si="404"/>
        <v>39</v>
      </c>
      <c r="AN866">
        <f t="shared" si="405"/>
        <v>124</v>
      </c>
      <c r="AO866">
        <f t="shared" si="406"/>
        <v>113</v>
      </c>
      <c r="AP866">
        <f t="shared" si="407"/>
        <v>81</v>
      </c>
      <c r="AQ866">
        <f t="shared" si="408"/>
        <v>72</v>
      </c>
      <c r="AR866">
        <f t="shared" si="409"/>
        <v>59</v>
      </c>
      <c r="AS866">
        <f t="shared" si="410"/>
        <v>144</v>
      </c>
      <c r="AT866">
        <f t="shared" si="411"/>
        <v>131</v>
      </c>
      <c r="AU866">
        <f t="shared" si="412"/>
        <v>99</v>
      </c>
      <c r="AV866">
        <f t="shared" si="413"/>
        <v>89</v>
      </c>
      <c r="AW866">
        <f t="shared" si="414"/>
        <v>75</v>
      </c>
      <c r="AX866">
        <f t="shared" si="415"/>
        <v>103</v>
      </c>
      <c r="AY866">
        <f t="shared" si="416"/>
        <v>94</v>
      </c>
      <c r="AZ866">
        <f t="shared" si="417"/>
        <v>62</v>
      </c>
      <c r="BA866">
        <f t="shared" si="418"/>
        <v>55</v>
      </c>
      <c r="BB866">
        <f t="shared" si="419"/>
        <v>42</v>
      </c>
    </row>
    <row r="867" spans="1:54" x14ac:dyDescent="0.15">
      <c r="A867">
        <v>577</v>
      </c>
      <c r="B867" t="s">
        <v>3022</v>
      </c>
      <c r="C867">
        <v>669</v>
      </c>
      <c r="D867">
        <v>0</v>
      </c>
      <c r="E867" t="s">
        <v>3023</v>
      </c>
      <c r="F867" t="s">
        <v>3033</v>
      </c>
      <c r="G867" t="s">
        <v>3023</v>
      </c>
      <c r="H867" t="s">
        <v>3034</v>
      </c>
      <c r="J867" t="s">
        <v>3026</v>
      </c>
      <c r="K867">
        <v>0.1</v>
      </c>
      <c r="L867">
        <v>0.1</v>
      </c>
      <c r="M867" t="s">
        <v>233</v>
      </c>
      <c r="O867" t="s">
        <v>3027</v>
      </c>
      <c r="P867" t="s">
        <v>3028</v>
      </c>
      <c r="R867">
        <v>9</v>
      </c>
      <c r="S867">
        <v>44</v>
      </c>
      <c r="T867">
        <v>38</v>
      </c>
      <c r="U867">
        <v>39</v>
      </c>
      <c r="V867">
        <v>61</v>
      </c>
      <c r="W867">
        <v>79</v>
      </c>
      <c r="X867">
        <v>42</v>
      </c>
      <c r="Y867">
        <f t="shared" si="390"/>
        <v>151</v>
      </c>
      <c r="Z867">
        <f t="shared" si="391"/>
        <v>151</v>
      </c>
      <c r="AA867">
        <f t="shared" si="392"/>
        <v>119</v>
      </c>
      <c r="AB867">
        <f t="shared" si="393"/>
        <v>119</v>
      </c>
      <c r="AC867">
        <f t="shared" si="394"/>
        <v>104</v>
      </c>
      <c r="AD867">
        <f t="shared" si="395"/>
        <v>99</v>
      </c>
      <c r="AE867">
        <f t="shared" si="396"/>
        <v>90</v>
      </c>
      <c r="AF867">
        <f t="shared" si="397"/>
        <v>58</v>
      </c>
      <c r="AG867">
        <f t="shared" si="398"/>
        <v>52</v>
      </c>
      <c r="AH867">
        <f t="shared" si="399"/>
        <v>38</v>
      </c>
      <c r="AI867">
        <f t="shared" si="400"/>
        <v>100</v>
      </c>
      <c r="AJ867">
        <f t="shared" si="401"/>
        <v>91</v>
      </c>
      <c r="AK867">
        <f t="shared" si="402"/>
        <v>59</v>
      </c>
      <c r="AL867">
        <f t="shared" si="403"/>
        <v>53</v>
      </c>
      <c r="AM867">
        <f t="shared" si="404"/>
        <v>39</v>
      </c>
      <c r="AN867">
        <f t="shared" si="405"/>
        <v>124</v>
      </c>
      <c r="AO867">
        <f t="shared" si="406"/>
        <v>113</v>
      </c>
      <c r="AP867">
        <f t="shared" si="407"/>
        <v>81</v>
      </c>
      <c r="AQ867">
        <f t="shared" si="408"/>
        <v>72</v>
      </c>
      <c r="AR867">
        <f t="shared" si="409"/>
        <v>59</v>
      </c>
      <c r="AS867">
        <f t="shared" si="410"/>
        <v>144</v>
      </c>
      <c r="AT867">
        <f t="shared" si="411"/>
        <v>131</v>
      </c>
      <c r="AU867">
        <f t="shared" si="412"/>
        <v>99</v>
      </c>
      <c r="AV867">
        <f t="shared" si="413"/>
        <v>89</v>
      </c>
      <c r="AW867">
        <f t="shared" si="414"/>
        <v>75</v>
      </c>
      <c r="AX867">
        <f t="shared" si="415"/>
        <v>103</v>
      </c>
      <c r="AY867">
        <f t="shared" si="416"/>
        <v>94</v>
      </c>
      <c r="AZ867">
        <f t="shared" si="417"/>
        <v>62</v>
      </c>
      <c r="BA867">
        <f t="shared" si="418"/>
        <v>55</v>
      </c>
      <c r="BB867">
        <f t="shared" si="419"/>
        <v>42</v>
      </c>
    </row>
    <row r="868" spans="1:54" x14ac:dyDescent="0.15">
      <c r="A868">
        <v>578</v>
      </c>
      <c r="B868" t="s">
        <v>3022</v>
      </c>
      <c r="C868">
        <v>669</v>
      </c>
      <c r="D868">
        <v>0</v>
      </c>
      <c r="E868" t="s">
        <v>3023</v>
      </c>
      <c r="F868" t="s">
        <v>3035</v>
      </c>
      <c r="G868" t="s">
        <v>3023</v>
      </c>
      <c r="H868" t="s">
        <v>3036</v>
      </c>
      <c r="J868" t="s">
        <v>3026</v>
      </c>
      <c r="K868">
        <v>0.1</v>
      </c>
      <c r="L868">
        <v>0.1</v>
      </c>
      <c r="M868" t="s">
        <v>233</v>
      </c>
      <c r="O868" t="s">
        <v>3027</v>
      </c>
      <c r="P868" t="s">
        <v>3028</v>
      </c>
      <c r="R868">
        <v>9</v>
      </c>
      <c r="S868">
        <v>44</v>
      </c>
      <c r="T868">
        <v>38</v>
      </c>
      <c r="U868">
        <v>39</v>
      </c>
      <c r="V868">
        <v>61</v>
      </c>
      <c r="W868">
        <v>79</v>
      </c>
      <c r="X868">
        <v>42</v>
      </c>
      <c r="Y868">
        <f t="shared" si="390"/>
        <v>151</v>
      </c>
      <c r="Z868">
        <f t="shared" si="391"/>
        <v>151</v>
      </c>
      <c r="AA868">
        <f t="shared" si="392"/>
        <v>119</v>
      </c>
      <c r="AB868">
        <f t="shared" si="393"/>
        <v>119</v>
      </c>
      <c r="AC868">
        <f t="shared" si="394"/>
        <v>104</v>
      </c>
      <c r="AD868">
        <f t="shared" si="395"/>
        <v>99</v>
      </c>
      <c r="AE868">
        <f t="shared" si="396"/>
        <v>90</v>
      </c>
      <c r="AF868">
        <f t="shared" si="397"/>
        <v>58</v>
      </c>
      <c r="AG868">
        <f t="shared" si="398"/>
        <v>52</v>
      </c>
      <c r="AH868">
        <f t="shared" si="399"/>
        <v>38</v>
      </c>
      <c r="AI868">
        <f t="shared" si="400"/>
        <v>100</v>
      </c>
      <c r="AJ868">
        <f t="shared" si="401"/>
        <v>91</v>
      </c>
      <c r="AK868">
        <f t="shared" si="402"/>
        <v>59</v>
      </c>
      <c r="AL868">
        <f t="shared" si="403"/>
        <v>53</v>
      </c>
      <c r="AM868">
        <f t="shared" si="404"/>
        <v>39</v>
      </c>
      <c r="AN868">
        <f t="shared" si="405"/>
        <v>124</v>
      </c>
      <c r="AO868">
        <f t="shared" si="406"/>
        <v>113</v>
      </c>
      <c r="AP868">
        <f t="shared" si="407"/>
        <v>81</v>
      </c>
      <c r="AQ868">
        <f t="shared" si="408"/>
        <v>72</v>
      </c>
      <c r="AR868">
        <f t="shared" si="409"/>
        <v>59</v>
      </c>
      <c r="AS868">
        <f t="shared" si="410"/>
        <v>144</v>
      </c>
      <c r="AT868">
        <f t="shared" si="411"/>
        <v>131</v>
      </c>
      <c r="AU868">
        <f t="shared" si="412"/>
        <v>99</v>
      </c>
      <c r="AV868">
        <f t="shared" si="413"/>
        <v>89</v>
      </c>
      <c r="AW868">
        <f t="shared" si="414"/>
        <v>75</v>
      </c>
      <c r="AX868">
        <f t="shared" si="415"/>
        <v>103</v>
      </c>
      <c r="AY868">
        <f t="shared" si="416"/>
        <v>94</v>
      </c>
      <c r="AZ868">
        <f t="shared" si="417"/>
        <v>62</v>
      </c>
      <c r="BA868">
        <f t="shared" si="418"/>
        <v>55</v>
      </c>
      <c r="BB868">
        <f t="shared" si="419"/>
        <v>42</v>
      </c>
    </row>
    <row r="869" spans="1:54" x14ac:dyDescent="0.15">
      <c r="A869">
        <v>579</v>
      </c>
      <c r="B869" t="s">
        <v>3037</v>
      </c>
      <c r="C869">
        <v>670</v>
      </c>
      <c r="D869">
        <v>0</v>
      </c>
      <c r="E869" t="s">
        <v>3038</v>
      </c>
      <c r="F869" t="s">
        <v>3024</v>
      </c>
      <c r="G869" t="s">
        <v>3038</v>
      </c>
      <c r="H869" t="s">
        <v>3039</v>
      </c>
      <c r="J869" t="s">
        <v>3026</v>
      </c>
      <c r="K869">
        <v>0.9</v>
      </c>
      <c r="L869">
        <v>0.2</v>
      </c>
      <c r="M869" t="s">
        <v>233</v>
      </c>
      <c r="O869" t="s">
        <v>3027</v>
      </c>
      <c r="P869" t="s">
        <v>3028</v>
      </c>
      <c r="R869">
        <v>9</v>
      </c>
      <c r="S869">
        <v>54</v>
      </c>
      <c r="T869">
        <v>45</v>
      </c>
      <c r="U869">
        <v>47</v>
      </c>
      <c r="V869">
        <v>75</v>
      </c>
      <c r="W869">
        <v>98</v>
      </c>
      <c r="X869">
        <v>52</v>
      </c>
      <c r="Y869">
        <f t="shared" si="390"/>
        <v>161</v>
      </c>
      <c r="Z869">
        <f t="shared" si="391"/>
        <v>161</v>
      </c>
      <c r="AA869">
        <f t="shared" si="392"/>
        <v>129</v>
      </c>
      <c r="AB869">
        <f t="shared" si="393"/>
        <v>129</v>
      </c>
      <c r="AC869">
        <f t="shared" si="394"/>
        <v>114</v>
      </c>
      <c r="AD869">
        <f t="shared" si="395"/>
        <v>106</v>
      </c>
      <c r="AE869">
        <f t="shared" si="396"/>
        <v>97</v>
      </c>
      <c r="AF869">
        <f t="shared" si="397"/>
        <v>65</v>
      </c>
      <c r="AG869">
        <f t="shared" si="398"/>
        <v>58</v>
      </c>
      <c r="AH869">
        <f t="shared" si="399"/>
        <v>45</v>
      </c>
      <c r="AI869">
        <f t="shared" si="400"/>
        <v>108</v>
      </c>
      <c r="AJ869">
        <f t="shared" si="401"/>
        <v>99</v>
      </c>
      <c r="AK869">
        <f t="shared" si="402"/>
        <v>67</v>
      </c>
      <c r="AL869">
        <f t="shared" si="403"/>
        <v>60</v>
      </c>
      <c r="AM869">
        <f t="shared" si="404"/>
        <v>46</v>
      </c>
      <c r="AN869">
        <f t="shared" si="405"/>
        <v>139</v>
      </c>
      <c r="AO869">
        <f t="shared" si="406"/>
        <v>127</v>
      </c>
      <c r="AP869">
        <f t="shared" si="407"/>
        <v>95</v>
      </c>
      <c r="AQ869">
        <f t="shared" si="408"/>
        <v>85</v>
      </c>
      <c r="AR869">
        <f t="shared" si="409"/>
        <v>72</v>
      </c>
      <c r="AS869">
        <f t="shared" si="410"/>
        <v>165</v>
      </c>
      <c r="AT869">
        <f t="shared" si="411"/>
        <v>150</v>
      </c>
      <c r="AU869">
        <f t="shared" si="412"/>
        <v>118</v>
      </c>
      <c r="AV869">
        <f t="shared" si="413"/>
        <v>106</v>
      </c>
      <c r="AW869">
        <f t="shared" si="414"/>
        <v>92</v>
      </c>
      <c r="AX869">
        <f t="shared" si="415"/>
        <v>114</v>
      </c>
      <c r="AY869">
        <f t="shared" si="416"/>
        <v>104</v>
      </c>
      <c r="AZ869">
        <f t="shared" si="417"/>
        <v>72</v>
      </c>
      <c r="BA869">
        <f t="shared" si="418"/>
        <v>64</v>
      </c>
      <c r="BB869">
        <f t="shared" si="419"/>
        <v>51</v>
      </c>
    </row>
    <row r="870" spans="1:54" x14ac:dyDescent="0.15">
      <c r="A870">
        <v>580</v>
      </c>
      <c r="B870" t="s">
        <v>3037</v>
      </c>
      <c r="C870">
        <v>670</v>
      </c>
      <c r="D870">
        <v>0</v>
      </c>
      <c r="E870" t="s">
        <v>3038</v>
      </c>
      <c r="F870" t="s">
        <v>3029</v>
      </c>
      <c r="G870" t="s">
        <v>3038</v>
      </c>
      <c r="H870" t="s">
        <v>3040</v>
      </c>
      <c r="J870" t="s">
        <v>3026</v>
      </c>
      <c r="K870">
        <v>0.9</v>
      </c>
      <c r="L870">
        <v>0.2</v>
      </c>
      <c r="M870" t="s">
        <v>233</v>
      </c>
      <c r="O870" t="s">
        <v>3027</v>
      </c>
      <c r="P870" t="s">
        <v>3028</v>
      </c>
      <c r="R870">
        <v>9</v>
      </c>
      <c r="S870">
        <v>54</v>
      </c>
      <c r="T870">
        <v>45</v>
      </c>
      <c r="U870">
        <v>47</v>
      </c>
      <c r="V870">
        <v>75</v>
      </c>
      <c r="W870">
        <v>98</v>
      </c>
      <c r="X870">
        <v>52</v>
      </c>
      <c r="Y870">
        <f t="shared" si="390"/>
        <v>161</v>
      </c>
      <c r="Z870">
        <f t="shared" si="391"/>
        <v>161</v>
      </c>
      <c r="AA870">
        <f t="shared" si="392"/>
        <v>129</v>
      </c>
      <c r="AB870">
        <f t="shared" si="393"/>
        <v>129</v>
      </c>
      <c r="AC870">
        <f t="shared" si="394"/>
        <v>114</v>
      </c>
      <c r="AD870">
        <f t="shared" si="395"/>
        <v>106</v>
      </c>
      <c r="AE870">
        <f t="shared" si="396"/>
        <v>97</v>
      </c>
      <c r="AF870">
        <f t="shared" si="397"/>
        <v>65</v>
      </c>
      <c r="AG870">
        <f t="shared" si="398"/>
        <v>58</v>
      </c>
      <c r="AH870">
        <f t="shared" si="399"/>
        <v>45</v>
      </c>
      <c r="AI870">
        <f t="shared" si="400"/>
        <v>108</v>
      </c>
      <c r="AJ870">
        <f t="shared" si="401"/>
        <v>99</v>
      </c>
      <c r="AK870">
        <f t="shared" si="402"/>
        <v>67</v>
      </c>
      <c r="AL870">
        <f t="shared" si="403"/>
        <v>60</v>
      </c>
      <c r="AM870">
        <f t="shared" si="404"/>
        <v>46</v>
      </c>
      <c r="AN870">
        <f t="shared" si="405"/>
        <v>139</v>
      </c>
      <c r="AO870">
        <f t="shared" si="406"/>
        <v>127</v>
      </c>
      <c r="AP870">
        <f t="shared" si="407"/>
        <v>95</v>
      </c>
      <c r="AQ870">
        <f t="shared" si="408"/>
        <v>85</v>
      </c>
      <c r="AR870">
        <f t="shared" si="409"/>
        <v>72</v>
      </c>
      <c r="AS870">
        <f t="shared" si="410"/>
        <v>165</v>
      </c>
      <c r="AT870">
        <f t="shared" si="411"/>
        <v>150</v>
      </c>
      <c r="AU870">
        <f t="shared" si="412"/>
        <v>118</v>
      </c>
      <c r="AV870">
        <f t="shared" si="413"/>
        <v>106</v>
      </c>
      <c r="AW870">
        <f t="shared" si="414"/>
        <v>92</v>
      </c>
      <c r="AX870">
        <f t="shared" si="415"/>
        <v>114</v>
      </c>
      <c r="AY870">
        <f t="shared" si="416"/>
        <v>104</v>
      </c>
      <c r="AZ870">
        <f t="shared" si="417"/>
        <v>72</v>
      </c>
      <c r="BA870">
        <f t="shared" si="418"/>
        <v>64</v>
      </c>
      <c r="BB870">
        <f t="shared" si="419"/>
        <v>51</v>
      </c>
    </row>
    <row r="871" spans="1:54" x14ac:dyDescent="0.15">
      <c r="A871">
        <v>581</v>
      </c>
      <c r="B871" t="s">
        <v>3037</v>
      </c>
      <c r="C871">
        <v>670</v>
      </c>
      <c r="D871">
        <v>0</v>
      </c>
      <c r="E871" t="s">
        <v>3038</v>
      </c>
      <c r="F871" t="s">
        <v>3031</v>
      </c>
      <c r="G871" t="s">
        <v>3038</v>
      </c>
      <c r="H871" t="s">
        <v>3041</v>
      </c>
      <c r="J871" t="s">
        <v>3026</v>
      </c>
      <c r="K871">
        <v>0.9</v>
      </c>
      <c r="L871">
        <v>0.2</v>
      </c>
      <c r="M871" t="s">
        <v>233</v>
      </c>
      <c r="O871" t="s">
        <v>3027</v>
      </c>
      <c r="P871" t="s">
        <v>3028</v>
      </c>
      <c r="R871">
        <v>9</v>
      </c>
      <c r="S871">
        <v>54</v>
      </c>
      <c r="T871">
        <v>45</v>
      </c>
      <c r="U871">
        <v>47</v>
      </c>
      <c r="V871">
        <v>75</v>
      </c>
      <c r="W871">
        <v>98</v>
      </c>
      <c r="X871">
        <v>52</v>
      </c>
      <c r="Y871">
        <f t="shared" si="390"/>
        <v>161</v>
      </c>
      <c r="Z871">
        <f t="shared" si="391"/>
        <v>161</v>
      </c>
      <c r="AA871">
        <f t="shared" si="392"/>
        <v>129</v>
      </c>
      <c r="AB871">
        <f t="shared" si="393"/>
        <v>129</v>
      </c>
      <c r="AC871">
        <f t="shared" si="394"/>
        <v>114</v>
      </c>
      <c r="AD871">
        <f t="shared" si="395"/>
        <v>106</v>
      </c>
      <c r="AE871">
        <f t="shared" si="396"/>
        <v>97</v>
      </c>
      <c r="AF871">
        <f t="shared" si="397"/>
        <v>65</v>
      </c>
      <c r="AG871">
        <f t="shared" si="398"/>
        <v>58</v>
      </c>
      <c r="AH871">
        <f t="shared" si="399"/>
        <v>45</v>
      </c>
      <c r="AI871">
        <f t="shared" si="400"/>
        <v>108</v>
      </c>
      <c r="AJ871">
        <f t="shared" si="401"/>
        <v>99</v>
      </c>
      <c r="AK871">
        <f t="shared" si="402"/>
        <v>67</v>
      </c>
      <c r="AL871">
        <f t="shared" si="403"/>
        <v>60</v>
      </c>
      <c r="AM871">
        <f t="shared" si="404"/>
        <v>46</v>
      </c>
      <c r="AN871">
        <f t="shared" si="405"/>
        <v>139</v>
      </c>
      <c r="AO871">
        <f t="shared" si="406"/>
        <v>127</v>
      </c>
      <c r="AP871">
        <f t="shared" si="407"/>
        <v>95</v>
      </c>
      <c r="AQ871">
        <f t="shared" si="408"/>
        <v>85</v>
      </c>
      <c r="AR871">
        <f t="shared" si="409"/>
        <v>72</v>
      </c>
      <c r="AS871">
        <f t="shared" si="410"/>
        <v>165</v>
      </c>
      <c r="AT871">
        <f t="shared" si="411"/>
        <v>150</v>
      </c>
      <c r="AU871">
        <f t="shared" si="412"/>
        <v>118</v>
      </c>
      <c r="AV871">
        <f t="shared" si="413"/>
        <v>106</v>
      </c>
      <c r="AW871">
        <f t="shared" si="414"/>
        <v>92</v>
      </c>
      <c r="AX871">
        <f t="shared" si="415"/>
        <v>114</v>
      </c>
      <c r="AY871">
        <f t="shared" si="416"/>
        <v>104</v>
      </c>
      <c r="AZ871">
        <f t="shared" si="417"/>
        <v>72</v>
      </c>
      <c r="BA871">
        <f t="shared" si="418"/>
        <v>64</v>
      </c>
      <c r="BB871">
        <f t="shared" si="419"/>
        <v>51</v>
      </c>
    </row>
    <row r="872" spans="1:54" x14ac:dyDescent="0.15">
      <c r="A872">
        <v>582</v>
      </c>
      <c r="B872" t="s">
        <v>3037</v>
      </c>
      <c r="C872">
        <v>670</v>
      </c>
      <c r="D872">
        <v>0</v>
      </c>
      <c r="E872" t="s">
        <v>3038</v>
      </c>
      <c r="F872" t="s">
        <v>3033</v>
      </c>
      <c r="G872" t="s">
        <v>3038</v>
      </c>
      <c r="H872" t="s">
        <v>3042</v>
      </c>
      <c r="J872" t="s">
        <v>3026</v>
      </c>
      <c r="K872">
        <v>0.9</v>
      </c>
      <c r="L872">
        <v>0.2</v>
      </c>
      <c r="M872" t="s">
        <v>233</v>
      </c>
      <c r="O872" t="s">
        <v>3027</v>
      </c>
      <c r="P872" t="s">
        <v>3028</v>
      </c>
      <c r="R872">
        <v>9</v>
      </c>
      <c r="S872">
        <v>54</v>
      </c>
      <c r="T872">
        <v>45</v>
      </c>
      <c r="U872">
        <v>47</v>
      </c>
      <c r="V872">
        <v>75</v>
      </c>
      <c r="W872">
        <v>98</v>
      </c>
      <c r="X872">
        <v>52</v>
      </c>
      <c r="Y872">
        <f t="shared" si="390"/>
        <v>161</v>
      </c>
      <c r="Z872">
        <f t="shared" si="391"/>
        <v>161</v>
      </c>
      <c r="AA872">
        <f t="shared" si="392"/>
        <v>129</v>
      </c>
      <c r="AB872">
        <f t="shared" si="393"/>
        <v>129</v>
      </c>
      <c r="AC872">
        <f t="shared" si="394"/>
        <v>114</v>
      </c>
      <c r="AD872">
        <f t="shared" si="395"/>
        <v>106</v>
      </c>
      <c r="AE872">
        <f t="shared" si="396"/>
        <v>97</v>
      </c>
      <c r="AF872">
        <f t="shared" si="397"/>
        <v>65</v>
      </c>
      <c r="AG872">
        <f t="shared" si="398"/>
        <v>58</v>
      </c>
      <c r="AH872">
        <f t="shared" si="399"/>
        <v>45</v>
      </c>
      <c r="AI872">
        <f t="shared" si="400"/>
        <v>108</v>
      </c>
      <c r="AJ872">
        <f t="shared" si="401"/>
        <v>99</v>
      </c>
      <c r="AK872">
        <f t="shared" si="402"/>
        <v>67</v>
      </c>
      <c r="AL872">
        <f t="shared" si="403"/>
        <v>60</v>
      </c>
      <c r="AM872">
        <f t="shared" si="404"/>
        <v>46</v>
      </c>
      <c r="AN872">
        <f t="shared" si="405"/>
        <v>139</v>
      </c>
      <c r="AO872">
        <f t="shared" si="406"/>
        <v>127</v>
      </c>
      <c r="AP872">
        <f t="shared" si="407"/>
        <v>95</v>
      </c>
      <c r="AQ872">
        <f t="shared" si="408"/>
        <v>85</v>
      </c>
      <c r="AR872">
        <f t="shared" si="409"/>
        <v>72</v>
      </c>
      <c r="AS872">
        <f t="shared" si="410"/>
        <v>165</v>
      </c>
      <c r="AT872">
        <f t="shared" si="411"/>
        <v>150</v>
      </c>
      <c r="AU872">
        <f t="shared" si="412"/>
        <v>118</v>
      </c>
      <c r="AV872">
        <f t="shared" si="413"/>
        <v>106</v>
      </c>
      <c r="AW872">
        <f t="shared" si="414"/>
        <v>92</v>
      </c>
      <c r="AX872">
        <f t="shared" si="415"/>
        <v>114</v>
      </c>
      <c r="AY872">
        <f t="shared" si="416"/>
        <v>104</v>
      </c>
      <c r="AZ872">
        <f t="shared" si="417"/>
        <v>72</v>
      </c>
      <c r="BA872">
        <f t="shared" si="418"/>
        <v>64</v>
      </c>
      <c r="BB872">
        <f t="shared" si="419"/>
        <v>51</v>
      </c>
    </row>
    <row r="873" spans="1:54" x14ac:dyDescent="0.15">
      <c r="A873">
        <v>583</v>
      </c>
      <c r="B873" t="s">
        <v>3037</v>
      </c>
      <c r="C873">
        <v>670</v>
      </c>
      <c r="D873">
        <v>0</v>
      </c>
      <c r="E873" t="s">
        <v>3038</v>
      </c>
      <c r="F873" t="s">
        <v>3035</v>
      </c>
      <c r="G873" t="s">
        <v>3038</v>
      </c>
      <c r="H873" t="s">
        <v>3043</v>
      </c>
      <c r="J873" t="s">
        <v>3026</v>
      </c>
      <c r="K873">
        <v>0.9</v>
      </c>
      <c r="L873">
        <v>0.2</v>
      </c>
      <c r="M873" t="s">
        <v>233</v>
      </c>
      <c r="O873" t="s">
        <v>3027</v>
      </c>
      <c r="P873" t="s">
        <v>3028</v>
      </c>
      <c r="R873">
        <v>9</v>
      </c>
      <c r="S873">
        <v>54</v>
      </c>
      <c r="T873">
        <v>45</v>
      </c>
      <c r="U873">
        <v>47</v>
      </c>
      <c r="V873">
        <v>75</v>
      </c>
      <c r="W873">
        <v>98</v>
      </c>
      <c r="X873">
        <v>52</v>
      </c>
      <c r="Y873">
        <f t="shared" si="390"/>
        <v>161</v>
      </c>
      <c r="Z873">
        <f t="shared" si="391"/>
        <v>161</v>
      </c>
      <c r="AA873">
        <f t="shared" si="392"/>
        <v>129</v>
      </c>
      <c r="AB873">
        <f t="shared" si="393"/>
        <v>129</v>
      </c>
      <c r="AC873">
        <f t="shared" si="394"/>
        <v>114</v>
      </c>
      <c r="AD873">
        <f t="shared" si="395"/>
        <v>106</v>
      </c>
      <c r="AE873">
        <f t="shared" si="396"/>
        <v>97</v>
      </c>
      <c r="AF873">
        <f t="shared" si="397"/>
        <v>65</v>
      </c>
      <c r="AG873">
        <f t="shared" si="398"/>
        <v>58</v>
      </c>
      <c r="AH873">
        <f t="shared" si="399"/>
        <v>45</v>
      </c>
      <c r="AI873">
        <f t="shared" si="400"/>
        <v>108</v>
      </c>
      <c r="AJ873">
        <f t="shared" si="401"/>
        <v>99</v>
      </c>
      <c r="AK873">
        <f t="shared" si="402"/>
        <v>67</v>
      </c>
      <c r="AL873">
        <f t="shared" si="403"/>
        <v>60</v>
      </c>
      <c r="AM873">
        <f t="shared" si="404"/>
        <v>46</v>
      </c>
      <c r="AN873">
        <f t="shared" si="405"/>
        <v>139</v>
      </c>
      <c r="AO873">
        <f t="shared" si="406"/>
        <v>127</v>
      </c>
      <c r="AP873">
        <f t="shared" si="407"/>
        <v>95</v>
      </c>
      <c r="AQ873">
        <f t="shared" si="408"/>
        <v>85</v>
      </c>
      <c r="AR873">
        <f t="shared" si="409"/>
        <v>72</v>
      </c>
      <c r="AS873">
        <f t="shared" si="410"/>
        <v>165</v>
      </c>
      <c r="AT873">
        <f t="shared" si="411"/>
        <v>150</v>
      </c>
      <c r="AU873">
        <f t="shared" si="412"/>
        <v>118</v>
      </c>
      <c r="AV873">
        <f t="shared" si="413"/>
        <v>106</v>
      </c>
      <c r="AW873">
        <f t="shared" si="414"/>
        <v>92</v>
      </c>
      <c r="AX873">
        <f t="shared" si="415"/>
        <v>114</v>
      </c>
      <c r="AY873">
        <f t="shared" si="416"/>
        <v>104</v>
      </c>
      <c r="AZ873">
        <f t="shared" si="417"/>
        <v>72</v>
      </c>
      <c r="BA873">
        <f t="shared" si="418"/>
        <v>64</v>
      </c>
      <c r="BB873">
        <f t="shared" si="419"/>
        <v>51</v>
      </c>
    </row>
    <row r="874" spans="1:54" x14ac:dyDescent="0.15">
      <c r="A874">
        <v>584</v>
      </c>
      <c r="B874" t="s">
        <v>3044</v>
      </c>
      <c r="C874">
        <v>671</v>
      </c>
      <c r="D874">
        <v>0</v>
      </c>
      <c r="E874" t="s">
        <v>3045</v>
      </c>
      <c r="F874" t="s">
        <v>3024</v>
      </c>
      <c r="G874" t="s">
        <v>3045</v>
      </c>
      <c r="H874" t="s">
        <v>3046</v>
      </c>
      <c r="J874" t="s">
        <v>3047</v>
      </c>
      <c r="K874">
        <v>10</v>
      </c>
      <c r="L874">
        <v>1.1000000000000001</v>
      </c>
      <c r="M874" t="s">
        <v>233</v>
      </c>
      <c r="O874" t="s">
        <v>3027</v>
      </c>
      <c r="P874" t="s">
        <v>3028</v>
      </c>
      <c r="R874">
        <v>9</v>
      </c>
      <c r="S874">
        <v>78</v>
      </c>
      <c r="T874">
        <v>65</v>
      </c>
      <c r="U874">
        <v>68</v>
      </c>
      <c r="V874">
        <v>112</v>
      </c>
      <c r="W874">
        <v>154</v>
      </c>
      <c r="X874">
        <v>75</v>
      </c>
      <c r="Y874">
        <f t="shared" si="390"/>
        <v>185</v>
      </c>
      <c r="Z874">
        <f t="shared" si="391"/>
        <v>185</v>
      </c>
      <c r="AA874">
        <f t="shared" si="392"/>
        <v>153</v>
      </c>
      <c r="AB874">
        <f t="shared" si="393"/>
        <v>153</v>
      </c>
      <c r="AC874">
        <f t="shared" si="394"/>
        <v>138</v>
      </c>
      <c r="AD874">
        <f t="shared" si="395"/>
        <v>128</v>
      </c>
      <c r="AE874">
        <f t="shared" si="396"/>
        <v>117</v>
      </c>
      <c r="AF874">
        <f t="shared" si="397"/>
        <v>85</v>
      </c>
      <c r="AG874">
        <f t="shared" si="398"/>
        <v>76</v>
      </c>
      <c r="AH874">
        <f t="shared" si="399"/>
        <v>63</v>
      </c>
      <c r="AI874">
        <f t="shared" si="400"/>
        <v>132</v>
      </c>
      <c r="AJ874">
        <f t="shared" si="401"/>
        <v>120</v>
      </c>
      <c r="AK874">
        <f t="shared" si="402"/>
        <v>88</v>
      </c>
      <c r="AL874">
        <f t="shared" si="403"/>
        <v>79</v>
      </c>
      <c r="AM874">
        <f t="shared" si="404"/>
        <v>65</v>
      </c>
      <c r="AN874">
        <f t="shared" si="405"/>
        <v>180</v>
      </c>
      <c r="AO874">
        <f t="shared" si="406"/>
        <v>164</v>
      </c>
      <c r="AP874">
        <f t="shared" si="407"/>
        <v>132</v>
      </c>
      <c r="AQ874">
        <f t="shared" si="408"/>
        <v>118</v>
      </c>
      <c r="AR874">
        <f t="shared" si="409"/>
        <v>105</v>
      </c>
      <c r="AS874">
        <f t="shared" si="410"/>
        <v>226</v>
      </c>
      <c r="AT874">
        <f t="shared" si="411"/>
        <v>206</v>
      </c>
      <c r="AU874">
        <f t="shared" si="412"/>
        <v>174</v>
      </c>
      <c r="AV874">
        <f t="shared" si="413"/>
        <v>156</v>
      </c>
      <c r="AW874">
        <f t="shared" si="414"/>
        <v>143</v>
      </c>
      <c r="AX874">
        <f t="shared" si="415"/>
        <v>139</v>
      </c>
      <c r="AY874">
        <f t="shared" si="416"/>
        <v>127</v>
      </c>
      <c r="AZ874">
        <f t="shared" si="417"/>
        <v>95</v>
      </c>
      <c r="BA874">
        <f t="shared" si="418"/>
        <v>85</v>
      </c>
      <c r="BB874">
        <f t="shared" si="419"/>
        <v>72</v>
      </c>
    </row>
    <row r="875" spans="1:54" x14ac:dyDescent="0.15">
      <c r="A875">
        <v>585</v>
      </c>
      <c r="B875" t="s">
        <v>3044</v>
      </c>
      <c r="C875">
        <v>671</v>
      </c>
      <c r="D875">
        <v>0</v>
      </c>
      <c r="E875" t="s">
        <v>3045</v>
      </c>
      <c r="F875" t="s">
        <v>3029</v>
      </c>
      <c r="G875" t="s">
        <v>3045</v>
      </c>
      <c r="H875" t="s">
        <v>3048</v>
      </c>
      <c r="J875" t="s">
        <v>3047</v>
      </c>
      <c r="K875">
        <v>10</v>
      </c>
      <c r="L875">
        <v>1.1000000000000001</v>
      </c>
      <c r="M875" t="s">
        <v>233</v>
      </c>
      <c r="O875" t="s">
        <v>3027</v>
      </c>
      <c r="P875" t="s">
        <v>3028</v>
      </c>
      <c r="R875">
        <v>9</v>
      </c>
      <c r="S875">
        <v>78</v>
      </c>
      <c r="T875">
        <v>65</v>
      </c>
      <c r="U875">
        <v>68</v>
      </c>
      <c r="V875">
        <v>112</v>
      </c>
      <c r="W875">
        <v>154</v>
      </c>
      <c r="X875">
        <v>75</v>
      </c>
      <c r="Y875">
        <f t="shared" si="390"/>
        <v>185</v>
      </c>
      <c r="Z875">
        <f t="shared" si="391"/>
        <v>185</v>
      </c>
      <c r="AA875">
        <f t="shared" si="392"/>
        <v>153</v>
      </c>
      <c r="AB875">
        <f t="shared" si="393"/>
        <v>153</v>
      </c>
      <c r="AC875">
        <f t="shared" si="394"/>
        <v>138</v>
      </c>
      <c r="AD875">
        <f t="shared" si="395"/>
        <v>128</v>
      </c>
      <c r="AE875">
        <f t="shared" si="396"/>
        <v>117</v>
      </c>
      <c r="AF875">
        <f t="shared" si="397"/>
        <v>85</v>
      </c>
      <c r="AG875">
        <f t="shared" si="398"/>
        <v>76</v>
      </c>
      <c r="AH875">
        <f t="shared" si="399"/>
        <v>63</v>
      </c>
      <c r="AI875">
        <f t="shared" si="400"/>
        <v>132</v>
      </c>
      <c r="AJ875">
        <f t="shared" si="401"/>
        <v>120</v>
      </c>
      <c r="AK875">
        <f t="shared" si="402"/>
        <v>88</v>
      </c>
      <c r="AL875">
        <f t="shared" si="403"/>
        <v>79</v>
      </c>
      <c r="AM875">
        <f t="shared" si="404"/>
        <v>65</v>
      </c>
      <c r="AN875">
        <f t="shared" si="405"/>
        <v>180</v>
      </c>
      <c r="AO875">
        <f t="shared" si="406"/>
        <v>164</v>
      </c>
      <c r="AP875">
        <f t="shared" si="407"/>
        <v>132</v>
      </c>
      <c r="AQ875">
        <f t="shared" si="408"/>
        <v>118</v>
      </c>
      <c r="AR875">
        <f t="shared" si="409"/>
        <v>105</v>
      </c>
      <c r="AS875">
        <f t="shared" si="410"/>
        <v>226</v>
      </c>
      <c r="AT875">
        <f t="shared" si="411"/>
        <v>206</v>
      </c>
      <c r="AU875">
        <f t="shared" si="412"/>
        <v>174</v>
      </c>
      <c r="AV875">
        <f t="shared" si="413"/>
        <v>156</v>
      </c>
      <c r="AW875">
        <f t="shared" si="414"/>
        <v>143</v>
      </c>
      <c r="AX875">
        <f t="shared" si="415"/>
        <v>139</v>
      </c>
      <c r="AY875">
        <f t="shared" si="416"/>
        <v>127</v>
      </c>
      <c r="AZ875">
        <f t="shared" si="417"/>
        <v>95</v>
      </c>
      <c r="BA875">
        <f t="shared" si="418"/>
        <v>85</v>
      </c>
      <c r="BB875">
        <f t="shared" si="419"/>
        <v>72</v>
      </c>
    </row>
    <row r="876" spans="1:54" x14ac:dyDescent="0.15">
      <c r="A876">
        <v>586</v>
      </c>
      <c r="B876" t="s">
        <v>3044</v>
      </c>
      <c r="C876">
        <v>671</v>
      </c>
      <c r="D876">
        <v>0</v>
      </c>
      <c r="E876" t="s">
        <v>3045</v>
      </c>
      <c r="F876" t="s">
        <v>3031</v>
      </c>
      <c r="G876" t="s">
        <v>3045</v>
      </c>
      <c r="H876" t="s">
        <v>3049</v>
      </c>
      <c r="J876" t="s">
        <v>3047</v>
      </c>
      <c r="K876">
        <v>10</v>
      </c>
      <c r="L876">
        <v>1.1000000000000001</v>
      </c>
      <c r="M876" t="s">
        <v>233</v>
      </c>
      <c r="O876" t="s">
        <v>3027</v>
      </c>
      <c r="P876" t="s">
        <v>3028</v>
      </c>
      <c r="R876">
        <v>9</v>
      </c>
      <c r="S876">
        <v>78</v>
      </c>
      <c r="T876">
        <v>65</v>
      </c>
      <c r="U876">
        <v>68</v>
      </c>
      <c r="V876">
        <v>112</v>
      </c>
      <c r="W876">
        <v>154</v>
      </c>
      <c r="X876">
        <v>75</v>
      </c>
      <c r="Y876">
        <f t="shared" si="390"/>
        <v>185</v>
      </c>
      <c r="Z876">
        <f t="shared" si="391"/>
        <v>185</v>
      </c>
      <c r="AA876">
        <f t="shared" si="392"/>
        <v>153</v>
      </c>
      <c r="AB876">
        <f t="shared" si="393"/>
        <v>153</v>
      </c>
      <c r="AC876">
        <f t="shared" si="394"/>
        <v>138</v>
      </c>
      <c r="AD876">
        <f t="shared" si="395"/>
        <v>128</v>
      </c>
      <c r="AE876">
        <f t="shared" si="396"/>
        <v>117</v>
      </c>
      <c r="AF876">
        <f t="shared" si="397"/>
        <v>85</v>
      </c>
      <c r="AG876">
        <f t="shared" si="398"/>
        <v>76</v>
      </c>
      <c r="AH876">
        <f t="shared" si="399"/>
        <v>63</v>
      </c>
      <c r="AI876">
        <f t="shared" si="400"/>
        <v>132</v>
      </c>
      <c r="AJ876">
        <f t="shared" si="401"/>
        <v>120</v>
      </c>
      <c r="AK876">
        <f t="shared" si="402"/>
        <v>88</v>
      </c>
      <c r="AL876">
        <f t="shared" si="403"/>
        <v>79</v>
      </c>
      <c r="AM876">
        <f t="shared" si="404"/>
        <v>65</v>
      </c>
      <c r="AN876">
        <f t="shared" si="405"/>
        <v>180</v>
      </c>
      <c r="AO876">
        <f t="shared" si="406"/>
        <v>164</v>
      </c>
      <c r="AP876">
        <f t="shared" si="407"/>
        <v>132</v>
      </c>
      <c r="AQ876">
        <f t="shared" si="408"/>
        <v>118</v>
      </c>
      <c r="AR876">
        <f t="shared" si="409"/>
        <v>105</v>
      </c>
      <c r="AS876">
        <f t="shared" si="410"/>
        <v>226</v>
      </c>
      <c r="AT876">
        <f t="shared" si="411"/>
        <v>206</v>
      </c>
      <c r="AU876">
        <f t="shared" si="412"/>
        <v>174</v>
      </c>
      <c r="AV876">
        <f t="shared" si="413"/>
        <v>156</v>
      </c>
      <c r="AW876">
        <f t="shared" si="414"/>
        <v>143</v>
      </c>
      <c r="AX876">
        <f t="shared" si="415"/>
        <v>139</v>
      </c>
      <c r="AY876">
        <f t="shared" si="416"/>
        <v>127</v>
      </c>
      <c r="AZ876">
        <f t="shared" si="417"/>
        <v>95</v>
      </c>
      <c r="BA876">
        <f t="shared" si="418"/>
        <v>85</v>
      </c>
      <c r="BB876">
        <f t="shared" si="419"/>
        <v>72</v>
      </c>
    </row>
    <row r="877" spans="1:54" x14ac:dyDescent="0.15">
      <c r="A877">
        <v>587</v>
      </c>
      <c r="B877" t="s">
        <v>3044</v>
      </c>
      <c r="C877">
        <v>671</v>
      </c>
      <c r="D877">
        <v>0</v>
      </c>
      <c r="E877" t="s">
        <v>3045</v>
      </c>
      <c r="F877" t="s">
        <v>3033</v>
      </c>
      <c r="G877" t="s">
        <v>3045</v>
      </c>
      <c r="H877" t="s">
        <v>3050</v>
      </c>
      <c r="J877" t="s">
        <v>3047</v>
      </c>
      <c r="K877">
        <v>10</v>
      </c>
      <c r="L877">
        <v>1.1000000000000001</v>
      </c>
      <c r="M877" t="s">
        <v>233</v>
      </c>
      <c r="O877" t="s">
        <v>3027</v>
      </c>
      <c r="P877" t="s">
        <v>3028</v>
      </c>
      <c r="R877">
        <v>9</v>
      </c>
      <c r="S877">
        <v>78</v>
      </c>
      <c r="T877">
        <v>65</v>
      </c>
      <c r="U877">
        <v>68</v>
      </c>
      <c r="V877">
        <v>112</v>
      </c>
      <c r="W877">
        <v>154</v>
      </c>
      <c r="X877">
        <v>75</v>
      </c>
      <c r="Y877">
        <f t="shared" si="390"/>
        <v>185</v>
      </c>
      <c r="Z877">
        <f t="shared" si="391"/>
        <v>185</v>
      </c>
      <c r="AA877">
        <f t="shared" si="392"/>
        <v>153</v>
      </c>
      <c r="AB877">
        <f t="shared" si="393"/>
        <v>153</v>
      </c>
      <c r="AC877">
        <f t="shared" si="394"/>
        <v>138</v>
      </c>
      <c r="AD877">
        <f t="shared" si="395"/>
        <v>128</v>
      </c>
      <c r="AE877">
        <f t="shared" si="396"/>
        <v>117</v>
      </c>
      <c r="AF877">
        <f t="shared" si="397"/>
        <v>85</v>
      </c>
      <c r="AG877">
        <f t="shared" si="398"/>
        <v>76</v>
      </c>
      <c r="AH877">
        <f t="shared" si="399"/>
        <v>63</v>
      </c>
      <c r="AI877">
        <f t="shared" si="400"/>
        <v>132</v>
      </c>
      <c r="AJ877">
        <f t="shared" si="401"/>
        <v>120</v>
      </c>
      <c r="AK877">
        <f t="shared" si="402"/>
        <v>88</v>
      </c>
      <c r="AL877">
        <f t="shared" si="403"/>
        <v>79</v>
      </c>
      <c r="AM877">
        <f t="shared" si="404"/>
        <v>65</v>
      </c>
      <c r="AN877">
        <f t="shared" si="405"/>
        <v>180</v>
      </c>
      <c r="AO877">
        <f t="shared" si="406"/>
        <v>164</v>
      </c>
      <c r="AP877">
        <f t="shared" si="407"/>
        <v>132</v>
      </c>
      <c r="AQ877">
        <f t="shared" si="408"/>
        <v>118</v>
      </c>
      <c r="AR877">
        <f t="shared" si="409"/>
        <v>105</v>
      </c>
      <c r="AS877">
        <f t="shared" si="410"/>
        <v>226</v>
      </c>
      <c r="AT877">
        <f t="shared" si="411"/>
        <v>206</v>
      </c>
      <c r="AU877">
        <f t="shared" si="412"/>
        <v>174</v>
      </c>
      <c r="AV877">
        <f t="shared" si="413"/>
        <v>156</v>
      </c>
      <c r="AW877">
        <f t="shared" si="414"/>
        <v>143</v>
      </c>
      <c r="AX877">
        <f t="shared" si="415"/>
        <v>139</v>
      </c>
      <c r="AY877">
        <f t="shared" si="416"/>
        <v>127</v>
      </c>
      <c r="AZ877">
        <f t="shared" si="417"/>
        <v>95</v>
      </c>
      <c r="BA877">
        <f t="shared" si="418"/>
        <v>85</v>
      </c>
      <c r="BB877">
        <f t="shared" si="419"/>
        <v>72</v>
      </c>
    </row>
    <row r="878" spans="1:54" x14ac:dyDescent="0.15">
      <c r="A878">
        <v>588</v>
      </c>
      <c r="B878" t="s">
        <v>3044</v>
      </c>
      <c r="C878">
        <v>671</v>
      </c>
      <c r="D878">
        <v>0</v>
      </c>
      <c r="E878" t="s">
        <v>3045</v>
      </c>
      <c r="F878" t="s">
        <v>3035</v>
      </c>
      <c r="G878" t="s">
        <v>3045</v>
      </c>
      <c r="H878" t="s">
        <v>3051</v>
      </c>
      <c r="J878" t="s">
        <v>3047</v>
      </c>
      <c r="K878">
        <v>10</v>
      </c>
      <c r="L878">
        <v>1.1000000000000001</v>
      </c>
      <c r="M878" t="s">
        <v>233</v>
      </c>
      <c r="O878" t="s">
        <v>3027</v>
      </c>
      <c r="P878" t="s">
        <v>3028</v>
      </c>
      <c r="R878">
        <v>9</v>
      </c>
      <c r="S878">
        <v>78</v>
      </c>
      <c r="T878">
        <v>65</v>
      </c>
      <c r="U878">
        <v>68</v>
      </c>
      <c r="V878">
        <v>112</v>
      </c>
      <c r="W878">
        <v>154</v>
      </c>
      <c r="X878">
        <v>75</v>
      </c>
      <c r="Y878">
        <f t="shared" si="390"/>
        <v>185</v>
      </c>
      <c r="Z878">
        <f t="shared" si="391"/>
        <v>185</v>
      </c>
      <c r="AA878">
        <f t="shared" si="392"/>
        <v>153</v>
      </c>
      <c r="AB878">
        <f t="shared" si="393"/>
        <v>153</v>
      </c>
      <c r="AC878">
        <f t="shared" si="394"/>
        <v>138</v>
      </c>
      <c r="AD878">
        <f t="shared" si="395"/>
        <v>128</v>
      </c>
      <c r="AE878">
        <f t="shared" si="396"/>
        <v>117</v>
      </c>
      <c r="AF878">
        <f t="shared" si="397"/>
        <v>85</v>
      </c>
      <c r="AG878">
        <f t="shared" si="398"/>
        <v>76</v>
      </c>
      <c r="AH878">
        <f t="shared" si="399"/>
        <v>63</v>
      </c>
      <c r="AI878">
        <f t="shared" si="400"/>
        <v>132</v>
      </c>
      <c r="AJ878">
        <f t="shared" si="401"/>
        <v>120</v>
      </c>
      <c r="AK878">
        <f t="shared" si="402"/>
        <v>88</v>
      </c>
      <c r="AL878">
        <f t="shared" si="403"/>
        <v>79</v>
      </c>
      <c r="AM878">
        <f t="shared" si="404"/>
        <v>65</v>
      </c>
      <c r="AN878">
        <f t="shared" si="405"/>
        <v>180</v>
      </c>
      <c r="AO878">
        <f t="shared" si="406"/>
        <v>164</v>
      </c>
      <c r="AP878">
        <f t="shared" si="407"/>
        <v>132</v>
      </c>
      <c r="AQ878">
        <f t="shared" si="408"/>
        <v>118</v>
      </c>
      <c r="AR878">
        <f t="shared" si="409"/>
        <v>105</v>
      </c>
      <c r="AS878">
        <f t="shared" si="410"/>
        <v>226</v>
      </c>
      <c r="AT878">
        <f t="shared" si="411"/>
        <v>206</v>
      </c>
      <c r="AU878">
        <f t="shared" si="412"/>
        <v>174</v>
      </c>
      <c r="AV878">
        <f t="shared" si="413"/>
        <v>156</v>
      </c>
      <c r="AW878">
        <f t="shared" si="414"/>
        <v>143</v>
      </c>
      <c r="AX878">
        <f t="shared" si="415"/>
        <v>139</v>
      </c>
      <c r="AY878">
        <f t="shared" si="416"/>
        <v>127</v>
      </c>
      <c r="AZ878">
        <f t="shared" si="417"/>
        <v>95</v>
      </c>
      <c r="BA878">
        <f t="shared" si="418"/>
        <v>85</v>
      </c>
      <c r="BB878">
        <f t="shared" si="419"/>
        <v>72</v>
      </c>
    </row>
    <row r="879" spans="1:54" x14ac:dyDescent="0.15">
      <c r="A879">
        <v>601</v>
      </c>
      <c r="B879" t="s">
        <v>3052</v>
      </c>
      <c r="C879">
        <v>672</v>
      </c>
      <c r="D879">
        <v>0</v>
      </c>
      <c r="E879" t="s">
        <v>3053</v>
      </c>
      <c r="G879" t="s">
        <v>3053</v>
      </c>
      <c r="H879" t="s">
        <v>3054</v>
      </c>
      <c r="J879" t="s">
        <v>3055</v>
      </c>
      <c r="K879">
        <v>31</v>
      </c>
      <c r="L879">
        <v>0.9</v>
      </c>
      <c r="M879" t="s">
        <v>26</v>
      </c>
      <c r="O879" t="s">
        <v>965</v>
      </c>
      <c r="P879" t="s">
        <v>3056</v>
      </c>
      <c r="R879">
        <v>9</v>
      </c>
      <c r="S879">
        <v>66</v>
      </c>
      <c r="T879">
        <v>65</v>
      </c>
      <c r="U879">
        <v>48</v>
      </c>
      <c r="V879">
        <v>62</v>
      </c>
      <c r="W879">
        <v>57</v>
      </c>
      <c r="X879">
        <v>52</v>
      </c>
      <c r="Y879">
        <f t="shared" si="390"/>
        <v>173</v>
      </c>
      <c r="Z879">
        <f t="shared" si="391"/>
        <v>173</v>
      </c>
      <c r="AA879">
        <f t="shared" si="392"/>
        <v>141</v>
      </c>
      <c r="AB879">
        <f t="shared" si="393"/>
        <v>141</v>
      </c>
      <c r="AC879">
        <f t="shared" si="394"/>
        <v>126</v>
      </c>
      <c r="AD879">
        <f t="shared" si="395"/>
        <v>128</v>
      </c>
      <c r="AE879">
        <f t="shared" si="396"/>
        <v>117</v>
      </c>
      <c r="AF879">
        <f t="shared" si="397"/>
        <v>85</v>
      </c>
      <c r="AG879">
        <f t="shared" si="398"/>
        <v>76</v>
      </c>
      <c r="AH879">
        <f t="shared" si="399"/>
        <v>63</v>
      </c>
      <c r="AI879">
        <f t="shared" si="400"/>
        <v>110</v>
      </c>
      <c r="AJ879">
        <f t="shared" si="401"/>
        <v>100</v>
      </c>
      <c r="AK879">
        <f t="shared" si="402"/>
        <v>68</v>
      </c>
      <c r="AL879">
        <f t="shared" si="403"/>
        <v>61</v>
      </c>
      <c r="AM879">
        <f t="shared" si="404"/>
        <v>47</v>
      </c>
      <c r="AN879">
        <f t="shared" si="405"/>
        <v>125</v>
      </c>
      <c r="AO879">
        <f t="shared" si="406"/>
        <v>114</v>
      </c>
      <c r="AP879">
        <f t="shared" si="407"/>
        <v>82</v>
      </c>
      <c r="AQ879">
        <f t="shared" si="408"/>
        <v>73</v>
      </c>
      <c r="AR879">
        <f t="shared" si="409"/>
        <v>60</v>
      </c>
      <c r="AS879">
        <f t="shared" si="410"/>
        <v>119</v>
      </c>
      <c r="AT879">
        <f t="shared" si="411"/>
        <v>109</v>
      </c>
      <c r="AU879">
        <f t="shared" si="412"/>
        <v>77</v>
      </c>
      <c r="AV879">
        <f t="shared" si="413"/>
        <v>69</v>
      </c>
      <c r="AW879">
        <f t="shared" si="414"/>
        <v>55</v>
      </c>
      <c r="AX879">
        <f t="shared" si="415"/>
        <v>114</v>
      </c>
      <c r="AY879">
        <f t="shared" si="416"/>
        <v>104</v>
      </c>
      <c r="AZ879">
        <f t="shared" si="417"/>
        <v>72</v>
      </c>
      <c r="BA879">
        <f t="shared" si="418"/>
        <v>64</v>
      </c>
      <c r="BB879">
        <f t="shared" si="419"/>
        <v>51</v>
      </c>
    </row>
    <row r="880" spans="1:54" x14ac:dyDescent="0.15">
      <c r="A880">
        <v>602</v>
      </c>
      <c r="B880" t="s">
        <v>3057</v>
      </c>
      <c r="C880">
        <v>673</v>
      </c>
      <c r="D880">
        <v>0</v>
      </c>
      <c r="E880" t="s">
        <v>3058</v>
      </c>
      <c r="G880" t="s">
        <v>3058</v>
      </c>
      <c r="H880" t="s">
        <v>3059</v>
      </c>
      <c r="J880" t="s">
        <v>3055</v>
      </c>
      <c r="K880">
        <v>91</v>
      </c>
      <c r="L880">
        <v>1.7</v>
      </c>
      <c r="M880" t="s">
        <v>26</v>
      </c>
      <c r="O880" t="s">
        <v>965</v>
      </c>
      <c r="P880" t="s">
        <v>3056</v>
      </c>
      <c r="R880">
        <v>9</v>
      </c>
      <c r="S880">
        <v>123</v>
      </c>
      <c r="T880">
        <v>100</v>
      </c>
      <c r="U880">
        <v>62</v>
      </c>
      <c r="V880">
        <v>97</v>
      </c>
      <c r="W880">
        <v>81</v>
      </c>
      <c r="X880">
        <v>68</v>
      </c>
      <c r="Y880">
        <f t="shared" si="390"/>
        <v>230</v>
      </c>
      <c r="Z880">
        <f t="shared" si="391"/>
        <v>230</v>
      </c>
      <c r="AA880">
        <f t="shared" si="392"/>
        <v>198</v>
      </c>
      <c r="AB880">
        <f t="shared" si="393"/>
        <v>198</v>
      </c>
      <c r="AC880">
        <f t="shared" si="394"/>
        <v>183</v>
      </c>
      <c r="AD880">
        <f t="shared" si="395"/>
        <v>167</v>
      </c>
      <c r="AE880">
        <f t="shared" si="396"/>
        <v>152</v>
      </c>
      <c r="AF880">
        <f t="shared" si="397"/>
        <v>120</v>
      </c>
      <c r="AG880">
        <f t="shared" si="398"/>
        <v>108</v>
      </c>
      <c r="AH880">
        <f t="shared" si="399"/>
        <v>94</v>
      </c>
      <c r="AI880">
        <f t="shared" si="400"/>
        <v>125</v>
      </c>
      <c r="AJ880">
        <f t="shared" si="401"/>
        <v>114</v>
      </c>
      <c r="AK880">
        <f t="shared" si="402"/>
        <v>82</v>
      </c>
      <c r="AL880">
        <f t="shared" si="403"/>
        <v>73</v>
      </c>
      <c r="AM880">
        <f t="shared" si="404"/>
        <v>60</v>
      </c>
      <c r="AN880">
        <f t="shared" si="405"/>
        <v>163</v>
      </c>
      <c r="AO880">
        <f t="shared" si="406"/>
        <v>149</v>
      </c>
      <c r="AP880">
        <f t="shared" si="407"/>
        <v>117</v>
      </c>
      <c r="AQ880">
        <f t="shared" si="408"/>
        <v>105</v>
      </c>
      <c r="AR880">
        <f t="shared" si="409"/>
        <v>91</v>
      </c>
      <c r="AS880">
        <f t="shared" si="410"/>
        <v>146</v>
      </c>
      <c r="AT880">
        <f t="shared" si="411"/>
        <v>133</v>
      </c>
      <c r="AU880">
        <f t="shared" si="412"/>
        <v>101</v>
      </c>
      <c r="AV880">
        <f t="shared" si="413"/>
        <v>90</v>
      </c>
      <c r="AW880">
        <f t="shared" si="414"/>
        <v>77</v>
      </c>
      <c r="AX880">
        <f t="shared" si="415"/>
        <v>132</v>
      </c>
      <c r="AY880">
        <f t="shared" si="416"/>
        <v>120</v>
      </c>
      <c r="AZ880">
        <f t="shared" si="417"/>
        <v>88</v>
      </c>
      <c r="BA880">
        <f t="shared" si="418"/>
        <v>79</v>
      </c>
      <c r="BB880">
        <f t="shared" si="419"/>
        <v>65</v>
      </c>
    </row>
    <row r="881" spans="1:54" x14ac:dyDescent="0.15">
      <c r="B881" t="s">
        <v>3060</v>
      </c>
      <c r="C881">
        <v>674</v>
      </c>
      <c r="D881">
        <v>0</v>
      </c>
      <c r="E881" t="s">
        <v>3061</v>
      </c>
      <c r="G881" t="s">
        <v>3061</v>
      </c>
      <c r="J881" t="s">
        <v>1825</v>
      </c>
      <c r="K881">
        <v>8</v>
      </c>
      <c r="L881">
        <v>0.6</v>
      </c>
      <c r="M881" t="s">
        <v>354</v>
      </c>
      <c r="O881" t="s">
        <v>629</v>
      </c>
      <c r="P881" t="s">
        <v>713</v>
      </c>
      <c r="Q881" t="s">
        <v>499</v>
      </c>
      <c r="R881">
        <v>8</v>
      </c>
      <c r="S881">
        <v>67</v>
      </c>
      <c r="T881">
        <v>82</v>
      </c>
      <c r="U881">
        <v>62</v>
      </c>
      <c r="V881">
        <v>46</v>
      </c>
      <c r="W881">
        <v>48</v>
      </c>
      <c r="X881">
        <v>43</v>
      </c>
      <c r="Y881">
        <f t="shared" si="390"/>
        <v>174</v>
      </c>
      <c r="Z881">
        <f t="shared" si="391"/>
        <v>174</v>
      </c>
      <c r="AA881">
        <f t="shared" si="392"/>
        <v>142</v>
      </c>
      <c r="AB881">
        <f t="shared" si="393"/>
        <v>142</v>
      </c>
      <c r="AC881">
        <f t="shared" si="394"/>
        <v>127</v>
      </c>
      <c r="AD881">
        <f t="shared" si="395"/>
        <v>147</v>
      </c>
      <c r="AE881">
        <f t="shared" si="396"/>
        <v>134</v>
      </c>
      <c r="AF881">
        <f t="shared" si="397"/>
        <v>102</v>
      </c>
      <c r="AG881">
        <f t="shared" si="398"/>
        <v>91</v>
      </c>
      <c r="AH881">
        <f t="shared" si="399"/>
        <v>78</v>
      </c>
      <c r="AI881">
        <f t="shared" si="400"/>
        <v>125</v>
      </c>
      <c r="AJ881">
        <f t="shared" si="401"/>
        <v>114</v>
      </c>
      <c r="AK881">
        <f t="shared" si="402"/>
        <v>82</v>
      </c>
      <c r="AL881">
        <f t="shared" si="403"/>
        <v>73</v>
      </c>
      <c r="AM881">
        <f t="shared" si="404"/>
        <v>60</v>
      </c>
      <c r="AN881">
        <f t="shared" si="405"/>
        <v>107</v>
      </c>
      <c r="AO881">
        <f t="shared" si="406"/>
        <v>98</v>
      </c>
      <c r="AP881">
        <f t="shared" si="407"/>
        <v>66</v>
      </c>
      <c r="AQ881">
        <f t="shared" si="408"/>
        <v>59</v>
      </c>
      <c r="AR881">
        <f t="shared" si="409"/>
        <v>45</v>
      </c>
      <c r="AS881">
        <f t="shared" si="410"/>
        <v>110</v>
      </c>
      <c r="AT881">
        <f t="shared" si="411"/>
        <v>100</v>
      </c>
      <c r="AU881">
        <f t="shared" si="412"/>
        <v>68</v>
      </c>
      <c r="AV881">
        <f t="shared" si="413"/>
        <v>61</v>
      </c>
      <c r="AW881">
        <f t="shared" si="414"/>
        <v>47</v>
      </c>
      <c r="AX881">
        <f t="shared" si="415"/>
        <v>104</v>
      </c>
      <c r="AY881">
        <f t="shared" si="416"/>
        <v>95</v>
      </c>
      <c r="AZ881">
        <f t="shared" si="417"/>
        <v>63</v>
      </c>
      <c r="BA881">
        <f t="shared" si="418"/>
        <v>56</v>
      </c>
      <c r="BB881">
        <f t="shared" si="419"/>
        <v>43</v>
      </c>
    </row>
    <row r="882" spans="1:54" x14ac:dyDescent="0.15">
      <c r="B882" t="s">
        <v>3062</v>
      </c>
      <c r="C882">
        <v>675</v>
      </c>
      <c r="D882">
        <v>0</v>
      </c>
      <c r="E882" t="s">
        <v>3063</v>
      </c>
      <c r="G882" t="s">
        <v>3063</v>
      </c>
      <c r="J882" t="s">
        <v>3064</v>
      </c>
      <c r="K882">
        <v>136</v>
      </c>
      <c r="L882">
        <v>2.1</v>
      </c>
      <c r="M882" t="s">
        <v>354</v>
      </c>
      <c r="N882" t="s">
        <v>140</v>
      </c>
      <c r="O882" t="s">
        <v>629</v>
      </c>
      <c r="P882" t="s">
        <v>713</v>
      </c>
      <c r="Q882" t="s">
        <v>499</v>
      </c>
      <c r="R882">
        <v>8</v>
      </c>
      <c r="S882">
        <v>95</v>
      </c>
      <c r="T882">
        <v>124</v>
      </c>
      <c r="U882">
        <v>78</v>
      </c>
      <c r="V882">
        <v>69</v>
      </c>
      <c r="W882">
        <v>71</v>
      </c>
      <c r="X882">
        <v>58</v>
      </c>
      <c r="Y882">
        <f t="shared" si="390"/>
        <v>202</v>
      </c>
      <c r="Z882">
        <f t="shared" si="391"/>
        <v>202</v>
      </c>
      <c r="AA882">
        <f t="shared" si="392"/>
        <v>170</v>
      </c>
      <c r="AB882">
        <f t="shared" si="393"/>
        <v>170</v>
      </c>
      <c r="AC882">
        <f t="shared" si="394"/>
        <v>155</v>
      </c>
      <c r="AD882">
        <f t="shared" si="395"/>
        <v>193</v>
      </c>
      <c r="AE882">
        <f t="shared" si="396"/>
        <v>176</v>
      </c>
      <c r="AF882">
        <f t="shared" si="397"/>
        <v>144</v>
      </c>
      <c r="AG882">
        <f t="shared" si="398"/>
        <v>129</v>
      </c>
      <c r="AH882">
        <f t="shared" si="399"/>
        <v>116</v>
      </c>
      <c r="AI882">
        <f t="shared" si="400"/>
        <v>143</v>
      </c>
      <c r="AJ882">
        <f t="shared" si="401"/>
        <v>130</v>
      </c>
      <c r="AK882">
        <f t="shared" si="402"/>
        <v>98</v>
      </c>
      <c r="AL882">
        <f t="shared" si="403"/>
        <v>88</v>
      </c>
      <c r="AM882">
        <f t="shared" si="404"/>
        <v>74</v>
      </c>
      <c r="AN882">
        <f t="shared" si="405"/>
        <v>133</v>
      </c>
      <c r="AO882">
        <f t="shared" si="406"/>
        <v>121</v>
      </c>
      <c r="AP882">
        <f t="shared" si="407"/>
        <v>89</v>
      </c>
      <c r="AQ882">
        <f t="shared" si="408"/>
        <v>80</v>
      </c>
      <c r="AR882">
        <f t="shared" si="409"/>
        <v>66</v>
      </c>
      <c r="AS882">
        <f t="shared" si="410"/>
        <v>135</v>
      </c>
      <c r="AT882">
        <f t="shared" si="411"/>
        <v>123</v>
      </c>
      <c r="AU882">
        <f t="shared" si="412"/>
        <v>91</v>
      </c>
      <c r="AV882">
        <f t="shared" si="413"/>
        <v>81</v>
      </c>
      <c r="AW882">
        <f t="shared" si="414"/>
        <v>68</v>
      </c>
      <c r="AX882">
        <f t="shared" si="415"/>
        <v>121</v>
      </c>
      <c r="AY882">
        <f t="shared" si="416"/>
        <v>110</v>
      </c>
      <c r="AZ882">
        <f t="shared" si="417"/>
        <v>78</v>
      </c>
      <c r="BA882">
        <f t="shared" si="418"/>
        <v>70</v>
      </c>
      <c r="BB882">
        <f t="shared" si="419"/>
        <v>56</v>
      </c>
    </row>
    <row r="883" spans="1:54" x14ac:dyDescent="0.15">
      <c r="B883" t="s">
        <v>3065</v>
      </c>
      <c r="C883">
        <v>676</v>
      </c>
      <c r="D883">
        <v>0</v>
      </c>
      <c r="E883" t="s">
        <v>3066</v>
      </c>
      <c r="F883" t="s">
        <v>3067</v>
      </c>
      <c r="G883" t="s">
        <v>3066</v>
      </c>
      <c r="J883" t="s">
        <v>3068</v>
      </c>
      <c r="K883">
        <v>28</v>
      </c>
      <c r="L883">
        <v>1.2</v>
      </c>
      <c r="M883" t="s">
        <v>120</v>
      </c>
      <c r="O883" t="s">
        <v>340</v>
      </c>
      <c r="R883">
        <v>7</v>
      </c>
      <c r="S883">
        <v>75</v>
      </c>
      <c r="T883">
        <v>80</v>
      </c>
      <c r="U883">
        <v>60</v>
      </c>
      <c r="V883">
        <v>65</v>
      </c>
      <c r="W883">
        <v>90</v>
      </c>
      <c r="X883">
        <v>102</v>
      </c>
      <c r="Y883">
        <f t="shared" si="390"/>
        <v>182</v>
      </c>
      <c r="Z883">
        <f t="shared" si="391"/>
        <v>182</v>
      </c>
      <c r="AA883">
        <f t="shared" si="392"/>
        <v>150</v>
      </c>
      <c r="AB883">
        <f t="shared" si="393"/>
        <v>150</v>
      </c>
      <c r="AC883">
        <f t="shared" si="394"/>
        <v>135</v>
      </c>
      <c r="AD883">
        <f t="shared" si="395"/>
        <v>145</v>
      </c>
      <c r="AE883">
        <f t="shared" si="396"/>
        <v>132</v>
      </c>
      <c r="AF883">
        <f t="shared" si="397"/>
        <v>100</v>
      </c>
      <c r="AG883">
        <f t="shared" si="398"/>
        <v>90</v>
      </c>
      <c r="AH883">
        <f t="shared" si="399"/>
        <v>76</v>
      </c>
      <c r="AI883">
        <f t="shared" si="400"/>
        <v>123</v>
      </c>
      <c r="AJ883">
        <f t="shared" si="401"/>
        <v>112</v>
      </c>
      <c r="AK883">
        <f t="shared" si="402"/>
        <v>80</v>
      </c>
      <c r="AL883">
        <f t="shared" si="403"/>
        <v>72</v>
      </c>
      <c r="AM883">
        <f t="shared" si="404"/>
        <v>58</v>
      </c>
      <c r="AN883">
        <f t="shared" si="405"/>
        <v>128</v>
      </c>
      <c r="AO883">
        <f t="shared" si="406"/>
        <v>117</v>
      </c>
      <c r="AP883">
        <f t="shared" si="407"/>
        <v>85</v>
      </c>
      <c r="AQ883">
        <f t="shared" si="408"/>
        <v>76</v>
      </c>
      <c r="AR883">
        <f t="shared" si="409"/>
        <v>63</v>
      </c>
      <c r="AS883">
        <f t="shared" si="410"/>
        <v>156</v>
      </c>
      <c r="AT883">
        <f t="shared" si="411"/>
        <v>142</v>
      </c>
      <c r="AU883">
        <f t="shared" si="412"/>
        <v>110</v>
      </c>
      <c r="AV883">
        <f t="shared" si="413"/>
        <v>99</v>
      </c>
      <c r="AW883">
        <f t="shared" si="414"/>
        <v>85</v>
      </c>
      <c r="AX883">
        <f t="shared" si="415"/>
        <v>169</v>
      </c>
      <c r="AY883">
        <f t="shared" si="416"/>
        <v>154</v>
      </c>
      <c r="AZ883">
        <f t="shared" si="417"/>
        <v>122</v>
      </c>
      <c r="BA883">
        <f t="shared" si="418"/>
        <v>109</v>
      </c>
      <c r="BB883">
        <f t="shared" si="419"/>
        <v>96</v>
      </c>
    </row>
    <row r="884" spans="1:54" x14ac:dyDescent="0.15">
      <c r="A884">
        <v>603</v>
      </c>
      <c r="B884" t="s">
        <v>3069</v>
      </c>
      <c r="C884">
        <v>677</v>
      </c>
      <c r="D884">
        <v>0</v>
      </c>
      <c r="E884" t="s">
        <v>3070</v>
      </c>
      <c r="G884" t="s">
        <v>3070</v>
      </c>
      <c r="H884" t="s">
        <v>3071</v>
      </c>
      <c r="J884" t="s">
        <v>3072</v>
      </c>
      <c r="K884">
        <v>3.5</v>
      </c>
      <c r="L884">
        <v>0.3</v>
      </c>
      <c r="M884" t="s">
        <v>191</v>
      </c>
      <c r="O884" t="s">
        <v>121</v>
      </c>
      <c r="P884" t="s">
        <v>269</v>
      </c>
      <c r="Q884" t="s">
        <v>470</v>
      </c>
      <c r="R884">
        <v>9</v>
      </c>
      <c r="S884">
        <v>62</v>
      </c>
      <c r="T884">
        <v>48</v>
      </c>
      <c r="U884">
        <v>54</v>
      </c>
      <c r="V884">
        <v>63</v>
      </c>
      <c r="W884">
        <v>60</v>
      </c>
      <c r="X884">
        <v>68</v>
      </c>
      <c r="Y884">
        <f t="shared" si="390"/>
        <v>169</v>
      </c>
      <c r="Z884">
        <f t="shared" si="391"/>
        <v>169</v>
      </c>
      <c r="AA884">
        <f t="shared" si="392"/>
        <v>137</v>
      </c>
      <c r="AB884">
        <f t="shared" si="393"/>
        <v>137</v>
      </c>
      <c r="AC884">
        <f t="shared" si="394"/>
        <v>122</v>
      </c>
      <c r="AD884">
        <f t="shared" si="395"/>
        <v>110</v>
      </c>
      <c r="AE884">
        <f t="shared" si="396"/>
        <v>100</v>
      </c>
      <c r="AF884">
        <f t="shared" si="397"/>
        <v>68</v>
      </c>
      <c r="AG884">
        <f t="shared" si="398"/>
        <v>61</v>
      </c>
      <c r="AH884">
        <f t="shared" si="399"/>
        <v>47</v>
      </c>
      <c r="AI884">
        <f t="shared" si="400"/>
        <v>116</v>
      </c>
      <c r="AJ884">
        <f t="shared" si="401"/>
        <v>106</v>
      </c>
      <c r="AK884">
        <f t="shared" si="402"/>
        <v>74</v>
      </c>
      <c r="AL884">
        <f t="shared" si="403"/>
        <v>66</v>
      </c>
      <c r="AM884">
        <f t="shared" si="404"/>
        <v>53</v>
      </c>
      <c r="AN884">
        <f t="shared" si="405"/>
        <v>126</v>
      </c>
      <c r="AO884">
        <f t="shared" si="406"/>
        <v>115</v>
      </c>
      <c r="AP884">
        <f t="shared" si="407"/>
        <v>83</v>
      </c>
      <c r="AQ884">
        <f t="shared" si="408"/>
        <v>74</v>
      </c>
      <c r="AR884">
        <f t="shared" si="409"/>
        <v>61</v>
      </c>
      <c r="AS884">
        <f t="shared" si="410"/>
        <v>123</v>
      </c>
      <c r="AT884">
        <f t="shared" si="411"/>
        <v>112</v>
      </c>
      <c r="AU884">
        <f t="shared" si="412"/>
        <v>80</v>
      </c>
      <c r="AV884">
        <f t="shared" si="413"/>
        <v>72</v>
      </c>
      <c r="AW884">
        <f t="shared" si="414"/>
        <v>58</v>
      </c>
      <c r="AX884">
        <f t="shared" si="415"/>
        <v>132</v>
      </c>
      <c r="AY884">
        <f t="shared" si="416"/>
        <v>120</v>
      </c>
      <c r="AZ884">
        <f t="shared" si="417"/>
        <v>88</v>
      </c>
      <c r="BA884">
        <f t="shared" si="418"/>
        <v>79</v>
      </c>
      <c r="BB884">
        <f t="shared" si="419"/>
        <v>65</v>
      </c>
    </row>
    <row r="885" spans="1:54" x14ac:dyDescent="0.15">
      <c r="A885">
        <v>604</v>
      </c>
      <c r="B885" t="s">
        <v>3073</v>
      </c>
      <c r="C885">
        <v>678</v>
      </c>
      <c r="D885">
        <v>0</v>
      </c>
      <c r="E885" t="s">
        <v>3074</v>
      </c>
      <c r="F885" t="s">
        <v>3075</v>
      </c>
      <c r="G885" t="s">
        <v>3076</v>
      </c>
      <c r="H885" t="s">
        <v>3077</v>
      </c>
      <c r="J885" t="s">
        <v>3078</v>
      </c>
      <c r="K885">
        <v>8.5</v>
      </c>
      <c r="L885">
        <v>0.6</v>
      </c>
      <c r="M885" t="s">
        <v>191</v>
      </c>
      <c r="O885" t="s">
        <v>121</v>
      </c>
      <c r="P885" t="s">
        <v>269</v>
      </c>
      <c r="Q885" t="s">
        <v>1027</v>
      </c>
      <c r="R885">
        <v>9</v>
      </c>
      <c r="S885">
        <v>74</v>
      </c>
      <c r="T885">
        <v>48</v>
      </c>
      <c r="U885">
        <v>76</v>
      </c>
      <c r="V885">
        <v>83</v>
      </c>
      <c r="W885">
        <v>81</v>
      </c>
      <c r="X885">
        <v>104</v>
      </c>
      <c r="Y885">
        <f t="shared" si="390"/>
        <v>181</v>
      </c>
      <c r="Z885">
        <f t="shared" si="391"/>
        <v>181</v>
      </c>
      <c r="AA885">
        <f t="shared" si="392"/>
        <v>149</v>
      </c>
      <c r="AB885">
        <f t="shared" si="393"/>
        <v>149</v>
      </c>
      <c r="AC885">
        <f t="shared" si="394"/>
        <v>134</v>
      </c>
      <c r="AD885">
        <f t="shared" si="395"/>
        <v>110</v>
      </c>
      <c r="AE885">
        <f t="shared" si="396"/>
        <v>100</v>
      </c>
      <c r="AF885">
        <f t="shared" si="397"/>
        <v>68</v>
      </c>
      <c r="AG885">
        <f t="shared" si="398"/>
        <v>61</v>
      </c>
      <c r="AH885">
        <f t="shared" si="399"/>
        <v>47</v>
      </c>
      <c r="AI885">
        <f t="shared" si="400"/>
        <v>140</v>
      </c>
      <c r="AJ885">
        <f t="shared" si="401"/>
        <v>128</v>
      </c>
      <c r="AK885">
        <f t="shared" si="402"/>
        <v>96</v>
      </c>
      <c r="AL885">
        <f t="shared" si="403"/>
        <v>86</v>
      </c>
      <c r="AM885">
        <f t="shared" si="404"/>
        <v>72</v>
      </c>
      <c r="AN885">
        <f t="shared" si="405"/>
        <v>148</v>
      </c>
      <c r="AO885">
        <f t="shared" si="406"/>
        <v>135</v>
      </c>
      <c r="AP885">
        <f t="shared" si="407"/>
        <v>103</v>
      </c>
      <c r="AQ885">
        <f t="shared" si="408"/>
        <v>92</v>
      </c>
      <c r="AR885">
        <f t="shared" si="409"/>
        <v>79</v>
      </c>
      <c r="AS885">
        <f t="shared" si="410"/>
        <v>146</v>
      </c>
      <c r="AT885">
        <f t="shared" si="411"/>
        <v>133</v>
      </c>
      <c r="AU885">
        <f t="shared" si="412"/>
        <v>101</v>
      </c>
      <c r="AV885">
        <f t="shared" si="413"/>
        <v>90</v>
      </c>
      <c r="AW885">
        <f t="shared" si="414"/>
        <v>77</v>
      </c>
      <c r="AX885">
        <f t="shared" si="415"/>
        <v>171</v>
      </c>
      <c r="AY885">
        <f t="shared" si="416"/>
        <v>156</v>
      </c>
      <c r="AZ885">
        <f t="shared" si="417"/>
        <v>124</v>
      </c>
      <c r="BA885">
        <f t="shared" si="418"/>
        <v>111</v>
      </c>
      <c r="BB885">
        <f t="shared" si="419"/>
        <v>98</v>
      </c>
    </row>
    <row r="886" spans="1:54" x14ac:dyDescent="0.15">
      <c r="A886">
        <v>605</v>
      </c>
      <c r="B886" t="s">
        <v>3079</v>
      </c>
      <c r="C886">
        <v>678</v>
      </c>
      <c r="D886">
        <v>1</v>
      </c>
      <c r="E886" t="s">
        <v>3074</v>
      </c>
      <c r="F886" t="s">
        <v>3080</v>
      </c>
      <c r="G886" t="s">
        <v>3081</v>
      </c>
      <c r="H886" t="s">
        <v>3082</v>
      </c>
      <c r="J886" t="s">
        <v>3078</v>
      </c>
      <c r="K886">
        <v>8.5</v>
      </c>
      <c r="L886">
        <v>0.6</v>
      </c>
      <c r="M886" t="s">
        <v>191</v>
      </c>
      <c r="O886" t="s">
        <v>121</v>
      </c>
      <c r="P886" t="s">
        <v>269</v>
      </c>
      <c r="Q886" t="s">
        <v>260</v>
      </c>
      <c r="R886">
        <v>9</v>
      </c>
      <c r="S886">
        <v>74</v>
      </c>
      <c r="T886">
        <v>48</v>
      </c>
      <c r="U886">
        <v>76</v>
      </c>
      <c r="V886">
        <v>83</v>
      </c>
      <c r="W886">
        <v>81</v>
      </c>
      <c r="X886">
        <v>104</v>
      </c>
      <c r="Y886">
        <f t="shared" si="390"/>
        <v>181</v>
      </c>
      <c r="Z886">
        <f t="shared" si="391"/>
        <v>181</v>
      </c>
      <c r="AA886">
        <f t="shared" si="392"/>
        <v>149</v>
      </c>
      <c r="AB886">
        <f t="shared" si="393"/>
        <v>149</v>
      </c>
      <c r="AC886">
        <f t="shared" si="394"/>
        <v>134</v>
      </c>
      <c r="AD886">
        <f t="shared" si="395"/>
        <v>110</v>
      </c>
      <c r="AE886">
        <f t="shared" si="396"/>
        <v>100</v>
      </c>
      <c r="AF886">
        <f t="shared" si="397"/>
        <v>68</v>
      </c>
      <c r="AG886">
        <f t="shared" si="398"/>
        <v>61</v>
      </c>
      <c r="AH886">
        <f t="shared" si="399"/>
        <v>47</v>
      </c>
      <c r="AI886">
        <f t="shared" si="400"/>
        <v>140</v>
      </c>
      <c r="AJ886">
        <f t="shared" si="401"/>
        <v>128</v>
      </c>
      <c r="AK886">
        <f t="shared" si="402"/>
        <v>96</v>
      </c>
      <c r="AL886">
        <f t="shared" si="403"/>
        <v>86</v>
      </c>
      <c r="AM886">
        <f t="shared" si="404"/>
        <v>72</v>
      </c>
      <c r="AN886">
        <f t="shared" si="405"/>
        <v>148</v>
      </c>
      <c r="AO886">
        <f t="shared" si="406"/>
        <v>135</v>
      </c>
      <c r="AP886">
        <f t="shared" si="407"/>
        <v>103</v>
      </c>
      <c r="AQ886">
        <f t="shared" si="408"/>
        <v>92</v>
      </c>
      <c r="AR886">
        <f t="shared" si="409"/>
        <v>79</v>
      </c>
      <c r="AS886">
        <f t="shared" si="410"/>
        <v>146</v>
      </c>
      <c r="AT886">
        <f t="shared" si="411"/>
        <v>133</v>
      </c>
      <c r="AU886">
        <f t="shared" si="412"/>
        <v>101</v>
      </c>
      <c r="AV886">
        <f t="shared" si="413"/>
        <v>90</v>
      </c>
      <c r="AW886">
        <f t="shared" si="414"/>
        <v>77</v>
      </c>
      <c r="AX886">
        <f t="shared" si="415"/>
        <v>171</v>
      </c>
      <c r="AY886">
        <f t="shared" si="416"/>
        <v>156</v>
      </c>
      <c r="AZ886">
        <f t="shared" si="417"/>
        <v>124</v>
      </c>
      <c r="BA886">
        <f t="shared" si="418"/>
        <v>111</v>
      </c>
      <c r="BB886">
        <f t="shared" si="419"/>
        <v>98</v>
      </c>
    </row>
    <row r="887" spans="1:54" x14ac:dyDescent="0.15">
      <c r="B887" t="s">
        <v>3083</v>
      </c>
      <c r="C887">
        <v>679</v>
      </c>
      <c r="D887">
        <v>0</v>
      </c>
      <c r="E887" t="s">
        <v>3084</v>
      </c>
      <c r="G887" t="s">
        <v>3084</v>
      </c>
      <c r="J887" t="s">
        <v>3085</v>
      </c>
      <c r="K887">
        <v>2</v>
      </c>
      <c r="L887">
        <v>0.8</v>
      </c>
      <c r="M887" t="s">
        <v>203</v>
      </c>
      <c r="N887" t="s">
        <v>546</v>
      </c>
      <c r="O887" t="s">
        <v>131</v>
      </c>
      <c r="R887">
        <v>8</v>
      </c>
      <c r="S887">
        <v>45</v>
      </c>
      <c r="T887">
        <v>80</v>
      </c>
      <c r="U887">
        <v>100</v>
      </c>
      <c r="V887">
        <v>35</v>
      </c>
      <c r="W887">
        <v>37</v>
      </c>
      <c r="X887">
        <v>28</v>
      </c>
      <c r="Y887">
        <f t="shared" si="390"/>
        <v>152</v>
      </c>
      <c r="Z887">
        <f t="shared" si="391"/>
        <v>152</v>
      </c>
      <c r="AA887">
        <f t="shared" si="392"/>
        <v>120</v>
      </c>
      <c r="AB887">
        <f t="shared" si="393"/>
        <v>120</v>
      </c>
      <c r="AC887">
        <f t="shared" si="394"/>
        <v>105</v>
      </c>
      <c r="AD887">
        <f t="shared" si="395"/>
        <v>145</v>
      </c>
      <c r="AE887">
        <f t="shared" si="396"/>
        <v>132</v>
      </c>
      <c r="AF887">
        <f t="shared" si="397"/>
        <v>100</v>
      </c>
      <c r="AG887">
        <f t="shared" si="398"/>
        <v>90</v>
      </c>
      <c r="AH887">
        <f t="shared" si="399"/>
        <v>76</v>
      </c>
      <c r="AI887">
        <f t="shared" si="400"/>
        <v>167</v>
      </c>
      <c r="AJ887">
        <f t="shared" si="401"/>
        <v>152</v>
      </c>
      <c r="AK887">
        <f t="shared" si="402"/>
        <v>120</v>
      </c>
      <c r="AL887">
        <f t="shared" si="403"/>
        <v>108</v>
      </c>
      <c r="AM887">
        <f t="shared" si="404"/>
        <v>94</v>
      </c>
      <c r="AN887">
        <f t="shared" si="405"/>
        <v>95</v>
      </c>
      <c r="AO887">
        <f t="shared" si="406"/>
        <v>87</v>
      </c>
      <c r="AP887">
        <f t="shared" si="407"/>
        <v>55</v>
      </c>
      <c r="AQ887">
        <f t="shared" si="408"/>
        <v>49</v>
      </c>
      <c r="AR887">
        <f t="shared" si="409"/>
        <v>36</v>
      </c>
      <c r="AS887">
        <f t="shared" si="410"/>
        <v>97</v>
      </c>
      <c r="AT887">
        <f t="shared" si="411"/>
        <v>89</v>
      </c>
      <c r="AU887">
        <f t="shared" si="412"/>
        <v>57</v>
      </c>
      <c r="AV887">
        <f t="shared" si="413"/>
        <v>51</v>
      </c>
      <c r="AW887">
        <f t="shared" si="414"/>
        <v>37</v>
      </c>
      <c r="AX887">
        <f t="shared" si="415"/>
        <v>88</v>
      </c>
      <c r="AY887">
        <f t="shared" si="416"/>
        <v>80</v>
      </c>
      <c r="AZ887">
        <f t="shared" si="417"/>
        <v>48</v>
      </c>
      <c r="BA887">
        <f t="shared" si="418"/>
        <v>43</v>
      </c>
      <c r="BB887">
        <f t="shared" si="419"/>
        <v>29</v>
      </c>
    </row>
    <row r="888" spans="1:54" x14ac:dyDescent="0.15">
      <c r="B888" t="s">
        <v>3086</v>
      </c>
      <c r="C888">
        <v>680</v>
      </c>
      <c r="D888">
        <v>0</v>
      </c>
      <c r="E888" t="s">
        <v>3087</v>
      </c>
      <c r="G888" t="s">
        <v>3087</v>
      </c>
      <c r="J888" t="s">
        <v>3085</v>
      </c>
      <c r="K888">
        <v>4.5</v>
      </c>
      <c r="L888">
        <v>0.8</v>
      </c>
      <c r="M888" t="s">
        <v>203</v>
      </c>
      <c r="N888" t="s">
        <v>546</v>
      </c>
      <c r="O888" t="s">
        <v>131</v>
      </c>
      <c r="R888">
        <v>8</v>
      </c>
      <c r="S888">
        <v>59</v>
      </c>
      <c r="T888">
        <v>110</v>
      </c>
      <c r="U888">
        <v>150</v>
      </c>
      <c r="V888">
        <v>45</v>
      </c>
      <c r="W888">
        <v>49</v>
      </c>
      <c r="X888">
        <v>35</v>
      </c>
      <c r="Y888">
        <f t="shared" si="390"/>
        <v>166</v>
      </c>
      <c r="Z888">
        <f t="shared" si="391"/>
        <v>166</v>
      </c>
      <c r="AA888">
        <f t="shared" si="392"/>
        <v>134</v>
      </c>
      <c r="AB888">
        <f t="shared" si="393"/>
        <v>134</v>
      </c>
      <c r="AC888">
        <f t="shared" si="394"/>
        <v>119</v>
      </c>
      <c r="AD888">
        <f t="shared" si="395"/>
        <v>178</v>
      </c>
      <c r="AE888">
        <f t="shared" si="396"/>
        <v>162</v>
      </c>
      <c r="AF888">
        <f t="shared" si="397"/>
        <v>130</v>
      </c>
      <c r="AG888">
        <f t="shared" si="398"/>
        <v>117</v>
      </c>
      <c r="AH888">
        <f t="shared" si="399"/>
        <v>103</v>
      </c>
      <c r="AI888">
        <f t="shared" si="400"/>
        <v>222</v>
      </c>
      <c r="AJ888">
        <f t="shared" si="401"/>
        <v>202</v>
      </c>
      <c r="AK888">
        <f t="shared" si="402"/>
        <v>170</v>
      </c>
      <c r="AL888">
        <f t="shared" si="403"/>
        <v>153</v>
      </c>
      <c r="AM888">
        <f t="shared" si="404"/>
        <v>139</v>
      </c>
      <c r="AN888">
        <f t="shared" si="405"/>
        <v>106</v>
      </c>
      <c r="AO888">
        <f t="shared" si="406"/>
        <v>97</v>
      </c>
      <c r="AP888">
        <f t="shared" si="407"/>
        <v>65</v>
      </c>
      <c r="AQ888">
        <f t="shared" si="408"/>
        <v>58</v>
      </c>
      <c r="AR888">
        <f t="shared" si="409"/>
        <v>45</v>
      </c>
      <c r="AS888">
        <f t="shared" si="410"/>
        <v>111</v>
      </c>
      <c r="AT888">
        <f t="shared" si="411"/>
        <v>101</v>
      </c>
      <c r="AU888">
        <f t="shared" si="412"/>
        <v>69</v>
      </c>
      <c r="AV888">
        <f t="shared" si="413"/>
        <v>62</v>
      </c>
      <c r="AW888">
        <f t="shared" si="414"/>
        <v>48</v>
      </c>
      <c r="AX888">
        <f t="shared" si="415"/>
        <v>95</v>
      </c>
      <c r="AY888">
        <f t="shared" si="416"/>
        <v>87</v>
      </c>
      <c r="AZ888">
        <f t="shared" si="417"/>
        <v>55</v>
      </c>
      <c r="BA888">
        <f t="shared" si="418"/>
        <v>49</v>
      </c>
      <c r="BB888">
        <f t="shared" si="419"/>
        <v>36</v>
      </c>
    </row>
    <row r="889" spans="1:54" x14ac:dyDescent="0.15">
      <c r="B889" t="s">
        <v>3088</v>
      </c>
      <c r="C889">
        <v>681</v>
      </c>
      <c r="D889">
        <v>0</v>
      </c>
      <c r="E889" t="s">
        <v>3089</v>
      </c>
      <c r="F889" t="s">
        <v>3090</v>
      </c>
      <c r="G889" t="s">
        <v>3091</v>
      </c>
      <c r="J889" t="s">
        <v>3092</v>
      </c>
      <c r="K889">
        <v>53</v>
      </c>
      <c r="L889">
        <v>1.7</v>
      </c>
      <c r="M889" t="s">
        <v>203</v>
      </c>
      <c r="N889" t="s">
        <v>546</v>
      </c>
      <c r="O889" t="s">
        <v>3093</v>
      </c>
      <c r="R889">
        <v>8</v>
      </c>
      <c r="S889">
        <v>60</v>
      </c>
      <c r="T889">
        <v>50</v>
      </c>
      <c r="U889">
        <v>140</v>
      </c>
      <c r="V889">
        <v>50</v>
      </c>
      <c r="W889">
        <v>140</v>
      </c>
      <c r="X889">
        <v>60</v>
      </c>
      <c r="Y889">
        <f t="shared" si="390"/>
        <v>167</v>
      </c>
      <c r="Z889">
        <f t="shared" si="391"/>
        <v>167</v>
      </c>
      <c r="AA889">
        <f t="shared" si="392"/>
        <v>135</v>
      </c>
      <c r="AB889">
        <f t="shared" si="393"/>
        <v>135</v>
      </c>
      <c r="AC889">
        <f t="shared" si="394"/>
        <v>120</v>
      </c>
      <c r="AD889">
        <f t="shared" si="395"/>
        <v>112</v>
      </c>
      <c r="AE889">
        <f t="shared" si="396"/>
        <v>102</v>
      </c>
      <c r="AF889">
        <f t="shared" si="397"/>
        <v>70</v>
      </c>
      <c r="AG889">
        <f t="shared" si="398"/>
        <v>63</v>
      </c>
      <c r="AH889">
        <f t="shared" si="399"/>
        <v>49</v>
      </c>
      <c r="AI889">
        <f t="shared" si="400"/>
        <v>211</v>
      </c>
      <c r="AJ889">
        <f t="shared" si="401"/>
        <v>192</v>
      </c>
      <c r="AK889">
        <f t="shared" si="402"/>
        <v>160</v>
      </c>
      <c r="AL889">
        <f t="shared" si="403"/>
        <v>144</v>
      </c>
      <c r="AM889">
        <f t="shared" si="404"/>
        <v>130</v>
      </c>
      <c r="AN889">
        <f t="shared" si="405"/>
        <v>112</v>
      </c>
      <c r="AO889">
        <f t="shared" si="406"/>
        <v>102</v>
      </c>
      <c r="AP889">
        <f t="shared" si="407"/>
        <v>70</v>
      </c>
      <c r="AQ889">
        <f t="shared" si="408"/>
        <v>63</v>
      </c>
      <c r="AR889">
        <f t="shared" si="409"/>
        <v>49</v>
      </c>
      <c r="AS889">
        <f t="shared" si="410"/>
        <v>211</v>
      </c>
      <c r="AT889">
        <f t="shared" si="411"/>
        <v>192</v>
      </c>
      <c r="AU889">
        <f t="shared" si="412"/>
        <v>160</v>
      </c>
      <c r="AV889">
        <f t="shared" si="413"/>
        <v>144</v>
      </c>
      <c r="AW889">
        <f t="shared" si="414"/>
        <v>130</v>
      </c>
      <c r="AX889">
        <f t="shared" si="415"/>
        <v>123</v>
      </c>
      <c r="AY889">
        <f t="shared" si="416"/>
        <v>112</v>
      </c>
      <c r="AZ889">
        <f t="shared" si="417"/>
        <v>80</v>
      </c>
      <c r="BA889">
        <f t="shared" si="418"/>
        <v>72</v>
      </c>
      <c r="BB889">
        <f t="shared" si="419"/>
        <v>58</v>
      </c>
    </row>
    <row r="890" spans="1:54" x14ac:dyDescent="0.15">
      <c r="B890" t="s">
        <v>3094</v>
      </c>
      <c r="C890">
        <v>681</v>
      </c>
      <c r="D890">
        <v>1</v>
      </c>
      <c r="E890" t="s">
        <v>3089</v>
      </c>
      <c r="F890" t="s">
        <v>3095</v>
      </c>
      <c r="G890" t="s">
        <v>3096</v>
      </c>
      <c r="J890" t="s">
        <v>3092</v>
      </c>
      <c r="K890">
        <v>53</v>
      </c>
      <c r="L890">
        <v>1.7</v>
      </c>
      <c r="M890" t="s">
        <v>203</v>
      </c>
      <c r="N890" t="s">
        <v>546</v>
      </c>
      <c r="O890" t="s">
        <v>3093</v>
      </c>
      <c r="R890">
        <v>8</v>
      </c>
      <c r="S890">
        <v>60</v>
      </c>
      <c r="T890">
        <v>140</v>
      </c>
      <c r="U890">
        <v>50</v>
      </c>
      <c r="V890">
        <v>140</v>
      </c>
      <c r="W890">
        <v>50</v>
      </c>
      <c r="X890">
        <v>60</v>
      </c>
      <c r="Y890">
        <f t="shared" si="390"/>
        <v>167</v>
      </c>
      <c r="Z890">
        <f t="shared" si="391"/>
        <v>167</v>
      </c>
      <c r="AA890">
        <f t="shared" si="392"/>
        <v>135</v>
      </c>
      <c r="AB890">
        <f t="shared" si="393"/>
        <v>135</v>
      </c>
      <c r="AC890">
        <f t="shared" si="394"/>
        <v>120</v>
      </c>
      <c r="AD890">
        <f t="shared" si="395"/>
        <v>211</v>
      </c>
      <c r="AE890">
        <f t="shared" si="396"/>
        <v>192</v>
      </c>
      <c r="AF890">
        <f t="shared" si="397"/>
        <v>160</v>
      </c>
      <c r="AG890">
        <f t="shared" si="398"/>
        <v>144</v>
      </c>
      <c r="AH890">
        <f t="shared" si="399"/>
        <v>130</v>
      </c>
      <c r="AI890">
        <f t="shared" si="400"/>
        <v>112</v>
      </c>
      <c r="AJ890">
        <f t="shared" si="401"/>
        <v>102</v>
      </c>
      <c r="AK890">
        <f t="shared" si="402"/>
        <v>70</v>
      </c>
      <c r="AL890">
        <f t="shared" si="403"/>
        <v>63</v>
      </c>
      <c r="AM890">
        <f t="shared" si="404"/>
        <v>49</v>
      </c>
      <c r="AN890">
        <f t="shared" si="405"/>
        <v>211</v>
      </c>
      <c r="AO890">
        <f t="shared" si="406"/>
        <v>192</v>
      </c>
      <c r="AP890">
        <f t="shared" si="407"/>
        <v>160</v>
      </c>
      <c r="AQ890">
        <f t="shared" si="408"/>
        <v>144</v>
      </c>
      <c r="AR890">
        <f t="shared" si="409"/>
        <v>130</v>
      </c>
      <c r="AS890">
        <f t="shared" si="410"/>
        <v>112</v>
      </c>
      <c r="AT890">
        <f t="shared" si="411"/>
        <v>102</v>
      </c>
      <c r="AU890">
        <f t="shared" si="412"/>
        <v>70</v>
      </c>
      <c r="AV890">
        <f t="shared" si="413"/>
        <v>63</v>
      </c>
      <c r="AW890">
        <f t="shared" si="414"/>
        <v>49</v>
      </c>
      <c r="AX890">
        <f t="shared" si="415"/>
        <v>123</v>
      </c>
      <c r="AY890">
        <f t="shared" si="416"/>
        <v>112</v>
      </c>
      <c r="AZ890">
        <f t="shared" si="417"/>
        <v>80</v>
      </c>
      <c r="BA890">
        <f t="shared" si="418"/>
        <v>72</v>
      </c>
      <c r="BB890">
        <f t="shared" si="419"/>
        <v>58</v>
      </c>
    </row>
    <row r="891" spans="1:54" x14ac:dyDescent="0.15">
      <c r="B891" t="s">
        <v>3097</v>
      </c>
      <c r="C891">
        <v>682</v>
      </c>
      <c r="D891">
        <v>0</v>
      </c>
      <c r="E891" t="s">
        <v>3098</v>
      </c>
      <c r="G891" t="s">
        <v>3098</v>
      </c>
      <c r="J891" t="s">
        <v>3099</v>
      </c>
      <c r="K891">
        <v>0.5</v>
      </c>
      <c r="L891">
        <v>0.2</v>
      </c>
      <c r="M891" t="s">
        <v>233</v>
      </c>
      <c r="O891" t="s">
        <v>656</v>
      </c>
      <c r="P891" t="s">
        <v>3100</v>
      </c>
      <c r="R891">
        <v>8</v>
      </c>
      <c r="S891">
        <v>78</v>
      </c>
      <c r="T891">
        <v>52</v>
      </c>
      <c r="U891">
        <v>60</v>
      </c>
      <c r="V891">
        <v>63</v>
      </c>
      <c r="W891">
        <v>65</v>
      </c>
      <c r="X891">
        <v>23</v>
      </c>
      <c r="Y891">
        <f t="shared" si="390"/>
        <v>185</v>
      </c>
      <c r="Z891">
        <f t="shared" si="391"/>
        <v>185</v>
      </c>
      <c r="AA891">
        <f t="shared" si="392"/>
        <v>153</v>
      </c>
      <c r="AB891">
        <f t="shared" si="393"/>
        <v>153</v>
      </c>
      <c r="AC891">
        <f t="shared" si="394"/>
        <v>138</v>
      </c>
      <c r="AD891">
        <f t="shared" si="395"/>
        <v>114</v>
      </c>
      <c r="AE891">
        <f t="shared" si="396"/>
        <v>104</v>
      </c>
      <c r="AF891">
        <f t="shared" si="397"/>
        <v>72</v>
      </c>
      <c r="AG891">
        <f t="shared" si="398"/>
        <v>64</v>
      </c>
      <c r="AH891">
        <f t="shared" si="399"/>
        <v>51</v>
      </c>
      <c r="AI891">
        <f t="shared" si="400"/>
        <v>123</v>
      </c>
      <c r="AJ891">
        <f t="shared" si="401"/>
        <v>112</v>
      </c>
      <c r="AK891">
        <f t="shared" si="402"/>
        <v>80</v>
      </c>
      <c r="AL891">
        <f t="shared" si="403"/>
        <v>72</v>
      </c>
      <c r="AM891">
        <f t="shared" si="404"/>
        <v>58</v>
      </c>
      <c r="AN891">
        <f t="shared" si="405"/>
        <v>126</v>
      </c>
      <c r="AO891">
        <f t="shared" si="406"/>
        <v>115</v>
      </c>
      <c r="AP891">
        <f t="shared" si="407"/>
        <v>83</v>
      </c>
      <c r="AQ891">
        <f t="shared" si="408"/>
        <v>74</v>
      </c>
      <c r="AR891">
        <f t="shared" si="409"/>
        <v>61</v>
      </c>
      <c r="AS891">
        <f t="shared" si="410"/>
        <v>128</v>
      </c>
      <c r="AT891">
        <f t="shared" si="411"/>
        <v>117</v>
      </c>
      <c r="AU891">
        <f t="shared" si="412"/>
        <v>85</v>
      </c>
      <c r="AV891">
        <f t="shared" si="413"/>
        <v>76</v>
      </c>
      <c r="AW891">
        <f t="shared" si="414"/>
        <v>63</v>
      </c>
      <c r="AX891">
        <f t="shared" si="415"/>
        <v>82</v>
      </c>
      <c r="AY891">
        <f t="shared" si="416"/>
        <v>75</v>
      </c>
      <c r="AZ891">
        <f t="shared" si="417"/>
        <v>43</v>
      </c>
      <c r="BA891">
        <f t="shared" si="418"/>
        <v>38</v>
      </c>
      <c r="BB891">
        <f t="shared" si="419"/>
        <v>25</v>
      </c>
    </row>
    <row r="892" spans="1:54" x14ac:dyDescent="0.15">
      <c r="B892" t="s">
        <v>3101</v>
      </c>
      <c r="C892">
        <v>683</v>
      </c>
      <c r="D892">
        <v>0</v>
      </c>
      <c r="E892" t="s">
        <v>3102</v>
      </c>
      <c r="G892" t="s">
        <v>3102</v>
      </c>
      <c r="J892" t="s">
        <v>3103</v>
      </c>
      <c r="K892">
        <v>15.5</v>
      </c>
      <c r="L892">
        <v>0.8</v>
      </c>
      <c r="M892" t="s">
        <v>233</v>
      </c>
      <c r="O892" t="s">
        <v>656</v>
      </c>
      <c r="P892" t="s">
        <v>3100</v>
      </c>
      <c r="R892">
        <v>8</v>
      </c>
      <c r="S892">
        <v>101</v>
      </c>
      <c r="T892">
        <v>72</v>
      </c>
      <c r="U892">
        <v>72</v>
      </c>
      <c r="V892">
        <v>99</v>
      </c>
      <c r="W892">
        <v>89</v>
      </c>
      <c r="X892">
        <v>29</v>
      </c>
      <c r="Y892">
        <f t="shared" si="390"/>
        <v>208</v>
      </c>
      <c r="Z892">
        <f t="shared" si="391"/>
        <v>208</v>
      </c>
      <c r="AA892">
        <f t="shared" si="392"/>
        <v>176</v>
      </c>
      <c r="AB892">
        <f t="shared" si="393"/>
        <v>176</v>
      </c>
      <c r="AC892">
        <f t="shared" si="394"/>
        <v>161</v>
      </c>
      <c r="AD892">
        <f t="shared" si="395"/>
        <v>136</v>
      </c>
      <c r="AE892">
        <f t="shared" si="396"/>
        <v>124</v>
      </c>
      <c r="AF892">
        <f t="shared" si="397"/>
        <v>92</v>
      </c>
      <c r="AG892">
        <f t="shared" si="398"/>
        <v>82</v>
      </c>
      <c r="AH892">
        <f t="shared" si="399"/>
        <v>69</v>
      </c>
      <c r="AI892">
        <f t="shared" si="400"/>
        <v>136</v>
      </c>
      <c r="AJ892">
        <f t="shared" si="401"/>
        <v>124</v>
      </c>
      <c r="AK892">
        <f t="shared" si="402"/>
        <v>92</v>
      </c>
      <c r="AL892">
        <f t="shared" si="403"/>
        <v>82</v>
      </c>
      <c r="AM892">
        <f t="shared" si="404"/>
        <v>69</v>
      </c>
      <c r="AN892">
        <f t="shared" si="405"/>
        <v>166</v>
      </c>
      <c r="AO892">
        <f t="shared" si="406"/>
        <v>151</v>
      </c>
      <c r="AP892">
        <f t="shared" si="407"/>
        <v>119</v>
      </c>
      <c r="AQ892">
        <f t="shared" si="408"/>
        <v>107</v>
      </c>
      <c r="AR892">
        <f t="shared" si="409"/>
        <v>93</v>
      </c>
      <c r="AS892">
        <f t="shared" si="410"/>
        <v>155</v>
      </c>
      <c r="AT892">
        <f t="shared" si="411"/>
        <v>141</v>
      </c>
      <c r="AU892">
        <f t="shared" si="412"/>
        <v>109</v>
      </c>
      <c r="AV892">
        <f t="shared" si="413"/>
        <v>98</v>
      </c>
      <c r="AW892">
        <f t="shared" si="414"/>
        <v>84</v>
      </c>
      <c r="AX892">
        <f t="shared" si="415"/>
        <v>89</v>
      </c>
      <c r="AY892">
        <f t="shared" si="416"/>
        <v>81</v>
      </c>
      <c r="AZ892">
        <f t="shared" si="417"/>
        <v>49</v>
      </c>
      <c r="BA892">
        <f t="shared" si="418"/>
        <v>44</v>
      </c>
      <c r="BB892">
        <f t="shared" si="419"/>
        <v>30</v>
      </c>
    </row>
    <row r="893" spans="1:54" x14ac:dyDescent="0.15">
      <c r="B893" t="s">
        <v>3104</v>
      </c>
      <c r="C893">
        <v>684</v>
      </c>
      <c r="D893">
        <v>0</v>
      </c>
      <c r="E893" t="s">
        <v>3105</v>
      </c>
      <c r="G893" t="s">
        <v>3105</v>
      </c>
      <c r="J893" t="s">
        <v>3106</v>
      </c>
      <c r="K893">
        <v>3.5</v>
      </c>
      <c r="L893">
        <v>0.4</v>
      </c>
      <c r="M893" t="s">
        <v>233</v>
      </c>
      <c r="O893" t="s">
        <v>3107</v>
      </c>
      <c r="P893" t="s">
        <v>624</v>
      </c>
      <c r="R893">
        <v>8</v>
      </c>
      <c r="S893">
        <v>62</v>
      </c>
      <c r="T893">
        <v>48</v>
      </c>
      <c r="U893">
        <v>66</v>
      </c>
      <c r="V893">
        <v>59</v>
      </c>
      <c r="W893">
        <v>57</v>
      </c>
      <c r="X893">
        <v>49</v>
      </c>
      <c r="Y893">
        <f t="shared" si="390"/>
        <v>169</v>
      </c>
      <c r="Z893">
        <f t="shared" si="391"/>
        <v>169</v>
      </c>
      <c r="AA893">
        <f t="shared" si="392"/>
        <v>137</v>
      </c>
      <c r="AB893">
        <f t="shared" si="393"/>
        <v>137</v>
      </c>
      <c r="AC893">
        <f t="shared" si="394"/>
        <v>122</v>
      </c>
      <c r="AD893">
        <f t="shared" si="395"/>
        <v>110</v>
      </c>
      <c r="AE893">
        <f t="shared" si="396"/>
        <v>100</v>
      </c>
      <c r="AF893">
        <f t="shared" si="397"/>
        <v>68</v>
      </c>
      <c r="AG893">
        <f t="shared" si="398"/>
        <v>61</v>
      </c>
      <c r="AH893">
        <f t="shared" si="399"/>
        <v>47</v>
      </c>
      <c r="AI893">
        <f t="shared" si="400"/>
        <v>129</v>
      </c>
      <c r="AJ893">
        <f t="shared" si="401"/>
        <v>118</v>
      </c>
      <c r="AK893">
        <f t="shared" si="402"/>
        <v>86</v>
      </c>
      <c r="AL893">
        <f t="shared" si="403"/>
        <v>77</v>
      </c>
      <c r="AM893">
        <f t="shared" si="404"/>
        <v>63</v>
      </c>
      <c r="AN893">
        <f t="shared" si="405"/>
        <v>122</v>
      </c>
      <c r="AO893">
        <f t="shared" si="406"/>
        <v>111</v>
      </c>
      <c r="AP893">
        <f t="shared" si="407"/>
        <v>79</v>
      </c>
      <c r="AQ893">
        <f t="shared" si="408"/>
        <v>71</v>
      </c>
      <c r="AR893">
        <f t="shared" si="409"/>
        <v>57</v>
      </c>
      <c r="AS893">
        <f t="shared" si="410"/>
        <v>119</v>
      </c>
      <c r="AT893">
        <f t="shared" si="411"/>
        <v>109</v>
      </c>
      <c r="AU893">
        <f t="shared" si="412"/>
        <v>77</v>
      </c>
      <c r="AV893">
        <f t="shared" si="413"/>
        <v>69</v>
      </c>
      <c r="AW893">
        <f t="shared" si="414"/>
        <v>55</v>
      </c>
      <c r="AX893">
        <f t="shared" si="415"/>
        <v>111</v>
      </c>
      <c r="AY893">
        <f t="shared" si="416"/>
        <v>101</v>
      </c>
      <c r="AZ893">
        <f t="shared" si="417"/>
        <v>69</v>
      </c>
      <c r="BA893">
        <f t="shared" si="418"/>
        <v>62</v>
      </c>
      <c r="BB893">
        <f t="shared" si="419"/>
        <v>48</v>
      </c>
    </row>
    <row r="894" spans="1:54" x14ac:dyDescent="0.15">
      <c r="B894" t="s">
        <v>3108</v>
      </c>
      <c r="C894">
        <v>685</v>
      </c>
      <c r="D894">
        <v>0</v>
      </c>
      <c r="E894" t="s">
        <v>3109</v>
      </c>
      <c r="G894" t="s">
        <v>3109</v>
      </c>
      <c r="J894" t="s">
        <v>3110</v>
      </c>
      <c r="K894">
        <v>5</v>
      </c>
      <c r="L894">
        <v>0.8</v>
      </c>
      <c r="M894" t="s">
        <v>233</v>
      </c>
      <c r="O894" t="s">
        <v>3107</v>
      </c>
      <c r="P894" t="s">
        <v>624</v>
      </c>
      <c r="R894">
        <v>8</v>
      </c>
      <c r="S894">
        <v>82</v>
      </c>
      <c r="T894">
        <v>80</v>
      </c>
      <c r="U894">
        <v>86</v>
      </c>
      <c r="V894">
        <v>85</v>
      </c>
      <c r="W894">
        <v>75</v>
      </c>
      <c r="X894">
        <v>72</v>
      </c>
      <c r="Y894">
        <f t="shared" si="390"/>
        <v>189</v>
      </c>
      <c r="Z894">
        <f t="shared" si="391"/>
        <v>189</v>
      </c>
      <c r="AA894">
        <f t="shared" si="392"/>
        <v>157</v>
      </c>
      <c r="AB894">
        <f t="shared" si="393"/>
        <v>157</v>
      </c>
      <c r="AC894">
        <f t="shared" si="394"/>
        <v>142</v>
      </c>
      <c r="AD894">
        <f t="shared" si="395"/>
        <v>145</v>
      </c>
      <c r="AE894">
        <f t="shared" si="396"/>
        <v>132</v>
      </c>
      <c r="AF894">
        <f t="shared" si="397"/>
        <v>100</v>
      </c>
      <c r="AG894">
        <f t="shared" si="398"/>
        <v>90</v>
      </c>
      <c r="AH894">
        <f t="shared" si="399"/>
        <v>76</v>
      </c>
      <c r="AI894">
        <f t="shared" si="400"/>
        <v>151</v>
      </c>
      <c r="AJ894">
        <f t="shared" si="401"/>
        <v>138</v>
      </c>
      <c r="AK894">
        <f t="shared" si="402"/>
        <v>106</v>
      </c>
      <c r="AL894">
        <f t="shared" si="403"/>
        <v>95</v>
      </c>
      <c r="AM894">
        <f t="shared" si="404"/>
        <v>81</v>
      </c>
      <c r="AN894">
        <f t="shared" si="405"/>
        <v>150</v>
      </c>
      <c r="AO894">
        <f t="shared" si="406"/>
        <v>137</v>
      </c>
      <c r="AP894">
        <f t="shared" si="407"/>
        <v>105</v>
      </c>
      <c r="AQ894">
        <f t="shared" si="408"/>
        <v>94</v>
      </c>
      <c r="AR894">
        <f t="shared" si="409"/>
        <v>81</v>
      </c>
      <c r="AS894">
        <f t="shared" si="410"/>
        <v>139</v>
      </c>
      <c r="AT894">
        <f t="shared" si="411"/>
        <v>127</v>
      </c>
      <c r="AU894">
        <f t="shared" si="412"/>
        <v>95</v>
      </c>
      <c r="AV894">
        <f t="shared" si="413"/>
        <v>85</v>
      </c>
      <c r="AW894">
        <f t="shared" si="414"/>
        <v>72</v>
      </c>
      <c r="AX894">
        <f t="shared" si="415"/>
        <v>136</v>
      </c>
      <c r="AY894">
        <f t="shared" si="416"/>
        <v>124</v>
      </c>
      <c r="AZ894">
        <f t="shared" si="417"/>
        <v>92</v>
      </c>
      <c r="BA894">
        <f t="shared" si="418"/>
        <v>82</v>
      </c>
      <c r="BB894">
        <f t="shared" si="419"/>
        <v>69</v>
      </c>
    </row>
    <row r="895" spans="1:54" x14ac:dyDescent="0.15">
      <c r="A895">
        <v>599</v>
      </c>
      <c r="B895" t="s">
        <v>3111</v>
      </c>
      <c r="C895">
        <v>686</v>
      </c>
      <c r="D895">
        <v>0</v>
      </c>
      <c r="E895" t="s">
        <v>3112</v>
      </c>
      <c r="G895" t="s">
        <v>3112</v>
      </c>
      <c r="H895" t="s">
        <v>3113</v>
      </c>
      <c r="J895" t="s">
        <v>3114</v>
      </c>
      <c r="K895">
        <v>3.5</v>
      </c>
      <c r="L895">
        <v>0.4</v>
      </c>
      <c r="M895" t="s">
        <v>140</v>
      </c>
      <c r="N895" t="s">
        <v>191</v>
      </c>
      <c r="O895" t="s">
        <v>1094</v>
      </c>
      <c r="P895" t="s">
        <v>1145</v>
      </c>
      <c r="Q895" t="s">
        <v>269</v>
      </c>
      <c r="R895">
        <v>9</v>
      </c>
      <c r="S895">
        <v>53</v>
      </c>
      <c r="T895">
        <v>54</v>
      </c>
      <c r="U895">
        <v>53</v>
      </c>
      <c r="V895">
        <v>37</v>
      </c>
      <c r="W895">
        <v>46</v>
      </c>
      <c r="X895">
        <v>45</v>
      </c>
      <c r="Y895">
        <f t="shared" si="390"/>
        <v>160</v>
      </c>
      <c r="Z895">
        <f t="shared" si="391"/>
        <v>160</v>
      </c>
      <c r="AA895">
        <f t="shared" si="392"/>
        <v>128</v>
      </c>
      <c r="AB895">
        <f t="shared" si="393"/>
        <v>128</v>
      </c>
      <c r="AC895">
        <f t="shared" si="394"/>
        <v>113</v>
      </c>
      <c r="AD895">
        <f t="shared" si="395"/>
        <v>116</v>
      </c>
      <c r="AE895">
        <f t="shared" si="396"/>
        <v>106</v>
      </c>
      <c r="AF895">
        <f t="shared" si="397"/>
        <v>74</v>
      </c>
      <c r="AG895">
        <f t="shared" si="398"/>
        <v>66</v>
      </c>
      <c r="AH895">
        <f t="shared" si="399"/>
        <v>53</v>
      </c>
      <c r="AI895">
        <f t="shared" si="400"/>
        <v>115</v>
      </c>
      <c r="AJ895">
        <f t="shared" si="401"/>
        <v>105</v>
      </c>
      <c r="AK895">
        <f t="shared" si="402"/>
        <v>73</v>
      </c>
      <c r="AL895">
        <f t="shared" si="403"/>
        <v>65</v>
      </c>
      <c r="AM895">
        <f t="shared" si="404"/>
        <v>52</v>
      </c>
      <c r="AN895">
        <f t="shared" si="405"/>
        <v>97</v>
      </c>
      <c r="AO895">
        <f t="shared" si="406"/>
        <v>89</v>
      </c>
      <c r="AP895">
        <f t="shared" si="407"/>
        <v>57</v>
      </c>
      <c r="AQ895">
        <f t="shared" si="408"/>
        <v>51</v>
      </c>
      <c r="AR895">
        <f t="shared" si="409"/>
        <v>37</v>
      </c>
      <c r="AS895">
        <f t="shared" si="410"/>
        <v>107</v>
      </c>
      <c r="AT895">
        <f t="shared" si="411"/>
        <v>98</v>
      </c>
      <c r="AU895">
        <f t="shared" si="412"/>
        <v>66</v>
      </c>
      <c r="AV895">
        <f t="shared" si="413"/>
        <v>59</v>
      </c>
      <c r="AW895">
        <f t="shared" si="414"/>
        <v>45</v>
      </c>
      <c r="AX895">
        <f t="shared" si="415"/>
        <v>106</v>
      </c>
      <c r="AY895">
        <f t="shared" si="416"/>
        <v>97</v>
      </c>
      <c r="AZ895">
        <f t="shared" si="417"/>
        <v>65</v>
      </c>
      <c r="BA895">
        <f t="shared" si="418"/>
        <v>58</v>
      </c>
      <c r="BB895">
        <f t="shared" si="419"/>
        <v>45</v>
      </c>
    </row>
    <row r="896" spans="1:54" x14ac:dyDescent="0.15">
      <c r="A896">
        <v>600</v>
      </c>
      <c r="B896" t="s">
        <v>3115</v>
      </c>
      <c r="C896">
        <v>687</v>
      </c>
      <c r="D896">
        <v>0</v>
      </c>
      <c r="E896" t="s">
        <v>3116</v>
      </c>
      <c r="G896" t="s">
        <v>3116</v>
      </c>
      <c r="H896" t="s">
        <v>3117</v>
      </c>
      <c r="J896" t="s">
        <v>3118</v>
      </c>
      <c r="K896">
        <v>47</v>
      </c>
      <c r="L896">
        <v>1.5</v>
      </c>
      <c r="M896" t="s">
        <v>140</v>
      </c>
      <c r="N896" t="s">
        <v>191</v>
      </c>
      <c r="O896" t="s">
        <v>1094</v>
      </c>
      <c r="P896" t="s">
        <v>1145</v>
      </c>
      <c r="Q896" t="s">
        <v>269</v>
      </c>
      <c r="R896">
        <v>9</v>
      </c>
      <c r="S896">
        <v>86</v>
      </c>
      <c r="T896">
        <v>92</v>
      </c>
      <c r="U896">
        <v>88</v>
      </c>
      <c r="V896">
        <v>68</v>
      </c>
      <c r="W896">
        <v>75</v>
      </c>
      <c r="X896">
        <v>73</v>
      </c>
      <c r="Y896">
        <f t="shared" si="390"/>
        <v>193</v>
      </c>
      <c r="Z896">
        <f t="shared" si="391"/>
        <v>193</v>
      </c>
      <c r="AA896">
        <f t="shared" si="392"/>
        <v>161</v>
      </c>
      <c r="AB896">
        <f t="shared" si="393"/>
        <v>161</v>
      </c>
      <c r="AC896">
        <f t="shared" si="394"/>
        <v>146</v>
      </c>
      <c r="AD896">
        <f t="shared" si="395"/>
        <v>158</v>
      </c>
      <c r="AE896">
        <f t="shared" si="396"/>
        <v>144</v>
      </c>
      <c r="AF896">
        <f t="shared" si="397"/>
        <v>112</v>
      </c>
      <c r="AG896">
        <f t="shared" si="398"/>
        <v>100</v>
      </c>
      <c r="AH896">
        <f t="shared" si="399"/>
        <v>87</v>
      </c>
      <c r="AI896">
        <f t="shared" si="400"/>
        <v>154</v>
      </c>
      <c r="AJ896">
        <f t="shared" si="401"/>
        <v>140</v>
      </c>
      <c r="AK896">
        <f t="shared" si="402"/>
        <v>108</v>
      </c>
      <c r="AL896">
        <f t="shared" si="403"/>
        <v>97</v>
      </c>
      <c r="AM896">
        <f t="shared" si="404"/>
        <v>83</v>
      </c>
      <c r="AN896">
        <f t="shared" si="405"/>
        <v>132</v>
      </c>
      <c r="AO896">
        <f t="shared" si="406"/>
        <v>120</v>
      </c>
      <c r="AP896">
        <f t="shared" si="407"/>
        <v>88</v>
      </c>
      <c r="AQ896">
        <f t="shared" si="408"/>
        <v>79</v>
      </c>
      <c r="AR896">
        <f t="shared" si="409"/>
        <v>65</v>
      </c>
      <c r="AS896">
        <f t="shared" si="410"/>
        <v>139</v>
      </c>
      <c r="AT896">
        <f t="shared" si="411"/>
        <v>127</v>
      </c>
      <c r="AU896">
        <f t="shared" si="412"/>
        <v>95</v>
      </c>
      <c r="AV896">
        <f t="shared" si="413"/>
        <v>85</v>
      </c>
      <c r="AW896">
        <f t="shared" si="414"/>
        <v>72</v>
      </c>
      <c r="AX896">
        <f t="shared" si="415"/>
        <v>137</v>
      </c>
      <c r="AY896">
        <f t="shared" si="416"/>
        <v>125</v>
      </c>
      <c r="AZ896">
        <f t="shared" si="417"/>
        <v>93</v>
      </c>
      <c r="BA896">
        <f t="shared" si="418"/>
        <v>83</v>
      </c>
      <c r="BB896">
        <f t="shared" si="419"/>
        <v>70</v>
      </c>
    </row>
    <row r="897" spans="1:54" x14ac:dyDescent="0.15">
      <c r="B897" t="s">
        <v>3119</v>
      </c>
      <c r="C897">
        <v>688</v>
      </c>
      <c r="D897">
        <v>0</v>
      </c>
      <c r="E897" t="s">
        <v>3120</v>
      </c>
      <c r="G897" t="s">
        <v>3120</v>
      </c>
      <c r="J897" t="s">
        <v>3121</v>
      </c>
      <c r="K897">
        <v>31</v>
      </c>
      <c r="L897">
        <v>0.5</v>
      </c>
      <c r="M897" t="s">
        <v>371</v>
      </c>
      <c r="N897" t="s">
        <v>71</v>
      </c>
      <c r="O897" t="s">
        <v>61</v>
      </c>
      <c r="P897" t="s">
        <v>113</v>
      </c>
      <c r="Q897" t="s">
        <v>1105</v>
      </c>
      <c r="R897">
        <v>8</v>
      </c>
      <c r="S897">
        <v>42</v>
      </c>
      <c r="T897">
        <v>52</v>
      </c>
      <c r="U897">
        <v>67</v>
      </c>
      <c r="V897">
        <v>39</v>
      </c>
      <c r="W897">
        <v>56</v>
      </c>
      <c r="X897">
        <v>50</v>
      </c>
      <c r="Y897">
        <f t="shared" si="390"/>
        <v>149</v>
      </c>
      <c r="Z897">
        <f t="shared" si="391"/>
        <v>149</v>
      </c>
      <c r="AA897">
        <f t="shared" si="392"/>
        <v>117</v>
      </c>
      <c r="AB897">
        <f t="shared" si="393"/>
        <v>117</v>
      </c>
      <c r="AC897">
        <f t="shared" si="394"/>
        <v>102</v>
      </c>
      <c r="AD897">
        <f t="shared" si="395"/>
        <v>114</v>
      </c>
      <c r="AE897">
        <f t="shared" si="396"/>
        <v>104</v>
      </c>
      <c r="AF897">
        <f t="shared" si="397"/>
        <v>72</v>
      </c>
      <c r="AG897">
        <f t="shared" si="398"/>
        <v>64</v>
      </c>
      <c r="AH897">
        <f t="shared" si="399"/>
        <v>51</v>
      </c>
      <c r="AI897">
        <f t="shared" si="400"/>
        <v>130</v>
      </c>
      <c r="AJ897">
        <f t="shared" si="401"/>
        <v>119</v>
      </c>
      <c r="AK897">
        <f t="shared" si="402"/>
        <v>87</v>
      </c>
      <c r="AL897">
        <f t="shared" si="403"/>
        <v>78</v>
      </c>
      <c r="AM897">
        <f t="shared" si="404"/>
        <v>64</v>
      </c>
      <c r="AN897">
        <f t="shared" si="405"/>
        <v>100</v>
      </c>
      <c r="AO897">
        <f t="shared" si="406"/>
        <v>91</v>
      </c>
      <c r="AP897">
        <f t="shared" si="407"/>
        <v>59</v>
      </c>
      <c r="AQ897">
        <f t="shared" si="408"/>
        <v>53</v>
      </c>
      <c r="AR897">
        <f t="shared" si="409"/>
        <v>39</v>
      </c>
      <c r="AS897">
        <f t="shared" si="410"/>
        <v>118</v>
      </c>
      <c r="AT897">
        <f t="shared" si="411"/>
        <v>108</v>
      </c>
      <c r="AU897">
        <f t="shared" si="412"/>
        <v>76</v>
      </c>
      <c r="AV897">
        <f t="shared" si="413"/>
        <v>68</v>
      </c>
      <c r="AW897">
        <f t="shared" si="414"/>
        <v>54</v>
      </c>
      <c r="AX897">
        <f t="shared" si="415"/>
        <v>112</v>
      </c>
      <c r="AY897">
        <f t="shared" si="416"/>
        <v>102</v>
      </c>
      <c r="AZ897">
        <f t="shared" si="417"/>
        <v>70</v>
      </c>
      <c r="BA897">
        <f t="shared" si="418"/>
        <v>63</v>
      </c>
      <c r="BB897">
        <f t="shared" si="419"/>
        <v>49</v>
      </c>
    </row>
    <row r="898" spans="1:54" x14ac:dyDescent="0.15">
      <c r="B898" t="s">
        <v>3122</v>
      </c>
      <c r="C898">
        <v>689</v>
      </c>
      <c r="D898">
        <v>0</v>
      </c>
      <c r="E898" t="s">
        <v>3123</v>
      </c>
      <c r="G898" t="s">
        <v>3123</v>
      </c>
      <c r="J898" t="s">
        <v>3124</v>
      </c>
      <c r="K898">
        <v>96</v>
      </c>
      <c r="L898">
        <v>1.3</v>
      </c>
      <c r="M898" t="s">
        <v>371</v>
      </c>
      <c r="N898" t="s">
        <v>71</v>
      </c>
      <c r="O898" t="s">
        <v>61</v>
      </c>
      <c r="P898" t="s">
        <v>113</v>
      </c>
      <c r="Q898" t="s">
        <v>1105</v>
      </c>
      <c r="R898">
        <v>8</v>
      </c>
      <c r="S898">
        <v>72</v>
      </c>
      <c r="T898">
        <v>105</v>
      </c>
      <c r="U898">
        <v>115</v>
      </c>
      <c r="V898">
        <v>54</v>
      </c>
      <c r="W898">
        <v>86</v>
      </c>
      <c r="X898">
        <v>68</v>
      </c>
      <c r="Y898">
        <f t="shared" ref="Y898:Y961" si="420">IF(S898="", "", S898+107)</f>
        <v>179</v>
      </c>
      <c r="Z898">
        <f t="shared" ref="Z898:Z961" si="421">IF(S898="", "", S898+107)</f>
        <v>179</v>
      </c>
      <c r="AA898">
        <f t="shared" ref="AA898:AA961" si="422">IF(S898="", "", INT(INT(S898*2 + 31)/2) + 60)</f>
        <v>147</v>
      </c>
      <c r="AB898">
        <f t="shared" ref="AB898:AB961" si="423">IF(S898="", "", INT(INT(S898*2 + 31)/2) + 60)</f>
        <v>147</v>
      </c>
      <c r="AC898">
        <f t="shared" ref="AC898:AC961" si="424">IF(S898="", "", S898 + 60)</f>
        <v>132</v>
      </c>
      <c r="AD898">
        <f t="shared" ref="AD898:AD961" si="425">IF(T898="","",INT((T898+52)*1.1))</f>
        <v>172</v>
      </c>
      <c r="AE898">
        <f t="shared" ref="AE898:AE961" si="426">IF(T898="","",T898+52)</f>
        <v>157</v>
      </c>
      <c r="AF898">
        <f t="shared" ref="AF898:AF961" si="427">IF(T898="", "", INT((T898*2 + 31)/2) + 5)</f>
        <v>125</v>
      </c>
      <c r="AG898">
        <f t="shared" ref="AG898:AG961" si="428">IF(T898="", "", INT((INT((T898*2 + 31)/2) + 5)*0.9) )</f>
        <v>112</v>
      </c>
      <c r="AH898">
        <f t="shared" ref="AH898:AH961" si="429">IF(T898="", "", INT((T898 + 5) * 0.9))</f>
        <v>99</v>
      </c>
      <c r="AI898">
        <f t="shared" ref="AI898:AI961" si="430">IF(U898="","",INT((U898+52)*1.1))</f>
        <v>183</v>
      </c>
      <c r="AJ898">
        <f t="shared" ref="AJ898:AJ961" si="431">IF(U898="","",U898+52)</f>
        <v>167</v>
      </c>
      <c r="AK898">
        <f t="shared" ref="AK898:AK961" si="432">IF(U898="", "", INT((U898*2 + 31)/2) + 5)</f>
        <v>135</v>
      </c>
      <c r="AL898">
        <f t="shared" ref="AL898:AL961" si="433">IF(U898="", "", INT((INT((U898*2 + 31)/2) + 5)*0.9) )</f>
        <v>121</v>
      </c>
      <c r="AM898">
        <f t="shared" ref="AM898:AM961" si="434">IF(U898="", "", INT((U898 + 5) * 0.9))</f>
        <v>108</v>
      </c>
      <c r="AN898">
        <f t="shared" ref="AN898:AN961" si="435">IF(V898="","",INT((V898+52)*1.1))</f>
        <v>116</v>
      </c>
      <c r="AO898">
        <f t="shared" ref="AO898:AO961" si="436">IF(V898="","",V898+52)</f>
        <v>106</v>
      </c>
      <c r="AP898">
        <f t="shared" ref="AP898:AP961" si="437">IF(V898="", "", INT((V898*2 + 31)/2) + 5)</f>
        <v>74</v>
      </c>
      <c r="AQ898">
        <f t="shared" ref="AQ898:AQ961" si="438">IF(V898="", "", INT((INT((V898*2 + 31)/2) + 5)*0.9) )</f>
        <v>66</v>
      </c>
      <c r="AR898">
        <f t="shared" ref="AR898:AR961" si="439">IF(V898="", "", INT((V898 + 5) * 0.9))</f>
        <v>53</v>
      </c>
      <c r="AS898">
        <f t="shared" ref="AS898:AS961" si="440">IF(W898="","",INT((W898+52)*1.1))</f>
        <v>151</v>
      </c>
      <c r="AT898">
        <f t="shared" ref="AT898:AT961" si="441">IF(W898="","",W898+52)</f>
        <v>138</v>
      </c>
      <c r="AU898">
        <f t="shared" ref="AU898:AU961" si="442">IF(W898="", "", INT((W898*2 + 31)/2) + 5)</f>
        <v>106</v>
      </c>
      <c r="AV898">
        <f t="shared" ref="AV898:AV961" si="443">IF(W898="", "", INT((INT((W898*2 + 31)/2) + 5)*0.9) )</f>
        <v>95</v>
      </c>
      <c r="AW898">
        <f t="shared" ref="AW898:AW961" si="444">IF(W898="", "", INT((W898 + 5) * 0.9))</f>
        <v>81</v>
      </c>
      <c r="AX898">
        <f t="shared" ref="AX898:AX961" si="445">IF(X898="","",INT((X898+52)*1.1))</f>
        <v>132</v>
      </c>
      <c r="AY898">
        <f t="shared" ref="AY898:AY961" si="446">IF(X898="","",X898+52)</f>
        <v>120</v>
      </c>
      <c r="AZ898">
        <f t="shared" ref="AZ898:AZ961" si="447">IF(X898="", "", INT((X898*2 + 31)/2) + 5)</f>
        <v>88</v>
      </c>
      <c r="BA898">
        <f t="shared" ref="BA898:BA961" si="448">IF(X898="", "", INT((INT((X898*2 + 31)/2) + 5)*0.9) )</f>
        <v>79</v>
      </c>
      <c r="BB898">
        <f t="shared" ref="BB898:BB961" si="449">IF(X898="", "", INT((X898 + 5) * 0.9))</f>
        <v>65</v>
      </c>
    </row>
    <row r="899" spans="1:54" x14ac:dyDescent="0.15">
      <c r="A899">
        <v>572</v>
      </c>
      <c r="B899" t="s">
        <v>3125</v>
      </c>
      <c r="C899">
        <v>690</v>
      </c>
      <c r="D899">
        <v>0</v>
      </c>
      <c r="E899" t="s">
        <v>3126</v>
      </c>
      <c r="G899" t="s">
        <v>3126</v>
      </c>
      <c r="H899" t="s">
        <v>3127</v>
      </c>
      <c r="J899" t="s">
        <v>3128</v>
      </c>
      <c r="K899">
        <v>7.3</v>
      </c>
      <c r="L899">
        <v>0.5</v>
      </c>
      <c r="M899" t="s">
        <v>27</v>
      </c>
      <c r="N899" t="s">
        <v>71</v>
      </c>
      <c r="O899" t="s">
        <v>215</v>
      </c>
      <c r="P899" t="s">
        <v>523</v>
      </c>
      <c r="Q899" t="s">
        <v>116</v>
      </c>
      <c r="R899">
        <v>9</v>
      </c>
      <c r="S899">
        <v>50</v>
      </c>
      <c r="T899">
        <v>60</v>
      </c>
      <c r="U899">
        <v>60</v>
      </c>
      <c r="V899">
        <v>60</v>
      </c>
      <c r="W899">
        <v>60</v>
      </c>
      <c r="X899">
        <v>30</v>
      </c>
      <c r="Y899">
        <f t="shared" si="420"/>
        <v>157</v>
      </c>
      <c r="Z899">
        <f t="shared" si="421"/>
        <v>157</v>
      </c>
      <c r="AA899">
        <f t="shared" si="422"/>
        <v>125</v>
      </c>
      <c r="AB899">
        <f t="shared" si="423"/>
        <v>125</v>
      </c>
      <c r="AC899">
        <f t="shared" si="424"/>
        <v>110</v>
      </c>
      <c r="AD899">
        <f t="shared" si="425"/>
        <v>123</v>
      </c>
      <c r="AE899">
        <f t="shared" si="426"/>
        <v>112</v>
      </c>
      <c r="AF899">
        <f t="shared" si="427"/>
        <v>80</v>
      </c>
      <c r="AG899">
        <f t="shared" si="428"/>
        <v>72</v>
      </c>
      <c r="AH899">
        <f t="shared" si="429"/>
        <v>58</v>
      </c>
      <c r="AI899">
        <f t="shared" si="430"/>
        <v>123</v>
      </c>
      <c r="AJ899">
        <f t="shared" si="431"/>
        <v>112</v>
      </c>
      <c r="AK899">
        <f t="shared" si="432"/>
        <v>80</v>
      </c>
      <c r="AL899">
        <f t="shared" si="433"/>
        <v>72</v>
      </c>
      <c r="AM899">
        <f t="shared" si="434"/>
        <v>58</v>
      </c>
      <c r="AN899">
        <f t="shared" si="435"/>
        <v>123</v>
      </c>
      <c r="AO899">
        <f t="shared" si="436"/>
        <v>112</v>
      </c>
      <c r="AP899">
        <f t="shared" si="437"/>
        <v>80</v>
      </c>
      <c r="AQ899">
        <f t="shared" si="438"/>
        <v>72</v>
      </c>
      <c r="AR899">
        <f t="shared" si="439"/>
        <v>58</v>
      </c>
      <c r="AS899">
        <f t="shared" si="440"/>
        <v>123</v>
      </c>
      <c r="AT899">
        <f t="shared" si="441"/>
        <v>112</v>
      </c>
      <c r="AU899">
        <f t="shared" si="442"/>
        <v>80</v>
      </c>
      <c r="AV899">
        <f t="shared" si="443"/>
        <v>72</v>
      </c>
      <c r="AW899">
        <f t="shared" si="444"/>
        <v>58</v>
      </c>
      <c r="AX899">
        <f t="shared" si="445"/>
        <v>90</v>
      </c>
      <c r="AY899">
        <f t="shared" si="446"/>
        <v>82</v>
      </c>
      <c r="AZ899">
        <f t="shared" si="447"/>
        <v>50</v>
      </c>
      <c r="BA899">
        <f t="shared" si="448"/>
        <v>45</v>
      </c>
      <c r="BB899">
        <f t="shared" si="449"/>
        <v>31</v>
      </c>
    </row>
    <row r="900" spans="1:54" x14ac:dyDescent="0.15">
      <c r="A900">
        <v>573</v>
      </c>
      <c r="B900" t="s">
        <v>3129</v>
      </c>
      <c r="C900">
        <v>691</v>
      </c>
      <c r="D900">
        <v>0</v>
      </c>
      <c r="E900" t="s">
        <v>3130</v>
      </c>
      <c r="G900" t="s">
        <v>3130</v>
      </c>
      <c r="H900" t="s">
        <v>3131</v>
      </c>
      <c r="J900" t="s">
        <v>3128</v>
      </c>
      <c r="K900">
        <v>81.5</v>
      </c>
      <c r="L900">
        <v>1.8</v>
      </c>
      <c r="M900" t="s">
        <v>27</v>
      </c>
      <c r="N900" t="s">
        <v>60</v>
      </c>
      <c r="O900" t="s">
        <v>215</v>
      </c>
      <c r="P900" t="s">
        <v>523</v>
      </c>
      <c r="Q900" t="s">
        <v>116</v>
      </c>
      <c r="R900">
        <v>9</v>
      </c>
      <c r="S900">
        <v>65</v>
      </c>
      <c r="T900">
        <v>75</v>
      </c>
      <c r="U900">
        <v>90</v>
      </c>
      <c r="V900">
        <v>97</v>
      </c>
      <c r="W900">
        <v>123</v>
      </c>
      <c r="X900">
        <v>44</v>
      </c>
      <c r="Y900">
        <f t="shared" si="420"/>
        <v>172</v>
      </c>
      <c r="Z900">
        <f t="shared" si="421"/>
        <v>172</v>
      </c>
      <c r="AA900">
        <f t="shared" si="422"/>
        <v>140</v>
      </c>
      <c r="AB900">
        <f t="shared" si="423"/>
        <v>140</v>
      </c>
      <c r="AC900">
        <f t="shared" si="424"/>
        <v>125</v>
      </c>
      <c r="AD900">
        <f t="shared" si="425"/>
        <v>139</v>
      </c>
      <c r="AE900">
        <f t="shared" si="426"/>
        <v>127</v>
      </c>
      <c r="AF900">
        <f t="shared" si="427"/>
        <v>95</v>
      </c>
      <c r="AG900">
        <f t="shared" si="428"/>
        <v>85</v>
      </c>
      <c r="AH900">
        <f t="shared" si="429"/>
        <v>72</v>
      </c>
      <c r="AI900">
        <f t="shared" si="430"/>
        <v>156</v>
      </c>
      <c r="AJ900">
        <f t="shared" si="431"/>
        <v>142</v>
      </c>
      <c r="AK900">
        <f t="shared" si="432"/>
        <v>110</v>
      </c>
      <c r="AL900">
        <f t="shared" si="433"/>
        <v>99</v>
      </c>
      <c r="AM900">
        <f t="shared" si="434"/>
        <v>85</v>
      </c>
      <c r="AN900">
        <f t="shared" si="435"/>
        <v>163</v>
      </c>
      <c r="AO900">
        <f t="shared" si="436"/>
        <v>149</v>
      </c>
      <c r="AP900">
        <f t="shared" si="437"/>
        <v>117</v>
      </c>
      <c r="AQ900">
        <f t="shared" si="438"/>
        <v>105</v>
      </c>
      <c r="AR900">
        <f t="shared" si="439"/>
        <v>91</v>
      </c>
      <c r="AS900">
        <f t="shared" si="440"/>
        <v>192</v>
      </c>
      <c r="AT900">
        <f t="shared" si="441"/>
        <v>175</v>
      </c>
      <c r="AU900">
        <f t="shared" si="442"/>
        <v>143</v>
      </c>
      <c r="AV900">
        <f t="shared" si="443"/>
        <v>128</v>
      </c>
      <c r="AW900">
        <f t="shared" si="444"/>
        <v>115</v>
      </c>
      <c r="AX900">
        <f t="shared" si="445"/>
        <v>105</v>
      </c>
      <c r="AY900">
        <f t="shared" si="446"/>
        <v>96</v>
      </c>
      <c r="AZ900">
        <f t="shared" si="447"/>
        <v>64</v>
      </c>
      <c r="BA900">
        <f t="shared" si="448"/>
        <v>57</v>
      </c>
      <c r="BB900">
        <f t="shared" si="449"/>
        <v>44</v>
      </c>
    </row>
    <row r="901" spans="1:54" x14ac:dyDescent="0.15">
      <c r="A901">
        <v>613</v>
      </c>
      <c r="B901" t="s">
        <v>3132</v>
      </c>
      <c r="C901">
        <v>692</v>
      </c>
      <c r="D901">
        <v>0</v>
      </c>
      <c r="E901" t="s">
        <v>3133</v>
      </c>
      <c r="G901" t="s">
        <v>3133</v>
      </c>
      <c r="H901" t="s">
        <v>3134</v>
      </c>
      <c r="J901" t="s">
        <v>3135</v>
      </c>
      <c r="K901">
        <v>8.3000000000000007</v>
      </c>
      <c r="L901">
        <v>0.5</v>
      </c>
      <c r="M901" t="s">
        <v>71</v>
      </c>
      <c r="O901" t="s">
        <v>84</v>
      </c>
      <c r="R901">
        <v>9</v>
      </c>
      <c r="S901">
        <v>50</v>
      </c>
      <c r="T901">
        <v>53</v>
      </c>
      <c r="U901">
        <v>62</v>
      </c>
      <c r="V901">
        <v>58</v>
      </c>
      <c r="W901">
        <v>63</v>
      </c>
      <c r="X901">
        <v>44</v>
      </c>
      <c r="Y901">
        <f t="shared" si="420"/>
        <v>157</v>
      </c>
      <c r="Z901">
        <f t="shared" si="421"/>
        <v>157</v>
      </c>
      <c r="AA901">
        <f t="shared" si="422"/>
        <v>125</v>
      </c>
      <c r="AB901">
        <f t="shared" si="423"/>
        <v>125</v>
      </c>
      <c r="AC901">
        <f t="shared" si="424"/>
        <v>110</v>
      </c>
      <c r="AD901">
        <f t="shared" si="425"/>
        <v>115</v>
      </c>
      <c r="AE901">
        <f t="shared" si="426"/>
        <v>105</v>
      </c>
      <c r="AF901">
        <f t="shared" si="427"/>
        <v>73</v>
      </c>
      <c r="AG901">
        <f t="shared" si="428"/>
        <v>65</v>
      </c>
      <c r="AH901">
        <f t="shared" si="429"/>
        <v>52</v>
      </c>
      <c r="AI901">
        <f t="shared" si="430"/>
        <v>125</v>
      </c>
      <c r="AJ901">
        <f t="shared" si="431"/>
        <v>114</v>
      </c>
      <c r="AK901">
        <f t="shared" si="432"/>
        <v>82</v>
      </c>
      <c r="AL901">
        <f t="shared" si="433"/>
        <v>73</v>
      </c>
      <c r="AM901">
        <f t="shared" si="434"/>
        <v>60</v>
      </c>
      <c r="AN901">
        <f t="shared" si="435"/>
        <v>121</v>
      </c>
      <c r="AO901">
        <f t="shared" si="436"/>
        <v>110</v>
      </c>
      <c r="AP901">
        <f t="shared" si="437"/>
        <v>78</v>
      </c>
      <c r="AQ901">
        <f t="shared" si="438"/>
        <v>70</v>
      </c>
      <c r="AR901">
        <f t="shared" si="439"/>
        <v>56</v>
      </c>
      <c r="AS901">
        <f t="shared" si="440"/>
        <v>126</v>
      </c>
      <c r="AT901">
        <f t="shared" si="441"/>
        <v>115</v>
      </c>
      <c r="AU901">
        <f t="shared" si="442"/>
        <v>83</v>
      </c>
      <c r="AV901">
        <f t="shared" si="443"/>
        <v>74</v>
      </c>
      <c r="AW901">
        <f t="shared" si="444"/>
        <v>61</v>
      </c>
      <c r="AX901">
        <f t="shared" si="445"/>
        <v>105</v>
      </c>
      <c r="AY901">
        <f t="shared" si="446"/>
        <v>96</v>
      </c>
      <c r="AZ901">
        <f t="shared" si="447"/>
        <v>64</v>
      </c>
      <c r="BA901">
        <f t="shared" si="448"/>
        <v>57</v>
      </c>
      <c r="BB901">
        <f t="shared" si="449"/>
        <v>44</v>
      </c>
    </row>
    <row r="902" spans="1:54" x14ac:dyDescent="0.15">
      <c r="A902">
        <v>614</v>
      </c>
      <c r="B902" t="s">
        <v>3136</v>
      </c>
      <c r="C902">
        <v>693</v>
      </c>
      <c r="D902">
        <v>0</v>
      </c>
      <c r="E902" t="s">
        <v>3137</v>
      </c>
      <c r="G902" t="s">
        <v>3137</v>
      </c>
      <c r="H902" t="s">
        <v>3138</v>
      </c>
      <c r="J902" t="s">
        <v>3139</v>
      </c>
      <c r="K902">
        <v>35.299999999999997</v>
      </c>
      <c r="L902">
        <v>1.3</v>
      </c>
      <c r="M902" t="s">
        <v>71</v>
      </c>
      <c r="O902" t="s">
        <v>84</v>
      </c>
      <c r="R902">
        <v>9</v>
      </c>
      <c r="S902">
        <v>71</v>
      </c>
      <c r="T902">
        <v>73</v>
      </c>
      <c r="U902">
        <v>88</v>
      </c>
      <c r="V902">
        <v>120</v>
      </c>
      <c r="W902">
        <v>89</v>
      </c>
      <c r="X902">
        <v>59</v>
      </c>
      <c r="Y902">
        <f t="shared" si="420"/>
        <v>178</v>
      </c>
      <c r="Z902">
        <f t="shared" si="421"/>
        <v>178</v>
      </c>
      <c r="AA902">
        <f t="shared" si="422"/>
        <v>146</v>
      </c>
      <c r="AB902">
        <f t="shared" si="423"/>
        <v>146</v>
      </c>
      <c r="AC902">
        <f t="shared" si="424"/>
        <v>131</v>
      </c>
      <c r="AD902">
        <f t="shared" si="425"/>
        <v>137</v>
      </c>
      <c r="AE902">
        <f t="shared" si="426"/>
        <v>125</v>
      </c>
      <c r="AF902">
        <f t="shared" si="427"/>
        <v>93</v>
      </c>
      <c r="AG902">
        <f t="shared" si="428"/>
        <v>83</v>
      </c>
      <c r="AH902">
        <f t="shared" si="429"/>
        <v>70</v>
      </c>
      <c r="AI902">
        <f t="shared" si="430"/>
        <v>154</v>
      </c>
      <c r="AJ902">
        <f t="shared" si="431"/>
        <v>140</v>
      </c>
      <c r="AK902">
        <f t="shared" si="432"/>
        <v>108</v>
      </c>
      <c r="AL902">
        <f t="shared" si="433"/>
        <v>97</v>
      </c>
      <c r="AM902">
        <f t="shared" si="434"/>
        <v>83</v>
      </c>
      <c r="AN902">
        <f t="shared" si="435"/>
        <v>189</v>
      </c>
      <c r="AO902">
        <f t="shared" si="436"/>
        <v>172</v>
      </c>
      <c r="AP902">
        <f t="shared" si="437"/>
        <v>140</v>
      </c>
      <c r="AQ902">
        <f t="shared" si="438"/>
        <v>126</v>
      </c>
      <c r="AR902">
        <f t="shared" si="439"/>
        <v>112</v>
      </c>
      <c r="AS902">
        <f t="shared" si="440"/>
        <v>155</v>
      </c>
      <c r="AT902">
        <f t="shared" si="441"/>
        <v>141</v>
      </c>
      <c r="AU902">
        <f t="shared" si="442"/>
        <v>109</v>
      </c>
      <c r="AV902">
        <f t="shared" si="443"/>
        <v>98</v>
      </c>
      <c r="AW902">
        <f t="shared" si="444"/>
        <v>84</v>
      </c>
      <c r="AX902">
        <f t="shared" si="445"/>
        <v>122</v>
      </c>
      <c r="AY902">
        <f t="shared" si="446"/>
        <v>111</v>
      </c>
      <c r="AZ902">
        <f t="shared" si="447"/>
        <v>79</v>
      </c>
      <c r="BA902">
        <f t="shared" si="448"/>
        <v>71</v>
      </c>
      <c r="BB902">
        <f t="shared" si="449"/>
        <v>57</v>
      </c>
    </row>
    <row r="903" spans="1:54" x14ac:dyDescent="0.15">
      <c r="B903" t="s">
        <v>3140</v>
      </c>
      <c r="C903">
        <v>694</v>
      </c>
      <c r="D903">
        <v>0</v>
      </c>
      <c r="E903" t="s">
        <v>3141</v>
      </c>
      <c r="G903" t="s">
        <v>3141</v>
      </c>
      <c r="J903" t="s">
        <v>3142</v>
      </c>
      <c r="K903">
        <v>6</v>
      </c>
      <c r="L903">
        <v>0.5</v>
      </c>
      <c r="M903" t="s">
        <v>164</v>
      </c>
      <c r="N903" t="s">
        <v>120</v>
      </c>
      <c r="O903" t="s">
        <v>288</v>
      </c>
      <c r="P903" t="s">
        <v>197</v>
      </c>
      <c r="Q903" t="s">
        <v>49</v>
      </c>
      <c r="R903">
        <v>8</v>
      </c>
      <c r="S903">
        <v>44</v>
      </c>
      <c r="T903">
        <v>38</v>
      </c>
      <c r="U903">
        <v>33</v>
      </c>
      <c r="V903">
        <v>61</v>
      </c>
      <c r="W903">
        <v>43</v>
      </c>
      <c r="X903">
        <v>70</v>
      </c>
      <c r="Y903">
        <f t="shared" si="420"/>
        <v>151</v>
      </c>
      <c r="Z903">
        <f t="shared" si="421"/>
        <v>151</v>
      </c>
      <c r="AA903">
        <f t="shared" si="422"/>
        <v>119</v>
      </c>
      <c r="AB903">
        <f t="shared" si="423"/>
        <v>119</v>
      </c>
      <c r="AC903">
        <f t="shared" si="424"/>
        <v>104</v>
      </c>
      <c r="AD903">
        <f t="shared" si="425"/>
        <v>99</v>
      </c>
      <c r="AE903">
        <f t="shared" si="426"/>
        <v>90</v>
      </c>
      <c r="AF903">
        <f t="shared" si="427"/>
        <v>58</v>
      </c>
      <c r="AG903">
        <f t="shared" si="428"/>
        <v>52</v>
      </c>
      <c r="AH903">
        <f t="shared" si="429"/>
        <v>38</v>
      </c>
      <c r="AI903">
        <f t="shared" si="430"/>
        <v>93</v>
      </c>
      <c r="AJ903">
        <f t="shared" si="431"/>
        <v>85</v>
      </c>
      <c r="AK903">
        <f t="shared" si="432"/>
        <v>53</v>
      </c>
      <c r="AL903">
        <f t="shared" si="433"/>
        <v>47</v>
      </c>
      <c r="AM903">
        <f t="shared" si="434"/>
        <v>34</v>
      </c>
      <c r="AN903">
        <f t="shared" si="435"/>
        <v>124</v>
      </c>
      <c r="AO903">
        <f t="shared" si="436"/>
        <v>113</v>
      </c>
      <c r="AP903">
        <f t="shared" si="437"/>
        <v>81</v>
      </c>
      <c r="AQ903">
        <f t="shared" si="438"/>
        <v>72</v>
      </c>
      <c r="AR903">
        <f t="shared" si="439"/>
        <v>59</v>
      </c>
      <c r="AS903">
        <f t="shared" si="440"/>
        <v>104</v>
      </c>
      <c r="AT903">
        <f t="shared" si="441"/>
        <v>95</v>
      </c>
      <c r="AU903">
        <f t="shared" si="442"/>
        <v>63</v>
      </c>
      <c r="AV903">
        <f t="shared" si="443"/>
        <v>56</v>
      </c>
      <c r="AW903">
        <f t="shared" si="444"/>
        <v>43</v>
      </c>
      <c r="AX903">
        <f t="shared" si="445"/>
        <v>134</v>
      </c>
      <c r="AY903">
        <f t="shared" si="446"/>
        <v>122</v>
      </c>
      <c r="AZ903">
        <f t="shared" si="447"/>
        <v>90</v>
      </c>
      <c r="BA903">
        <f t="shared" si="448"/>
        <v>81</v>
      </c>
      <c r="BB903">
        <f t="shared" si="449"/>
        <v>67</v>
      </c>
    </row>
    <row r="904" spans="1:54" x14ac:dyDescent="0.15">
      <c r="B904" t="s">
        <v>3143</v>
      </c>
      <c r="C904">
        <v>695</v>
      </c>
      <c r="D904">
        <v>0</v>
      </c>
      <c r="E904" t="s">
        <v>3144</v>
      </c>
      <c r="G904" t="s">
        <v>3144</v>
      </c>
      <c r="J904" t="s">
        <v>3142</v>
      </c>
      <c r="K904">
        <v>21</v>
      </c>
      <c r="L904">
        <v>1</v>
      </c>
      <c r="M904" t="s">
        <v>164</v>
      </c>
      <c r="N904" t="s">
        <v>120</v>
      </c>
      <c r="O904" t="s">
        <v>288</v>
      </c>
      <c r="P904" t="s">
        <v>197</v>
      </c>
      <c r="Q904" t="s">
        <v>49</v>
      </c>
      <c r="R904">
        <v>8</v>
      </c>
      <c r="S904">
        <v>62</v>
      </c>
      <c r="T904">
        <v>55</v>
      </c>
      <c r="U904">
        <v>52</v>
      </c>
      <c r="V904">
        <v>109</v>
      </c>
      <c r="W904">
        <v>94</v>
      </c>
      <c r="X904">
        <v>109</v>
      </c>
      <c r="Y904">
        <f t="shared" si="420"/>
        <v>169</v>
      </c>
      <c r="Z904">
        <f t="shared" si="421"/>
        <v>169</v>
      </c>
      <c r="AA904">
        <f t="shared" si="422"/>
        <v>137</v>
      </c>
      <c r="AB904">
        <f t="shared" si="423"/>
        <v>137</v>
      </c>
      <c r="AC904">
        <f t="shared" si="424"/>
        <v>122</v>
      </c>
      <c r="AD904">
        <f t="shared" si="425"/>
        <v>117</v>
      </c>
      <c r="AE904">
        <f t="shared" si="426"/>
        <v>107</v>
      </c>
      <c r="AF904">
        <f t="shared" si="427"/>
        <v>75</v>
      </c>
      <c r="AG904">
        <f t="shared" si="428"/>
        <v>67</v>
      </c>
      <c r="AH904">
        <f t="shared" si="429"/>
        <v>54</v>
      </c>
      <c r="AI904">
        <f t="shared" si="430"/>
        <v>114</v>
      </c>
      <c r="AJ904">
        <f t="shared" si="431"/>
        <v>104</v>
      </c>
      <c r="AK904">
        <f t="shared" si="432"/>
        <v>72</v>
      </c>
      <c r="AL904">
        <f t="shared" si="433"/>
        <v>64</v>
      </c>
      <c r="AM904">
        <f t="shared" si="434"/>
        <v>51</v>
      </c>
      <c r="AN904">
        <f t="shared" si="435"/>
        <v>177</v>
      </c>
      <c r="AO904">
        <f t="shared" si="436"/>
        <v>161</v>
      </c>
      <c r="AP904">
        <f t="shared" si="437"/>
        <v>129</v>
      </c>
      <c r="AQ904">
        <f t="shared" si="438"/>
        <v>116</v>
      </c>
      <c r="AR904">
        <f t="shared" si="439"/>
        <v>102</v>
      </c>
      <c r="AS904">
        <f t="shared" si="440"/>
        <v>160</v>
      </c>
      <c r="AT904">
        <f t="shared" si="441"/>
        <v>146</v>
      </c>
      <c r="AU904">
        <f t="shared" si="442"/>
        <v>114</v>
      </c>
      <c r="AV904">
        <f t="shared" si="443"/>
        <v>102</v>
      </c>
      <c r="AW904">
        <f t="shared" si="444"/>
        <v>89</v>
      </c>
      <c r="AX904">
        <f t="shared" si="445"/>
        <v>177</v>
      </c>
      <c r="AY904">
        <f t="shared" si="446"/>
        <v>161</v>
      </c>
      <c r="AZ904">
        <f t="shared" si="447"/>
        <v>129</v>
      </c>
      <c r="BA904">
        <f t="shared" si="448"/>
        <v>116</v>
      </c>
      <c r="BB904">
        <f t="shared" si="449"/>
        <v>102</v>
      </c>
    </row>
    <row r="905" spans="1:54" x14ac:dyDescent="0.15">
      <c r="B905" t="s">
        <v>3145</v>
      </c>
      <c r="C905">
        <v>696</v>
      </c>
      <c r="D905">
        <v>0</v>
      </c>
      <c r="E905" t="s">
        <v>3146</v>
      </c>
      <c r="G905" t="s">
        <v>3146</v>
      </c>
      <c r="J905" t="s">
        <v>3147</v>
      </c>
      <c r="K905">
        <v>26</v>
      </c>
      <c r="L905">
        <v>0.8</v>
      </c>
      <c r="M905" t="s">
        <v>371</v>
      </c>
      <c r="N905" t="s">
        <v>60</v>
      </c>
      <c r="O905" t="s">
        <v>1513</v>
      </c>
      <c r="P905" t="s">
        <v>435</v>
      </c>
      <c r="R905">
        <v>8</v>
      </c>
      <c r="S905">
        <v>58</v>
      </c>
      <c r="T905">
        <v>89</v>
      </c>
      <c r="U905">
        <v>77</v>
      </c>
      <c r="V905">
        <v>45</v>
      </c>
      <c r="W905">
        <v>45</v>
      </c>
      <c r="X905">
        <v>48</v>
      </c>
      <c r="Y905">
        <f t="shared" si="420"/>
        <v>165</v>
      </c>
      <c r="Z905">
        <f t="shared" si="421"/>
        <v>165</v>
      </c>
      <c r="AA905">
        <f t="shared" si="422"/>
        <v>133</v>
      </c>
      <c r="AB905">
        <f t="shared" si="423"/>
        <v>133</v>
      </c>
      <c r="AC905">
        <f t="shared" si="424"/>
        <v>118</v>
      </c>
      <c r="AD905">
        <f t="shared" si="425"/>
        <v>155</v>
      </c>
      <c r="AE905">
        <f t="shared" si="426"/>
        <v>141</v>
      </c>
      <c r="AF905">
        <f t="shared" si="427"/>
        <v>109</v>
      </c>
      <c r="AG905">
        <f t="shared" si="428"/>
        <v>98</v>
      </c>
      <c r="AH905">
        <f t="shared" si="429"/>
        <v>84</v>
      </c>
      <c r="AI905">
        <f t="shared" si="430"/>
        <v>141</v>
      </c>
      <c r="AJ905">
        <f t="shared" si="431"/>
        <v>129</v>
      </c>
      <c r="AK905">
        <f t="shared" si="432"/>
        <v>97</v>
      </c>
      <c r="AL905">
        <f t="shared" si="433"/>
        <v>87</v>
      </c>
      <c r="AM905">
        <f t="shared" si="434"/>
        <v>73</v>
      </c>
      <c r="AN905">
        <f t="shared" si="435"/>
        <v>106</v>
      </c>
      <c r="AO905">
        <f t="shared" si="436"/>
        <v>97</v>
      </c>
      <c r="AP905">
        <f t="shared" si="437"/>
        <v>65</v>
      </c>
      <c r="AQ905">
        <f t="shared" si="438"/>
        <v>58</v>
      </c>
      <c r="AR905">
        <f t="shared" si="439"/>
        <v>45</v>
      </c>
      <c r="AS905">
        <f t="shared" si="440"/>
        <v>106</v>
      </c>
      <c r="AT905">
        <f t="shared" si="441"/>
        <v>97</v>
      </c>
      <c r="AU905">
        <f t="shared" si="442"/>
        <v>65</v>
      </c>
      <c r="AV905">
        <f t="shared" si="443"/>
        <v>58</v>
      </c>
      <c r="AW905">
        <f t="shared" si="444"/>
        <v>45</v>
      </c>
      <c r="AX905">
        <f t="shared" si="445"/>
        <v>110</v>
      </c>
      <c r="AY905">
        <f t="shared" si="446"/>
        <v>100</v>
      </c>
      <c r="AZ905">
        <f t="shared" si="447"/>
        <v>68</v>
      </c>
      <c r="BA905">
        <f t="shared" si="448"/>
        <v>61</v>
      </c>
      <c r="BB905">
        <f t="shared" si="449"/>
        <v>47</v>
      </c>
    </row>
    <row r="906" spans="1:54" x14ac:dyDescent="0.15">
      <c r="B906" t="s">
        <v>3148</v>
      </c>
      <c r="C906">
        <v>697</v>
      </c>
      <c r="D906">
        <v>0</v>
      </c>
      <c r="E906" t="s">
        <v>3149</v>
      </c>
      <c r="G906" t="s">
        <v>3149</v>
      </c>
      <c r="J906" t="s">
        <v>3150</v>
      </c>
      <c r="K906">
        <v>270</v>
      </c>
      <c r="L906">
        <v>2.5</v>
      </c>
      <c r="M906" t="s">
        <v>371</v>
      </c>
      <c r="N906" t="s">
        <v>60</v>
      </c>
      <c r="O906" t="s">
        <v>1513</v>
      </c>
      <c r="P906" t="s">
        <v>434</v>
      </c>
      <c r="R906">
        <v>8</v>
      </c>
      <c r="S906">
        <v>82</v>
      </c>
      <c r="T906">
        <v>121</v>
      </c>
      <c r="U906">
        <v>119</v>
      </c>
      <c r="V906">
        <v>69</v>
      </c>
      <c r="W906">
        <v>59</v>
      </c>
      <c r="X906">
        <v>71</v>
      </c>
      <c r="Y906">
        <f t="shared" si="420"/>
        <v>189</v>
      </c>
      <c r="Z906">
        <f t="shared" si="421"/>
        <v>189</v>
      </c>
      <c r="AA906">
        <f t="shared" si="422"/>
        <v>157</v>
      </c>
      <c r="AB906">
        <f t="shared" si="423"/>
        <v>157</v>
      </c>
      <c r="AC906">
        <f t="shared" si="424"/>
        <v>142</v>
      </c>
      <c r="AD906">
        <f t="shared" si="425"/>
        <v>190</v>
      </c>
      <c r="AE906">
        <f t="shared" si="426"/>
        <v>173</v>
      </c>
      <c r="AF906">
        <f t="shared" si="427"/>
        <v>141</v>
      </c>
      <c r="AG906">
        <f t="shared" si="428"/>
        <v>126</v>
      </c>
      <c r="AH906">
        <f t="shared" si="429"/>
        <v>113</v>
      </c>
      <c r="AI906">
        <f t="shared" si="430"/>
        <v>188</v>
      </c>
      <c r="AJ906">
        <f t="shared" si="431"/>
        <v>171</v>
      </c>
      <c r="AK906">
        <f t="shared" si="432"/>
        <v>139</v>
      </c>
      <c r="AL906">
        <f t="shared" si="433"/>
        <v>125</v>
      </c>
      <c r="AM906">
        <f t="shared" si="434"/>
        <v>111</v>
      </c>
      <c r="AN906">
        <f t="shared" si="435"/>
        <v>133</v>
      </c>
      <c r="AO906">
        <f t="shared" si="436"/>
        <v>121</v>
      </c>
      <c r="AP906">
        <f t="shared" si="437"/>
        <v>89</v>
      </c>
      <c r="AQ906">
        <f t="shared" si="438"/>
        <v>80</v>
      </c>
      <c r="AR906">
        <f t="shared" si="439"/>
        <v>66</v>
      </c>
      <c r="AS906">
        <f t="shared" si="440"/>
        <v>122</v>
      </c>
      <c r="AT906">
        <f t="shared" si="441"/>
        <v>111</v>
      </c>
      <c r="AU906">
        <f t="shared" si="442"/>
        <v>79</v>
      </c>
      <c r="AV906">
        <f t="shared" si="443"/>
        <v>71</v>
      </c>
      <c r="AW906">
        <f t="shared" si="444"/>
        <v>57</v>
      </c>
      <c r="AX906">
        <f t="shared" si="445"/>
        <v>135</v>
      </c>
      <c r="AY906">
        <f t="shared" si="446"/>
        <v>123</v>
      </c>
      <c r="AZ906">
        <f t="shared" si="447"/>
        <v>91</v>
      </c>
      <c r="BA906">
        <f t="shared" si="448"/>
        <v>81</v>
      </c>
      <c r="BB906">
        <f t="shared" si="449"/>
        <v>68</v>
      </c>
    </row>
    <row r="907" spans="1:54" x14ac:dyDescent="0.15">
      <c r="B907" t="s">
        <v>3151</v>
      </c>
      <c r="C907">
        <v>698</v>
      </c>
      <c r="D907">
        <v>0</v>
      </c>
      <c r="E907" t="s">
        <v>3152</v>
      </c>
      <c r="G907" t="s">
        <v>3152</v>
      </c>
      <c r="J907" t="s">
        <v>3153</v>
      </c>
      <c r="K907">
        <v>25.2</v>
      </c>
      <c r="L907">
        <v>1.3</v>
      </c>
      <c r="M907" t="s">
        <v>371</v>
      </c>
      <c r="N907" t="s">
        <v>202</v>
      </c>
      <c r="O907" t="s">
        <v>1685</v>
      </c>
      <c r="P907" t="s">
        <v>249</v>
      </c>
      <c r="R907">
        <v>8</v>
      </c>
      <c r="S907">
        <v>77</v>
      </c>
      <c r="T907">
        <v>59</v>
      </c>
      <c r="U907">
        <v>50</v>
      </c>
      <c r="V907">
        <v>67</v>
      </c>
      <c r="W907">
        <v>63</v>
      </c>
      <c r="X907">
        <v>46</v>
      </c>
      <c r="Y907">
        <f t="shared" si="420"/>
        <v>184</v>
      </c>
      <c r="Z907">
        <f t="shared" si="421"/>
        <v>184</v>
      </c>
      <c r="AA907">
        <f t="shared" si="422"/>
        <v>152</v>
      </c>
      <c r="AB907">
        <f t="shared" si="423"/>
        <v>152</v>
      </c>
      <c r="AC907">
        <f t="shared" si="424"/>
        <v>137</v>
      </c>
      <c r="AD907">
        <f t="shared" si="425"/>
        <v>122</v>
      </c>
      <c r="AE907">
        <f t="shared" si="426"/>
        <v>111</v>
      </c>
      <c r="AF907">
        <f t="shared" si="427"/>
        <v>79</v>
      </c>
      <c r="AG907">
        <f t="shared" si="428"/>
        <v>71</v>
      </c>
      <c r="AH907">
        <f t="shared" si="429"/>
        <v>57</v>
      </c>
      <c r="AI907">
        <f t="shared" si="430"/>
        <v>112</v>
      </c>
      <c r="AJ907">
        <f t="shared" si="431"/>
        <v>102</v>
      </c>
      <c r="AK907">
        <f t="shared" si="432"/>
        <v>70</v>
      </c>
      <c r="AL907">
        <f t="shared" si="433"/>
        <v>63</v>
      </c>
      <c r="AM907">
        <f t="shared" si="434"/>
        <v>49</v>
      </c>
      <c r="AN907">
        <f t="shared" si="435"/>
        <v>130</v>
      </c>
      <c r="AO907">
        <f t="shared" si="436"/>
        <v>119</v>
      </c>
      <c r="AP907">
        <f t="shared" si="437"/>
        <v>87</v>
      </c>
      <c r="AQ907">
        <f t="shared" si="438"/>
        <v>78</v>
      </c>
      <c r="AR907">
        <f t="shared" si="439"/>
        <v>64</v>
      </c>
      <c r="AS907">
        <f t="shared" si="440"/>
        <v>126</v>
      </c>
      <c r="AT907">
        <f t="shared" si="441"/>
        <v>115</v>
      </c>
      <c r="AU907">
        <f t="shared" si="442"/>
        <v>83</v>
      </c>
      <c r="AV907">
        <f t="shared" si="443"/>
        <v>74</v>
      </c>
      <c r="AW907">
        <f t="shared" si="444"/>
        <v>61</v>
      </c>
      <c r="AX907">
        <f t="shared" si="445"/>
        <v>107</v>
      </c>
      <c r="AY907">
        <f t="shared" si="446"/>
        <v>98</v>
      </c>
      <c r="AZ907">
        <f t="shared" si="447"/>
        <v>66</v>
      </c>
      <c r="BA907">
        <f t="shared" si="448"/>
        <v>59</v>
      </c>
      <c r="BB907">
        <f t="shared" si="449"/>
        <v>45</v>
      </c>
    </row>
    <row r="908" spans="1:54" x14ac:dyDescent="0.15">
      <c r="B908" t="s">
        <v>3154</v>
      </c>
      <c r="C908">
        <v>699</v>
      </c>
      <c r="D908">
        <v>0</v>
      </c>
      <c r="E908" t="s">
        <v>3155</v>
      </c>
      <c r="G908" t="s">
        <v>3155</v>
      </c>
      <c r="J908" t="s">
        <v>3153</v>
      </c>
      <c r="K908">
        <v>225</v>
      </c>
      <c r="L908">
        <v>2.7</v>
      </c>
      <c r="M908" t="s">
        <v>371</v>
      </c>
      <c r="N908" t="s">
        <v>202</v>
      </c>
      <c r="O908" t="s">
        <v>1685</v>
      </c>
      <c r="P908" t="s">
        <v>249</v>
      </c>
      <c r="R908">
        <v>8</v>
      </c>
      <c r="S908">
        <v>123</v>
      </c>
      <c r="T908">
        <v>77</v>
      </c>
      <c r="U908">
        <v>72</v>
      </c>
      <c r="V908">
        <v>99</v>
      </c>
      <c r="W908">
        <v>92</v>
      </c>
      <c r="X908">
        <v>58</v>
      </c>
      <c r="Y908">
        <f t="shared" si="420"/>
        <v>230</v>
      </c>
      <c r="Z908">
        <f t="shared" si="421"/>
        <v>230</v>
      </c>
      <c r="AA908">
        <f t="shared" si="422"/>
        <v>198</v>
      </c>
      <c r="AB908">
        <f t="shared" si="423"/>
        <v>198</v>
      </c>
      <c r="AC908">
        <f t="shared" si="424"/>
        <v>183</v>
      </c>
      <c r="AD908">
        <f t="shared" si="425"/>
        <v>141</v>
      </c>
      <c r="AE908">
        <f t="shared" si="426"/>
        <v>129</v>
      </c>
      <c r="AF908">
        <f t="shared" si="427"/>
        <v>97</v>
      </c>
      <c r="AG908">
        <f t="shared" si="428"/>
        <v>87</v>
      </c>
      <c r="AH908">
        <f t="shared" si="429"/>
        <v>73</v>
      </c>
      <c r="AI908">
        <f t="shared" si="430"/>
        <v>136</v>
      </c>
      <c r="AJ908">
        <f t="shared" si="431"/>
        <v>124</v>
      </c>
      <c r="AK908">
        <f t="shared" si="432"/>
        <v>92</v>
      </c>
      <c r="AL908">
        <f t="shared" si="433"/>
        <v>82</v>
      </c>
      <c r="AM908">
        <f t="shared" si="434"/>
        <v>69</v>
      </c>
      <c r="AN908">
        <f t="shared" si="435"/>
        <v>166</v>
      </c>
      <c r="AO908">
        <f t="shared" si="436"/>
        <v>151</v>
      </c>
      <c r="AP908">
        <f t="shared" si="437"/>
        <v>119</v>
      </c>
      <c r="AQ908">
        <f t="shared" si="438"/>
        <v>107</v>
      </c>
      <c r="AR908">
        <f t="shared" si="439"/>
        <v>93</v>
      </c>
      <c r="AS908">
        <f t="shared" si="440"/>
        <v>158</v>
      </c>
      <c r="AT908">
        <f t="shared" si="441"/>
        <v>144</v>
      </c>
      <c r="AU908">
        <f t="shared" si="442"/>
        <v>112</v>
      </c>
      <c r="AV908">
        <f t="shared" si="443"/>
        <v>100</v>
      </c>
      <c r="AW908">
        <f t="shared" si="444"/>
        <v>87</v>
      </c>
      <c r="AX908">
        <f t="shared" si="445"/>
        <v>121</v>
      </c>
      <c r="AY908">
        <f t="shared" si="446"/>
        <v>110</v>
      </c>
      <c r="AZ908">
        <f t="shared" si="447"/>
        <v>78</v>
      </c>
      <c r="BA908">
        <f t="shared" si="448"/>
        <v>70</v>
      </c>
      <c r="BB908">
        <f t="shared" si="449"/>
        <v>56</v>
      </c>
    </row>
    <row r="909" spans="1:54" x14ac:dyDescent="0.15">
      <c r="A909">
        <v>624</v>
      </c>
      <c r="B909" t="s">
        <v>3156</v>
      </c>
      <c r="C909">
        <v>700</v>
      </c>
      <c r="D909">
        <v>0</v>
      </c>
      <c r="E909" t="s">
        <v>3157</v>
      </c>
      <c r="G909" t="s">
        <v>3157</v>
      </c>
      <c r="H909" t="s">
        <v>3158</v>
      </c>
      <c r="J909" t="s">
        <v>3159</v>
      </c>
      <c r="K909">
        <v>23.5</v>
      </c>
      <c r="L909">
        <v>1</v>
      </c>
      <c r="M909" t="s">
        <v>233</v>
      </c>
      <c r="O909" t="s">
        <v>234</v>
      </c>
      <c r="P909" t="s">
        <v>1368</v>
      </c>
      <c r="R909">
        <v>9</v>
      </c>
      <c r="S909">
        <v>95</v>
      </c>
      <c r="T909">
        <v>65</v>
      </c>
      <c r="U909">
        <v>65</v>
      </c>
      <c r="V909">
        <v>110</v>
      </c>
      <c r="W909">
        <v>130</v>
      </c>
      <c r="X909">
        <v>60</v>
      </c>
      <c r="Y909">
        <f t="shared" si="420"/>
        <v>202</v>
      </c>
      <c r="Z909">
        <f t="shared" si="421"/>
        <v>202</v>
      </c>
      <c r="AA909">
        <f t="shared" si="422"/>
        <v>170</v>
      </c>
      <c r="AB909">
        <f t="shared" si="423"/>
        <v>170</v>
      </c>
      <c r="AC909">
        <f t="shared" si="424"/>
        <v>155</v>
      </c>
      <c r="AD909">
        <f t="shared" si="425"/>
        <v>128</v>
      </c>
      <c r="AE909">
        <f t="shared" si="426"/>
        <v>117</v>
      </c>
      <c r="AF909">
        <f t="shared" si="427"/>
        <v>85</v>
      </c>
      <c r="AG909">
        <f t="shared" si="428"/>
        <v>76</v>
      </c>
      <c r="AH909">
        <f t="shared" si="429"/>
        <v>63</v>
      </c>
      <c r="AI909">
        <f t="shared" si="430"/>
        <v>128</v>
      </c>
      <c r="AJ909">
        <f t="shared" si="431"/>
        <v>117</v>
      </c>
      <c r="AK909">
        <f t="shared" si="432"/>
        <v>85</v>
      </c>
      <c r="AL909">
        <f t="shared" si="433"/>
        <v>76</v>
      </c>
      <c r="AM909">
        <f t="shared" si="434"/>
        <v>63</v>
      </c>
      <c r="AN909">
        <f t="shared" si="435"/>
        <v>178</v>
      </c>
      <c r="AO909">
        <f t="shared" si="436"/>
        <v>162</v>
      </c>
      <c r="AP909">
        <f t="shared" si="437"/>
        <v>130</v>
      </c>
      <c r="AQ909">
        <f t="shared" si="438"/>
        <v>117</v>
      </c>
      <c r="AR909">
        <f t="shared" si="439"/>
        <v>103</v>
      </c>
      <c r="AS909">
        <f t="shared" si="440"/>
        <v>200</v>
      </c>
      <c r="AT909">
        <f t="shared" si="441"/>
        <v>182</v>
      </c>
      <c r="AU909">
        <f t="shared" si="442"/>
        <v>150</v>
      </c>
      <c r="AV909">
        <f t="shared" si="443"/>
        <v>135</v>
      </c>
      <c r="AW909">
        <f t="shared" si="444"/>
        <v>121</v>
      </c>
      <c r="AX909">
        <f t="shared" si="445"/>
        <v>123</v>
      </c>
      <c r="AY909">
        <f t="shared" si="446"/>
        <v>112</v>
      </c>
      <c r="AZ909">
        <f t="shared" si="447"/>
        <v>80</v>
      </c>
      <c r="BA909">
        <f t="shared" si="448"/>
        <v>72</v>
      </c>
      <c r="BB909">
        <f t="shared" si="449"/>
        <v>58</v>
      </c>
    </row>
    <row r="910" spans="1:54" x14ac:dyDescent="0.15">
      <c r="A910">
        <v>616</v>
      </c>
      <c r="B910" t="s">
        <v>3160</v>
      </c>
      <c r="C910">
        <v>701</v>
      </c>
      <c r="D910">
        <v>0</v>
      </c>
      <c r="E910" t="s">
        <v>3161</v>
      </c>
      <c r="G910" t="s">
        <v>3161</v>
      </c>
      <c r="H910" t="s">
        <v>3162</v>
      </c>
      <c r="J910" t="s">
        <v>3163</v>
      </c>
      <c r="K910">
        <v>21.5</v>
      </c>
      <c r="L910">
        <v>0.8</v>
      </c>
      <c r="M910" t="s">
        <v>354</v>
      </c>
      <c r="N910" t="s">
        <v>57</v>
      </c>
      <c r="O910" t="s">
        <v>336</v>
      </c>
      <c r="P910" t="s">
        <v>624</v>
      </c>
      <c r="Q910" t="s">
        <v>713</v>
      </c>
      <c r="R910">
        <v>9</v>
      </c>
      <c r="S910">
        <v>78</v>
      </c>
      <c r="T910">
        <v>92</v>
      </c>
      <c r="U910">
        <v>75</v>
      </c>
      <c r="V910">
        <v>74</v>
      </c>
      <c r="W910">
        <v>63</v>
      </c>
      <c r="X910">
        <v>118</v>
      </c>
      <c r="Y910">
        <f t="shared" si="420"/>
        <v>185</v>
      </c>
      <c r="Z910">
        <f t="shared" si="421"/>
        <v>185</v>
      </c>
      <c r="AA910">
        <f t="shared" si="422"/>
        <v>153</v>
      </c>
      <c r="AB910">
        <f t="shared" si="423"/>
        <v>153</v>
      </c>
      <c r="AC910">
        <f t="shared" si="424"/>
        <v>138</v>
      </c>
      <c r="AD910">
        <f t="shared" si="425"/>
        <v>158</v>
      </c>
      <c r="AE910">
        <f t="shared" si="426"/>
        <v>144</v>
      </c>
      <c r="AF910">
        <f t="shared" si="427"/>
        <v>112</v>
      </c>
      <c r="AG910">
        <f t="shared" si="428"/>
        <v>100</v>
      </c>
      <c r="AH910">
        <f t="shared" si="429"/>
        <v>87</v>
      </c>
      <c r="AI910">
        <f t="shared" si="430"/>
        <v>139</v>
      </c>
      <c r="AJ910">
        <f t="shared" si="431"/>
        <v>127</v>
      </c>
      <c r="AK910">
        <f t="shared" si="432"/>
        <v>95</v>
      </c>
      <c r="AL910">
        <f t="shared" si="433"/>
        <v>85</v>
      </c>
      <c r="AM910">
        <f t="shared" si="434"/>
        <v>72</v>
      </c>
      <c r="AN910">
        <f t="shared" si="435"/>
        <v>138</v>
      </c>
      <c r="AO910">
        <f t="shared" si="436"/>
        <v>126</v>
      </c>
      <c r="AP910">
        <f t="shared" si="437"/>
        <v>94</v>
      </c>
      <c r="AQ910">
        <f t="shared" si="438"/>
        <v>84</v>
      </c>
      <c r="AR910">
        <f t="shared" si="439"/>
        <v>71</v>
      </c>
      <c r="AS910">
        <f t="shared" si="440"/>
        <v>126</v>
      </c>
      <c r="AT910">
        <f t="shared" si="441"/>
        <v>115</v>
      </c>
      <c r="AU910">
        <f t="shared" si="442"/>
        <v>83</v>
      </c>
      <c r="AV910">
        <f t="shared" si="443"/>
        <v>74</v>
      </c>
      <c r="AW910">
        <f t="shared" si="444"/>
        <v>61</v>
      </c>
      <c r="AX910">
        <f t="shared" si="445"/>
        <v>187</v>
      </c>
      <c r="AY910">
        <f t="shared" si="446"/>
        <v>170</v>
      </c>
      <c r="AZ910">
        <f t="shared" si="447"/>
        <v>138</v>
      </c>
      <c r="BA910">
        <f t="shared" si="448"/>
        <v>124</v>
      </c>
      <c r="BB910">
        <f t="shared" si="449"/>
        <v>110</v>
      </c>
    </row>
    <row r="911" spans="1:54" x14ac:dyDescent="0.15">
      <c r="A911">
        <v>606</v>
      </c>
      <c r="B911" t="s">
        <v>3164</v>
      </c>
      <c r="C911">
        <v>702</v>
      </c>
      <c r="D911">
        <v>0</v>
      </c>
      <c r="E911" t="s">
        <v>3165</v>
      </c>
      <c r="G911" t="s">
        <v>3165</v>
      </c>
      <c r="H911" t="s">
        <v>3166</v>
      </c>
      <c r="J911" t="s">
        <v>3167</v>
      </c>
      <c r="K911">
        <v>2.2000000000000002</v>
      </c>
      <c r="L911">
        <v>0.2</v>
      </c>
      <c r="M911" t="s">
        <v>164</v>
      </c>
      <c r="N911" t="s">
        <v>233</v>
      </c>
      <c r="O911" t="s">
        <v>2949</v>
      </c>
      <c r="P911" t="s">
        <v>321</v>
      </c>
      <c r="Q911" t="s">
        <v>948</v>
      </c>
      <c r="R911">
        <v>9</v>
      </c>
      <c r="S911">
        <v>67</v>
      </c>
      <c r="T911">
        <v>58</v>
      </c>
      <c r="U911">
        <v>57</v>
      </c>
      <c r="V911">
        <v>81</v>
      </c>
      <c r="W911">
        <v>67</v>
      </c>
      <c r="X911">
        <v>101</v>
      </c>
      <c r="Y911">
        <f t="shared" si="420"/>
        <v>174</v>
      </c>
      <c r="Z911">
        <f t="shared" si="421"/>
        <v>174</v>
      </c>
      <c r="AA911">
        <f t="shared" si="422"/>
        <v>142</v>
      </c>
      <c r="AB911">
        <f t="shared" si="423"/>
        <v>142</v>
      </c>
      <c r="AC911">
        <f t="shared" si="424"/>
        <v>127</v>
      </c>
      <c r="AD911">
        <f t="shared" si="425"/>
        <v>121</v>
      </c>
      <c r="AE911">
        <f t="shared" si="426"/>
        <v>110</v>
      </c>
      <c r="AF911">
        <f t="shared" si="427"/>
        <v>78</v>
      </c>
      <c r="AG911">
        <f t="shared" si="428"/>
        <v>70</v>
      </c>
      <c r="AH911">
        <f t="shared" si="429"/>
        <v>56</v>
      </c>
      <c r="AI911">
        <f t="shared" si="430"/>
        <v>119</v>
      </c>
      <c r="AJ911">
        <f t="shared" si="431"/>
        <v>109</v>
      </c>
      <c r="AK911">
        <f t="shared" si="432"/>
        <v>77</v>
      </c>
      <c r="AL911">
        <f t="shared" si="433"/>
        <v>69</v>
      </c>
      <c r="AM911">
        <f t="shared" si="434"/>
        <v>55</v>
      </c>
      <c r="AN911">
        <f t="shared" si="435"/>
        <v>146</v>
      </c>
      <c r="AO911">
        <f t="shared" si="436"/>
        <v>133</v>
      </c>
      <c r="AP911">
        <f t="shared" si="437"/>
        <v>101</v>
      </c>
      <c r="AQ911">
        <f t="shared" si="438"/>
        <v>90</v>
      </c>
      <c r="AR911">
        <f t="shared" si="439"/>
        <v>77</v>
      </c>
      <c r="AS911">
        <f t="shared" si="440"/>
        <v>130</v>
      </c>
      <c r="AT911">
        <f t="shared" si="441"/>
        <v>119</v>
      </c>
      <c r="AU911">
        <f t="shared" si="442"/>
        <v>87</v>
      </c>
      <c r="AV911">
        <f t="shared" si="443"/>
        <v>78</v>
      </c>
      <c r="AW911">
        <f t="shared" si="444"/>
        <v>64</v>
      </c>
      <c r="AX911">
        <f t="shared" si="445"/>
        <v>168</v>
      </c>
      <c r="AY911">
        <f t="shared" si="446"/>
        <v>153</v>
      </c>
      <c r="AZ911">
        <f t="shared" si="447"/>
        <v>121</v>
      </c>
      <c r="BA911">
        <f t="shared" si="448"/>
        <v>108</v>
      </c>
      <c r="BB911">
        <f t="shared" si="449"/>
        <v>95</v>
      </c>
    </row>
    <row r="912" spans="1:54" x14ac:dyDescent="0.15">
      <c r="A912">
        <v>623</v>
      </c>
      <c r="B912" t="s">
        <v>3168</v>
      </c>
      <c r="C912">
        <v>703</v>
      </c>
      <c r="D912">
        <v>0</v>
      </c>
      <c r="E912" t="s">
        <v>3169</v>
      </c>
      <c r="G912" t="s">
        <v>3169</v>
      </c>
      <c r="H912" t="s">
        <v>3170</v>
      </c>
      <c r="J912" t="s">
        <v>3171</v>
      </c>
      <c r="K912">
        <v>5.7</v>
      </c>
      <c r="L912">
        <v>0.3</v>
      </c>
      <c r="M912" t="s">
        <v>371</v>
      </c>
      <c r="N912" t="s">
        <v>233</v>
      </c>
      <c r="O912" t="s">
        <v>425</v>
      </c>
      <c r="P912" t="s">
        <v>435</v>
      </c>
      <c r="R912">
        <v>9</v>
      </c>
      <c r="S912">
        <v>50</v>
      </c>
      <c r="T912">
        <v>50</v>
      </c>
      <c r="U912">
        <v>150</v>
      </c>
      <c r="V912">
        <v>50</v>
      </c>
      <c r="W912">
        <v>150</v>
      </c>
      <c r="X912">
        <v>50</v>
      </c>
      <c r="Y912">
        <f t="shared" si="420"/>
        <v>157</v>
      </c>
      <c r="Z912">
        <f t="shared" si="421"/>
        <v>157</v>
      </c>
      <c r="AA912">
        <f t="shared" si="422"/>
        <v>125</v>
      </c>
      <c r="AB912">
        <f t="shared" si="423"/>
        <v>125</v>
      </c>
      <c r="AC912">
        <f t="shared" si="424"/>
        <v>110</v>
      </c>
      <c r="AD912">
        <f t="shared" si="425"/>
        <v>112</v>
      </c>
      <c r="AE912">
        <f t="shared" si="426"/>
        <v>102</v>
      </c>
      <c r="AF912">
        <f t="shared" si="427"/>
        <v>70</v>
      </c>
      <c r="AG912">
        <f t="shared" si="428"/>
        <v>63</v>
      </c>
      <c r="AH912">
        <f t="shared" si="429"/>
        <v>49</v>
      </c>
      <c r="AI912">
        <f t="shared" si="430"/>
        <v>222</v>
      </c>
      <c r="AJ912">
        <f t="shared" si="431"/>
        <v>202</v>
      </c>
      <c r="AK912">
        <f t="shared" si="432"/>
        <v>170</v>
      </c>
      <c r="AL912">
        <f t="shared" si="433"/>
        <v>153</v>
      </c>
      <c r="AM912">
        <f t="shared" si="434"/>
        <v>139</v>
      </c>
      <c r="AN912">
        <f t="shared" si="435"/>
        <v>112</v>
      </c>
      <c r="AO912">
        <f t="shared" si="436"/>
        <v>102</v>
      </c>
      <c r="AP912">
        <f t="shared" si="437"/>
        <v>70</v>
      </c>
      <c r="AQ912">
        <f t="shared" si="438"/>
        <v>63</v>
      </c>
      <c r="AR912">
        <f t="shared" si="439"/>
        <v>49</v>
      </c>
      <c r="AS912">
        <f t="shared" si="440"/>
        <v>222</v>
      </c>
      <c r="AT912">
        <f t="shared" si="441"/>
        <v>202</v>
      </c>
      <c r="AU912">
        <f t="shared" si="442"/>
        <v>170</v>
      </c>
      <c r="AV912">
        <f t="shared" si="443"/>
        <v>153</v>
      </c>
      <c r="AW912">
        <f t="shared" si="444"/>
        <v>139</v>
      </c>
      <c r="AX912">
        <f t="shared" si="445"/>
        <v>112</v>
      </c>
      <c r="AY912">
        <f t="shared" si="446"/>
        <v>102</v>
      </c>
      <c r="AZ912">
        <f t="shared" si="447"/>
        <v>70</v>
      </c>
      <c r="BA912">
        <f t="shared" si="448"/>
        <v>63</v>
      </c>
      <c r="BB912">
        <f t="shared" si="449"/>
        <v>49</v>
      </c>
    </row>
    <row r="913" spans="1:54" x14ac:dyDescent="0.15">
      <c r="A913">
        <v>618</v>
      </c>
      <c r="B913" t="s">
        <v>3172</v>
      </c>
      <c r="C913">
        <v>704</v>
      </c>
      <c r="D913">
        <v>0</v>
      </c>
      <c r="E913" t="s">
        <v>3173</v>
      </c>
      <c r="G913" t="s">
        <v>3173</v>
      </c>
      <c r="H913" t="s">
        <v>3174</v>
      </c>
      <c r="J913" t="s">
        <v>3175</v>
      </c>
      <c r="K913">
        <v>2.8</v>
      </c>
      <c r="L913">
        <v>0.3</v>
      </c>
      <c r="M913" t="s">
        <v>60</v>
      </c>
      <c r="O913" t="s">
        <v>965</v>
      </c>
      <c r="P913" t="s">
        <v>513</v>
      </c>
      <c r="Q913" t="s">
        <v>3176</v>
      </c>
      <c r="R913">
        <v>9</v>
      </c>
      <c r="S913">
        <v>45</v>
      </c>
      <c r="T913">
        <v>50</v>
      </c>
      <c r="U913">
        <v>35</v>
      </c>
      <c r="V913">
        <v>55</v>
      </c>
      <c r="W913">
        <v>75</v>
      </c>
      <c r="X913">
        <v>40</v>
      </c>
      <c r="Y913">
        <f t="shared" si="420"/>
        <v>152</v>
      </c>
      <c r="Z913">
        <f t="shared" si="421"/>
        <v>152</v>
      </c>
      <c r="AA913">
        <f t="shared" si="422"/>
        <v>120</v>
      </c>
      <c r="AB913">
        <f t="shared" si="423"/>
        <v>120</v>
      </c>
      <c r="AC913">
        <f t="shared" si="424"/>
        <v>105</v>
      </c>
      <c r="AD913">
        <f t="shared" si="425"/>
        <v>112</v>
      </c>
      <c r="AE913">
        <f t="shared" si="426"/>
        <v>102</v>
      </c>
      <c r="AF913">
        <f t="shared" si="427"/>
        <v>70</v>
      </c>
      <c r="AG913">
        <f t="shared" si="428"/>
        <v>63</v>
      </c>
      <c r="AH913">
        <f t="shared" si="429"/>
        <v>49</v>
      </c>
      <c r="AI913">
        <f t="shared" si="430"/>
        <v>95</v>
      </c>
      <c r="AJ913">
        <f t="shared" si="431"/>
        <v>87</v>
      </c>
      <c r="AK913">
        <f t="shared" si="432"/>
        <v>55</v>
      </c>
      <c r="AL913">
        <f t="shared" si="433"/>
        <v>49</v>
      </c>
      <c r="AM913">
        <f t="shared" si="434"/>
        <v>36</v>
      </c>
      <c r="AN913">
        <f t="shared" si="435"/>
        <v>117</v>
      </c>
      <c r="AO913">
        <f t="shared" si="436"/>
        <v>107</v>
      </c>
      <c r="AP913">
        <f t="shared" si="437"/>
        <v>75</v>
      </c>
      <c r="AQ913">
        <f t="shared" si="438"/>
        <v>67</v>
      </c>
      <c r="AR913">
        <f t="shared" si="439"/>
        <v>54</v>
      </c>
      <c r="AS913">
        <f t="shared" si="440"/>
        <v>139</v>
      </c>
      <c r="AT913">
        <f t="shared" si="441"/>
        <v>127</v>
      </c>
      <c r="AU913">
        <f t="shared" si="442"/>
        <v>95</v>
      </c>
      <c r="AV913">
        <f t="shared" si="443"/>
        <v>85</v>
      </c>
      <c r="AW913">
        <f t="shared" si="444"/>
        <v>72</v>
      </c>
      <c r="AX913">
        <f t="shared" si="445"/>
        <v>101</v>
      </c>
      <c r="AY913">
        <f t="shared" si="446"/>
        <v>92</v>
      </c>
      <c r="AZ913">
        <f t="shared" si="447"/>
        <v>60</v>
      </c>
      <c r="BA913">
        <f t="shared" si="448"/>
        <v>54</v>
      </c>
      <c r="BB913">
        <f t="shared" si="449"/>
        <v>40</v>
      </c>
    </row>
    <row r="914" spans="1:54" x14ac:dyDescent="0.15">
      <c r="A914">
        <v>619</v>
      </c>
      <c r="B914" t="s">
        <v>3177</v>
      </c>
      <c r="C914">
        <v>705</v>
      </c>
      <c r="D914">
        <v>0</v>
      </c>
      <c r="E914" t="s">
        <v>3178</v>
      </c>
      <c r="G914" t="s">
        <v>3178</v>
      </c>
      <c r="H914" t="s">
        <v>3179</v>
      </c>
      <c r="J914" t="s">
        <v>3175</v>
      </c>
      <c r="K914">
        <v>17.5</v>
      </c>
      <c r="L914">
        <v>0.8</v>
      </c>
      <c r="M914" t="s">
        <v>60</v>
      </c>
      <c r="O914" t="s">
        <v>965</v>
      </c>
      <c r="P914" t="s">
        <v>513</v>
      </c>
      <c r="Q914" t="s">
        <v>3176</v>
      </c>
      <c r="R914">
        <v>9</v>
      </c>
      <c r="S914">
        <v>68</v>
      </c>
      <c r="T914">
        <v>75</v>
      </c>
      <c r="U914">
        <v>53</v>
      </c>
      <c r="V914">
        <v>83</v>
      </c>
      <c r="W914">
        <v>113</v>
      </c>
      <c r="X914">
        <v>60</v>
      </c>
      <c r="Y914">
        <f t="shared" si="420"/>
        <v>175</v>
      </c>
      <c r="Z914">
        <f t="shared" si="421"/>
        <v>175</v>
      </c>
      <c r="AA914">
        <f t="shared" si="422"/>
        <v>143</v>
      </c>
      <c r="AB914">
        <f t="shared" si="423"/>
        <v>143</v>
      </c>
      <c r="AC914">
        <f t="shared" si="424"/>
        <v>128</v>
      </c>
      <c r="AD914">
        <f t="shared" si="425"/>
        <v>139</v>
      </c>
      <c r="AE914">
        <f t="shared" si="426"/>
        <v>127</v>
      </c>
      <c r="AF914">
        <f t="shared" si="427"/>
        <v>95</v>
      </c>
      <c r="AG914">
        <f t="shared" si="428"/>
        <v>85</v>
      </c>
      <c r="AH914">
        <f t="shared" si="429"/>
        <v>72</v>
      </c>
      <c r="AI914">
        <f t="shared" si="430"/>
        <v>115</v>
      </c>
      <c r="AJ914">
        <f t="shared" si="431"/>
        <v>105</v>
      </c>
      <c r="AK914">
        <f t="shared" si="432"/>
        <v>73</v>
      </c>
      <c r="AL914">
        <f t="shared" si="433"/>
        <v>65</v>
      </c>
      <c r="AM914">
        <f t="shared" si="434"/>
        <v>52</v>
      </c>
      <c r="AN914">
        <f t="shared" si="435"/>
        <v>148</v>
      </c>
      <c r="AO914">
        <f t="shared" si="436"/>
        <v>135</v>
      </c>
      <c r="AP914">
        <f t="shared" si="437"/>
        <v>103</v>
      </c>
      <c r="AQ914">
        <f t="shared" si="438"/>
        <v>92</v>
      </c>
      <c r="AR914">
        <f t="shared" si="439"/>
        <v>79</v>
      </c>
      <c r="AS914">
        <f t="shared" si="440"/>
        <v>181</v>
      </c>
      <c r="AT914">
        <f t="shared" si="441"/>
        <v>165</v>
      </c>
      <c r="AU914">
        <f t="shared" si="442"/>
        <v>133</v>
      </c>
      <c r="AV914">
        <f t="shared" si="443"/>
        <v>119</v>
      </c>
      <c r="AW914">
        <f t="shared" si="444"/>
        <v>106</v>
      </c>
      <c r="AX914">
        <f t="shared" si="445"/>
        <v>123</v>
      </c>
      <c r="AY914">
        <f t="shared" si="446"/>
        <v>112</v>
      </c>
      <c r="AZ914">
        <f t="shared" si="447"/>
        <v>80</v>
      </c>
      <c r="BA914">
        <f t="shared" si="448"/>
        <v>72</v>
      </c>
      <c r="BB914">
        <f t="shared" si="449"/>
        <v>58</v>
      </c>
    </row>
    <row r="915" spans="1:54" x14ac:dyDescent="0.15">
      <c r="A915">
        <v>620</v>
      </c>
      <c r="B915" t="s">
        <v>3180</v>
      </c>
      <c r="C915">
        <v>705</v>
      </c>
      <c r="D915">
        <v>1</v>
      </c>
      <c r="E915" t="s">
        <v>3178</v>
      </c>
      <c r="F915" t="s">
        <v>367</v>
      </c>
      <c r="G915" t="s">
        <v>3181</v>
      </c>
      <c r="H915" t="s">
        <v>3182</v>
      </c>
      <c r="J915" t="s">
        <v>2750</v>
      </c>
      <c r="K915">
        <v>68.5</v>
      </c>
      <c r="L915">
        <v>0.7</v>
      </c>
      <c r="M915" t="s">
        <v>203</v>
      </c>
      <c r="N915" t="s">
        <v>60</v>
      </c>
      <c r="O915" t="s">
        <v>965</v>
      </c>
      <c r="P915" t="s">
        <v>481</v>
      </c>
      <c r="Q915" t="s">
        <v>3176</v>
      </c>
      <c r="R915">
        <v>9</v>
      </c>
      <c r="S915">
        <v>58</v>
      </c>
      <c r="T915">
        <v>75</v>
      </c>
      <c r="U915">
        <v>83</v>
      </c>
      <c r="V915">
        <v>83</v>
      </c>
      <c r="W915">
        <v>113</v>
      </c>
      <c r="X915">
        <v>40</v>
      </c>
      <c r="Y915">
        <f t="shared" si="420"/>
        <v>165</v>
      </c>
      <c r="Z915">
        <f t="shared" si="421"/>
        <v>165</v>
      </c>
      <c r="AA915">
        <f t="shared" si="422"/>
        <v>133</v>
      </c>
      <c r="AB915">
        <f t="shared" si="423"/>
        <v>133</v>
      </c>
      <c r="AC915">
        <f t="shared" si="424"/>
        <v>118</v>
      </c>
      <c r="AD915">
        <f t="shared" si="425"/>
        <v>139</v>
      </c>
      <c r="AE915">
        <f t="shared" si="426"/>
        <v>127</v>
      </c>
      <c r="AF915">
        <f t="shared" si="427"/>
        <v>95</v>
      </c>
      <c r="AG915">
        <f t="shared" si="428"/>
        <v>85</v>
      </c>
      <c r="AH915">
        <f t="shared" si="429"/>
        <v>72</v>
      </c>
      <c r="AI915">
        <f t="shared" si="430"/>
        <v>148</v>
      </c>
      <c r="AJ915">
        <f t="shared" si="431"/>
        <v>135</v>
      </c>
      <c r="AK915">
        <f t="shared" si="432"/>
        <v>103</v>
      </c>
      <c r="AL915">
        <f t="shared" si="433"/>
        <v>92</v>
      </c>
      <c r="AM915">
        <f t="shared" si="434"/>
        <v>79</v>
      </c>
      <c r="AN915">
        <f t="shared" si="435"/>
        <v>148</v>
      </c>
      <c r="AO915">
        <f t="shared" si="436"/>
        <v>135</v>
      </c>
      <c r="AP915">
        <f t="shared" si="437"/>
        <v>103</v>
      </c>
      <c r="AQ915">
        <f t="shared" si="438"/>
        <v>92</v>
      </c>
      <c r="AR915">
        <f t="shared" si="439"/>
        <v>79</v>
      </c>
      <c r="AS915">
        <f t="shared" si="440"/>
        <v>181</v>
      </c>
      <c r="AT915">
        <f t="shared" si="441"/>
        <v>165</v>
      </c>
      <c r="AU915">
        <f t="shared" si="442"/>
        <v>133</v>
      </c>
      <c r="AV915">
        <f t="shared" si="443"/>
        <v>119</v>
      </c>
      <c r="AW915">
        <f t="shared" si="444"/>
        <v>106</v>
      </c>
      <c r="AX915">
        <f t="shared" si="445"/>
        <v>101</v>
      </c>
      <c r="AY915">
        <f t="shared" si="446"/>
        <v>92</v>
      </c>
      <c r="AZ915">
        <f t="shared" si="447"/>
        <v>60</v>
      </c>
      <c r="BA915">
        <f t="shared" si="448"/>
        <v>54</v>
      </c>
      <c r="BB915">
        <f t="shared" si="449"/>
        <v>40</v>
      </c>
    </row>
    <row r="916" spans="1:54" x14ac:dyDescent="0.15">
      <c r="A916">
        <v>621</v>
      </c>
      <c r="B916" t="s">
        <v>3183</v>
      </c>
      <c r="C916">
        <v>706</v>
      </c>
      <c r="D916">
        <v>0</v>
      </c>
      <c r="E916" t="s">
        <v>3184</v>
      </c>
      <c r="G916" t="s">
        <v>3184</v>
      </c>
      <c r="H916" t="s">
        <v>3185</v>
      </c>
      <c r="J916" t="s">
        <v>670</v>
      </c>
      <c r="K916">
        <v>150.5</v>
      </c>
      <c r="L916">
        <v>2</v>
      </c>
      <c r="M916" t="s">
        <v>60</v>
      </c>
      <c r="O916" t="s">
        <v>965</v>
      </c>
      <c r="P916" t="s">
        <v>513</v>
      </c>
      <c r="Q916" t="s">
        <v>3176</v>
      </c>
      <c r="R916">
        <v>9</v>
      </c>
      <c r="S916">
        <v>90</v>
      </c>
      <c r="T916">
        <v>100</v>
      </c>
      <c r="U916">
        <v>70</v>
      </c>
      <c r="V916">
        <v>110</v>
      </c>
      <c r="W916">
        <v>150</v>
      </c>
      <c r="X916">
        <v>80</v>
      </c>
      <c r="Y916">
        <f t="shared" si="420"/>
        <v>197</v>
      </c>
      <c r="Z916">
        <f t="shared" si="421"/>
        <v>197</v>
      </c>
      <c r="AA916">
        <f t="shared" si="422"/>
        <v>165</v>
      </c>
      <c r="AB916">
        <f t="shared" si="423"/>
        <v>165</v>
      </c>
      <c r="AC916">
        <f t="shared" si="424"/>
        <v>150</v>
      </c>
      <c r="AD916">
        <f t="shared" si="425"/>
        <v>167</v>
      </c>
      <c r="AE916">
        <f t="shared" si="426"/>
        <v>152</v>
      </c>
      <c r="AF916">
        <f t="shared" si="427"/>
        <v>120</v>
      </c>
      <c r="AG916">
        <f t="shared" si="428"/>
        <v>108</v>
      </c>
      <c r="AH916">
        <f t="shared" si="429"/>
        <v>94</v>
      </c>
      <c r="AI916">
        <f t="shared" si="430"/>
        <v>134</v>
      </c>
      <c r="AJ916">
        <f t="shared" si="431"/>
        <v>122</v>
      </c>
      <c r="AK916">
        <f t="shared" si="432"/>
        <v>90</v>
      </c>
      <c r="AL916">
        <f t="shared" si="433"/>
        <v>81</v>
      </c>
      <c r="AM916">
        <f t="shared" si="434"/>
        <v>67</v>
      </c>
      <c r="AN916">
        <f t="shared" si="435"/>
        <v>178</v>
      </c>
      <c r="AO916">
        <f t="shared" si="436"/>
        <v>162</v>
      </c>
      <c r="AP916">
        <f t="shared" si="437"/>
        <v>130</v>
      </c>
      <c r="AQ916">
        <f t="shared" si="438"/>
        <v>117</v>
      </c>
      <c r="AR916">
        <f t="shared" si="439"/>
        <v>103</v>
      </c>
      <c r="AS916">
        <f t="shared" si="440"/>
        <v>222</v>
      </c>
      <c r="AT916">
        <f t="shared" si="441"/>
        <v>202</v>
      </c>
      <c r="AU916">
        <f t="shared" si="442"/>
        <v>170</v>
      </c>
      <c r="AV916">
        <f t="shared" si="443"/>
        <v>153</v>
      </c>
      <c r="AW916">
        <f t="shared" si="444"/>
        <v>139</v>
      </c>
      <c r="AX916">
        <f t="shared" si="445"/>
        <v>145</v>
      </c>
      <c r="AY916">
        <f t="shared" si="446"/>
        <v>132</v>
      </c>
      <c r="AZ916">
        <f t="shared" si="447"/>
        <v>100</v>
      </c>
      <c r="BA916">
        <f t="shared" si="448"/>
        <v>90</v>
      </c>
      <c r="BB916">
        <f t="shared" si="449"/>
        <v>76</v>
      </c>
    </row>
    <row r="917" spans="1:54" x14ac:dyDescent="0.15">
      <c r="A917">
        <v>622</v>
      </c>
      <c r="B917" t="s">
        <v>3186</v>
      </c>
      <c r="C917">
        <v>706</v>
      </c>
      <c r="D917">
        <v>1</v>
      </c>
      <c r="E917" t="s">
        <v>3184</v>
      </c>
      <c r="F917" t="s">
        <v>367</v>
      </c>
      <c r="G917" t="s">
        <v>3187</v>
      </c>
      <c r="H917" t="s">
        <v>3188</v>
      </c>
      <c r="J917" t="s">
        <v>3189</v>
      </c>
      <c r="K917">
        <v>334.1</v>
      </c>
      <c r="L917">
        <v>1.7</v>
      </c>
      <c r="M917" t="s">
        <v>203</v>
      </c>
      <c r="N917" t="s">
        <v>60</v>
      </c>
      <c r="O917" t="s">
        <v>965</v>
      </c>
      <c r="P917" t="s">
        <v>481</v>
      </c>
      <c r="Q917" t="s">
        <v>3176</v>
      </c>
      <c r="R917">
        <v>9</v>
      </c>
      <c r="S917">
        <v>80</v>
      </c>
      <c r="T917">
        <v>100</v>
      </c>
      <c r="U917">
        <v>100</v>
      </c>
      <c r="V917">
        <v>110</v>
      </c>
      <c r="W917">
        <v>150</v>
      </c>
      <c r="X917">
        <v>60</v>
      </c>
      <c r="Y917">
        <f t="shared" si="420"/>
        <v>187</v>
      </c>
      <c r="Z917">
        <f t="shared" si="421"/>
        <v>187</v>
      </c>
      <c r="AA917">
        <f t="shared" si="422"/>
        <v>155</v>
      </c>
      <c r="AB917">
        <f t="shared" si="423"/>
        <v>155</v>
      </c>
      <c r="AC917">
        <f t="shared" si="424"/>
        <v>140</v>
      </c>
      <c r="AD917">
        <f t="shared" si="425"/>
        <v>167</v>
      </c>
      <c r="AE917">
        <f t="shared" si="426"/>
        <v>152</v>
      </c>
      <c r="AF917">
        <f t="shared" si="427"/>
        <v>120</v>
      </c>
      <c r="AG917">
        <f t="shared" si="428"/>
        <v>108</v>
      </c>
      <c r="AH917">
        <f t="shared" si="429"/>
        <v>94</v>
      </c>
      <c r="AI917">
        <f t="shared" si="430"/>
        <v>167</v>
      </c>
      <c r="AJ917">
        <f t="shared" si="431"/>
        <v>152</v>
      </c>
      <c r="AK917">
        <f t="shared" si="432"/>
        <v>120</v>
      </c>
      <c r="AL917">
        <f t="shared" si="433"/>
        <v>108</v>
      </c>
      <c r="AM917">
        <f t="shared" si="434"/>
        <v>94</v>
      </c>
      <c r="AN917">
        <f t="shared" si="435"/>
        <v>178</v>
      </c>
      <c r="AO917">
        <f t="shared" si="436"/>
        <v>162</v>
      </c>
      <c r="AP917">
        <f t="shared" si="437"/>
        <v>130</v>
      </c>
      <c r="AQ917">
        <f t="shared" si="438"/>
        <v>117</v>
      </c>
      <c r="AR917">
        <f t="shared" si="439"/>
        <v>103</v>
      </c>
      <c r="AS917">
        <f t="shared" si="440"/>
        <v>222</v>
      </c>
      <c r="AT917">
        <f t="shared" si="441"/>
        <v>202</v>
      </c>
      <c r="AU917">
        <f t="shared" si="442"/>
        <v>170</v>
      </c>
      <c r="AV917">
        <f t="shared" si="443"/>
        <v>153</v>
      </c>
      <c r="AW917">
        <f t="shared" si="444"/>
        <v>139</v>
      </c>
      <c r="AX917">
        <f t="shared" si="445"/>
        <v>123</v>
      </c>
      <c r="AY917">
        <f t="shared" si="446"/>
        <v>112</v>
      </c>
      <c r="AZ917">
        <f t="shared" si="447"/>
        <v>80</v>
      </c>
      <c r="BA917">
        <f t="shared" si="448"/>
        <v>72</v>
      </c>
      <c r="BB917">
        <f t="shared" si="449"/>
        <v>58</v>
      </c>
    </row>
    <row r="918" spans="1:54" x14ac:dyDescent="0.15">
      <c r="A918">
        <v>615</v>
      </c>
      <c r="B918" t="s">
        <v>3190</v>
      </c>
      <c r="C918">
        <v>707</v>
      </c>
      <c r="D918">
        <v>0</v>
      </c>
      <c r="E918" t="s">
        <v>3191</v>
      </c>
      <c r="G918" t="s">
        <v>3191</v>
      </c>
      <c r="H918" t="s">
        <v>3192</v>
      </c>
      <c r="J918" t="s">
        <v>3193</v>
      </c>
      <c r="K918">
        <v>3</v>
      </c>
      <c r="L918">
        <v>0.2</v>
      </c>
      <c r="M918" t="s">
        <v>203</v>
      </c>
      <c r="N918" t="s">
        <v>233</v>
      </c>
      <c r="O918" t="s">
        <v>1027</v>
      </c>
      <c r="P918" t="s">
        <v>2929</v>
      </c>
      <c r="R918">
        <v>9</v>
      </c>
      <c r="S918">
        <v>57</v>
      </c>
      <c r="T918">
        <v>80</v>
      </c>
      <c r="U918">
        <v>91</v>
      </c>
      <c r="V918">
        <v>80</v>
      </c>
      <c r="W918">
        <v>87</v>
      </c>
      <c r="X918">
        <v>75</v>
      </c>
      <c r="Y918">
        <f t="shared" si="420"/>
        <v>164</v>
      </c>
      <c r="Z918">
        <f t="shared" si="421"/>
        <v>164</v>
      </c>
      <c r="AA918">
        <f t="shared" si="422"/>
        <v>132</v>
      </c>
      <c r="AB918">
        <f t="shared" si="423"/>
        <v>132</v>
      </c>
      <c r="AC918">
        <f t="shared" si="424"/>
        <v>117</v>
      </c>
      <c r="AD918">
        <f t="shared" si="425"/>
        <v>145</v>
      </c>
      <c r="AE918">
        <f t="shared" si="426"/>
        <v>132</v>
      </c>
      <c r="AF918">
        <f t="shared" si="427"/>
        <v>100</v>
      </c>
      <c r="AG918">
        <f t="shared" si="428"/>
        <v>90</v>
      </c>
      <c r="AH918">
        <f t="shared" si="429"/>
        <v>76</v>
      </c>
      <c r="AI918">
        <f t="shared" si="430"/>
        <v>157</v>
      </c>
      <c r="AJ918">
        <f t="shared" si="431"/>
        <v>143</v>
      </c>
      <c r="AK918">
        <f t="shared" si="432"/>
        <v>111</v>
      </c>
      <c r="AL918">
        <f t="shared" si="433"/>
        <v>99</v>
      </c>
      <c r="AM918">
        <f t="shared" si="434"/>
        <v>86</v>
      </c>
      <c r="AN918">
        <f t="shared" si="435"/>
        <v>145</v>
      </c>
      <c r="AO918">
        <f t="shared" si="436"/>
        <v>132</v>
      </c>
      <c r="AP918">
        <f t="shared" si="437"/>
        <v>100</v>
      </c>
      <c r="AQ918">
        <f t="shared" si="438"/>
        <v>90</v>
      </c>
      <c r="AR918">
        <f t="shared" si="439"/>
        <v>76</v>
      </c>
      <c r="AS918">
        <f t="shared" si="440"/>
        <v>152</v>
      </c>
      <c r="AT918">
        <f t="shared" si="441"/>
        <v>139</v>
      </c>
      <c r="AU918">
        <f t="shared" si="442"/>
        <v>107</v>
      </c>
      <c r="AV918">
        <f t="shared" si="443"/>
        <v>96</v>
      </c>
      <c r="AW918">
        <f t="shared" si="444"/>
        <v>82</v>
      </c>
      <c r="AX918">
        <f t="shared" si="445"/>
        <v>139</v>
      </c>
      <c r="AY918">
        <f t="shared" si="446"/>
        <v>127</v>
      </c>
      <c r="AZ918">
        <f t="shared" si="447"/>
        <v>95</v>
      </c>
      <c r="BA918">
        <f t="shared" si="448"/>
        <v>85</v>
      </c>
      <c r="BB918">
        <f t="shared" si="449"/>
        <v>72</v>
      </c>
    </row>
    <row r="919" spans="1:54" x14ac:dyDescent="0.15">
      <c r="A919">
        <v>545</v>
      </c>
      <c r="B919" t="s">
        <v>3194</v>
      </c>
      <c r="C919">
        <v>708</v>
      </c>
      <c r="D919">
        <v>0</v>
      </c>
      <c r="E919" t="s">
        <v>3195</v>
      </c>
      <c r="G919" t="s">
        <v>3195</v>
      </c>
      <c r="H919" t="s">
        <v>3196</v>
      </c>
      <c r="J919" t="s">
        <v>3197</v>
      </c>
      <c r="K919">
        <v>7</v>
      </c>
      <c r="L919">
        <v>0.4</v>
      </c>
      <c r="M919" t="s">
        <v>546</v>
      </c>
      <c r="N919" t="s">
        <v>26</v>
      </c>
      <c r="O919" t="s">
        <v>654</v>
      </c>
      <c r="P919" t="s">
        <v>264</v>
      </c>
      <c r="Q919" t="s">
        <v>602</v>
      </c>
      <c r="R919">
        <v>9</v>
      </c>
      <c r="S919">
        <v>43</v>
      </c>
      <c r="T919">
        <v>70</v>
      </c>
      <c r="U919">
        <v>48</v>
      </c>
      <c r="V919">
        <v>50</v>
      </c>
      <c r="W919">
        <v>60</v>
      </c>
      <c r="X919">
        <v>38</v>
      </c>
      <c r="Y919">
        <f t="shared" si="420"/>
        <v>150</v>
      </c>
      <c r="Z919">
        <f t="shared" si="421"/>
        <v>150</v>
      </c>
      <c r="AA919">
        <f t="shared" si="422"/>
        <v>118</v>
      </c>
      <c r="AB919">
        <f t="shared" si="423"/>
        <v>118</v>
      </c>
      <c r="AC919">
        <f t="shared" si="424"/>
        <v>103</v>
      </c>
      <c r="AD919">
        <f t="shared" si="425"/>
        <v>134</v>
      </c>
      <c r="AE919">
        <f t="shared" si="426"/>
        <v>122</v>
      </c>
      <c r="AF919">
        <f t="shared" si="427"/>
        <v>90</v>
      </c>
      <c r="AG919">
        <f t="shared" si="428"/>
        <v>81</v>
      </c>
      <c r="AH919">
        <f t="shared" si="429"/>
        <v>67</v>
      </c>
      <c r="AI919">
        <f t="shared" si="430"/>
        <v>110</v>
      </c>
      <c r="AJ919">
        <f t="shared" si="431"/>
        <v>100</v>
      </c>
      <c r="AK919">
        <f t="shared" si="432"/>
        <v>68</v>
      </c>
      <c r="AL919">
        <f t="shared" si="433"/>
        <v>61</v>
      </c>
      <c r="AM919">
        <f t="shared" si="434"/>
        <v>47</v>
      </c>
      <c r="AN919">
        <f t="shared" si="435"/>
        <v>112</v>
      </c>
      <c r="AO919">
        <f t="shared" si="436"/>
        <v>102</v>
      </c>
      <c r="AP919">
        <f t="shared" si="437"/>
        <v>70</v>
      </c>
      <c r="AQ919">
        <f t="shared" si="438"/>
        <v>63</v>
      </c>
      <c r="AR919">
        <f t="shared" si="439"/>
        <v>49</v>
      </c>
      <c r="AS919">
        <f t="shared" si="440"/>
        <v>123</v>
      </c>
      <c r="AT919">
        <f t="shared" si="441"/>
        <v>112</v>
      </c>
      <c r="AU919">
        <f t="shared" si="442"/>
        <v>80</v>
      </c>
      <c r="AV919">
        <f t="shared" si="443"/>
        <v>72</v>
      </c>
      <c r="AW919">
        <f t="shared" si="444"/>
        <v>58</v>
      </c>
      <c r="AX919">
        <f t="shared" si="445"/>
        <v>99</v>
      </c>
      <c r="AY919">
        <f t="shared" si="446"/>
        <v>90</v>
      </c>
      <c r="AZ919">
        <f t="shared" si="447"/>
        <v>58</v>
      </c>
      <c r="BA919">
        <f t="shared" si="448"/>
        <v>52</v>
      </c>
      <c r="BB919">
        <f t="shared" si="449"/>
        <v>38</v>
      </c>
    </row>
    <row r="920" spans="1:54" x14ac:dyDescent="0.15">
      <c r="A920">
        <v>546</v>
      </c>
      <c r="B920" t="s">
        <v>3198</v>
      </c>
      <c r="C920">
        <v>709</v>
      </c>
      <c r="D920">
        <v>0</v>
      </c>
      <c r="E920" t="s">
        <v>3199</v>
      </c>
      <c r="G920" t="s">
        <v>3199</v>
      </c>
      <c r="H920" t="s">
        <v>3200</v>
      </c>
      <c r="J920" t="s">
        <v>3201</v>
      </c>
      <c r="K920">
        <v>71</v>
      </c>
      <c r="L920">
        <v>1.5</v>
      </c>
      <c r="M920" t="s">
        <v>546</v>
      </c>
      <c r="N920" t="s">
        <v>26</v>
      </c>
      <c r="O920" t="s">
        <v>654</v>
      </c>
      <c r="P920" t="s">
        <v>264</v>
      </c>
      <c r="Q920" t="s">
        <v>602</v>
      </c>
      <c r="R920">
        <v>9</v>
      </c>
      <c r="S920">
        <v>85</v>
      </c>
      <c r="T920">
        <v>110</v>
      </c>
      <c r="U920">
        <v>76</v>
      </c>
      <c r="V920">
        <v>65</v>
      </c>
      <c r="W920">
        <v>82</v>
      </c>
      <c r="X920">
        <v>56</v>
      </c>
      <c r="Y920">
        <f t="shared" si="420"/>
        <v>192</v>
      </c>
      <c r="Z920">
        <f t="shared" si="421"/>
        <v>192</v>
      </c>
      <c r="AA920">
        <f t="shared" si="422"/>
        <v>160</v>
      </c>
      <c r="AB920">
        <f t="shared" si="423"/>
        <v>160</v>
      </c>
      <c r="AC920">
        <f t="shared" si="424"/>
        <v>145</v>
      </c>
      <c r="AD920">
        <f t="shared" si="425"/>
        <v>178</v>
      </c>
      <c r="AE920">
        <f t="shared" si="426"/>
        <v>162</v>
      </c>
      <c r="AF920">
        <f t="shared" si="427"/>
        <v>130</v>
      </c>
      <c r="AG920">
        <f t="shared" si="428"/>
        <v>117</v>
      </c>
      <c r="AH920">
        <f t="shared" si="429"/>
        <v>103</v>
      </c>
      <c r="AI920">
        <f t="shared" si="430"/>
        <v>140</v>
      </c>
      <c r="AJ920">
        <f t="shared" si="431"/>
        <v>128</v>
      </c>
      <c r="AK920">
        <f t="shared" si="432"/>
        <v>96</v>
      </c>
      <c r="AL920">
        <f t="shared" si="433"/>
        <v>86</v>
      </c>
      <c r="AM920">
        <f t="shared" si="434"/>
        <v>72</v>
      </c>
      <c r="AN920">
        <f t="shared" si="435"/>
        <v>128</v>
      </c>
      <c r="AO920">
        <f t="shared" si="436"/>
        <v>117</v>
      </c>
      <c r="AP920">
        <f t="shared" si="437"/>
        <v>85</v>
      </c>
      <c r="AQ920">
        <f t="shared" si="438"/>
        <v>76</v>
      </c>
      <c r="AR920">
        <f t="shared" si="439"/>
        <v>63</v>
      </c>
      <c r="AS920">
        <f t="shared" si="440"/>
        <v>147</v>
      </c>
      <c r="AT920">
        <f t="shared" si="441"/>
        <v>134</v>
      </c>
      <c r="AU920">
        <f t="shared" si="442"/>
        <v>102</v>
      </c>
      <c r="AV920">
        <f t="shared" si="443"/>
        <v>91</v>
      </c>
      <c r="AW920">
        <f t="shared" si="444"/>
        <v>78</v>
      </c>
      <c r="AX920">
        <f t="shared" si="445"/>
        <v>118</v>
      </c>
      <c r="AY920">
        <f t="shared" si="446"/>
        <v>108</v>
      </c>
      <c r="AZ920">
        <f t="shared" si="447"/>
        <v>76</v>
      </c>
      <c r="BA920">
        <f t="shared" si="448"/>
        <v>68</v>
      </c>
      <c r="BB920">
        <f t="shared" si="449"/>
        <v>54</v>
      </c>
    </row>
    <row r="921" spans="1:54" x14ac:dyDescent="0.15">
      <c r="B921" t="s">
        <v>3202</v>
      </c>
      <c r="C921">
        <v>710</v>
      </c>
      <c r="D921">
        <v>0</v>
      </c>
      <c r="E921" t="s">
        <v>3203</v>
      </c>
      <c r="F921" t="s">
        <v>3204</v>
      </c>
      <c r="G921" t="s">
        <v>3205</v>
      </c>
      <c r="J921" t="s">
        <v>3206</v>
      </c>
      <c r="K921">
        <v>5</v>
      </c>
      <c r="L921">
        <v>0.4</v>
      </c>
      <c r="M921" t="s">
        <v>546</v>
      </c>
      <c r="N921" t="s">
        <v>26</v>
      </c>
      <c r="O921" t="s">
        <v>321</v>
      </c>
      <c r="P921" t="s">
        <v>264</v>
      </c>
      <c r="Q921" t="s">
        <v>568</v>
      </c>
      <c r="R921">
        <v>8</v>
      </c>
      <c r="S921">
        <v>49</v>
      </c>
      <c r="T921">
        <v>66</v>
      </c>
      <c r="U921">
        <v>70</v>
      </c>
      <c r="V921">
        <v>44</v>
      </c>
      <c r="W921">
        <v>55</v>
      </c>
      <c r="X921">
        <v>51</v>
      </c>
      <c r="Y921">
        <f t="shared" si="420"/>
        <v>156</v>
      </c>
      <c r="Z921">
        <f t="shared" si="421"/>
        <v>156</v>
      </c>
      <c r="AA921">
        <f t="shared" si="422"/>
        <v>124</v>
      </c>
      <c r="AB921">
        <f t="shared" si="423"/>
        <v>124</v>
      </c>
      <c r="AC921">
        <f t="shared" si="424"/>
        <v>109</v>
      </c>
      <c r="AD921">
        <f t="shared" si="425"/>
        <v>129</v>
      </c>
      <c r="AE921">
        <f t="shared" si="426"/>
        <v>118</v>
      </c>
      <c r="AF921">
        <f t="shared" si="427"/>
        <v>86</v>
      </c>
      <c r="AG921">
        <f t="shared" si="428"/>
        <v>77</v>
      </c>
      <c r="AH921">
        <f t="shared" si="429"/>
        <v>63</v>
      </c>
      <c r="AI921">
        <f t="shared" si="430"/>
        <v>134</v>
      </c>
      <c r="AJ921">
        <f t="shared" si="431"/>
        <v>122</v>
      </c>
      <c r="AK921">
        <f t="shared" si="432"/>
        <v>90</v>
      </c>
      <c r="AL921">
        <f t="shared" si="433"/>
        <v>81</v>
      </c>
      <c r="AM921">
        <f t="shared" si="434"/>
        <v>67</v>
      </c>
      <c r="AN921">
        <f t="shared" si="435"/>
        <v>105</v>
      </c>
      <c r="AO921">
        <f t="shared" si="436"/>
        <v>96</v>
      </c>
      <c r="AP921">
        <f t="shared" si="437"/>
        <v>64</v>
      </c>
      <c r="AQ921">
        <f t="shared" si="438"/>
        <v>57</v>
      </c>
      <c r="AR921">
        <f t="shared" si="439"/>
        <v>44</v>
      </c>
      <c r="AS921">
        <f t="shared" si="440"/>
        <v>117</v>
      </c>
      <c r="AT921">
        <f t="shared" si="441"/>
        <v>107</v>
      </c>
      <c r="AU921">
        <f t="shared" si="442"/>
        <v>75</v>
      </c>
      <c r="AV921">
        <f t="shared" si="443"/>
        <v>67</v>
      </c>
      <c r="AW921">
        <f t="shared" si="444"/>
        <v>54</v>
      </c>
      <c r="AX921">
        <f t="shared" si="445"/>
        <v>113</v>
      </c>
      <c r="AY921">
        <f t="shared" si="446"/>
        <v>103</v>
      </c>
      <c r="AZ921">
        <f t="shared" si="447"/>
        <v>71</v>
      </c>
      <c r="BA921">
        <f t="shared" si="448"/>
        <v>63</v>
      </c>
      <c r="BB921">
        <f t="shared" si="449"/>
        <v>50</v>
      </c>
    </row>
    <row r="922" spans="1:54" x14ac:dyDescent="0.15">
      <c r="B922" t="s">
        <v>3207</v>
      </c>
      <c r="C922">
        <v>710</v>
      </c>
      <c r="D922">
        <v>1</v>
      </c>
      <c r="E922" t="s">
        <v>3203</v>
      </c>
      <c r="F922" t="s">
        <v>3208</v>
      </c>
      <c r="G922" t="s">
        <v>3209</v>
      </c>
      <c r="K922">
        <v>0</v>
      </c>
      <c r="L922">
        <v>0</v>
      </c>
      <c r="O922" t="s">
        <v>568</v>
      </c>
      <c r="R922">
        <v>8</v>
      </c>
      <c r="S922">
        <v>44</v>
      </c>
      <c r="T922">
        <v>66</v>
      </c>
      <c r="U922">
        <v>70</v>
      </c>
      <c r="V922">
        <v>44</v>
      </c>
      <c r="W922">
        <v>55</v>
      </c>
      <c r="X922">
        <v>56</v>
      </c>
      <c r="Y922">
        <f t="shared" si="420"/>
        <v>151</v>
      </c>
      <c r="Z922">
        <f t="shared" si="421"/>
        <v>151</v>
      </c>
      <c r="AA922">
        <f t="shared" si="422"/>
        <v>119</v>
      </c>
      <c r="AB922">
        <f t="shared" si="423"/>
        <v>119</v>
      </c>
      <c r="AC922">
        <f t="shared" si="424"/>
        <v>104</v>
      </c>
      <c r="AD922">
        <f t="shared" si="425"/>
        <v>129</v>
      </c>
      <c r="AE922">
        <f t="shared" si="426"/>
        <v>118</v>
      </c>
      <c r="AF922">
        <f t="shared" si="427"/>
        <v>86</v>
      </c>
      <c r="AG922">
        <f t="shared" si="428"/>
        <v>77</v>
      </c>
      <c r="AH922">
        <f t="shared" si="429"/>
        <v>63</v>
      </c>
      <c r="AI922">
        <f t="shared" si="430"/>
        <v>134</v>
      </c>
      <c r="AJ922">
        <f t="shared" si="431"/>
        <v>122</v>
      </c>
      <c r="AK922">
        <f t="shared" si="432"/>
        <v>90</v>
      </c>
      <c r="AL922">
        <f t="shared" si="433"/>
        <v>81</v>
      </c>
      <c r="AM922">
        <f t="shared" si="434"/>
        <v>67</v>
      </c>
      <c r="AN922">
        <f t="shared" si="435"/>
        <v>105</v>
      </c>
      <c r="AO922">
        <f t="shared" si="436"/>
        <v>96</v>
      </c>
      <c r="AP922">
        <f t="shared" si="437"/>
        <v>64</v>
      </c>
      <c r="AQ922">
        <f t="shared" si="438"/>
        <v>57</v>
      </c>
      <c r="AR922">
        <f t="shared" si="439"/>
        <v>44</v>
      </c>
      <c r="AS922">
        <f t="shared" si="440"/>
        <v>117</v>
      </c>
      <c r="AT922">
        <f t="shared" si="441"/>
        <v>107</v>
      </c>
      <c r="AU922">
        <f t="shared" si="442"/>
        <v>75</v>
      </c>
      <c r="AV922">
        <f t="shared" si="443"/>
        <v>67</v>
      </c>
      <c r="AW922">
        <f t="shared" si="444"/>
        <v>54</v>
      </c>
      <c r="AX922">
        <f t="shared" si="445"/>
        <v>118</v>
      </c>
      <c r="AY922">
        <f t="shared" si="446"/>
        <v>108</v>
      </c>
      <c r="AZ922">
        <f t="shared" si="447"/>
        <v>76</v>
      </c>
      <c r="BA922">
        <f t="shared" si="448"/>
        <v>68</v>
      </c>
      <c r="BB922">
        <f t="shared" si="449"/>
        <v>54</v>
      </c>
    </row>
    <row r="923" spans="1:54" x14ac:dyDescent="0.15">
      <c r="B923" t="s">
        <v>3210</v>
      </c>
      <c r="C923">
        <v>710</v>
      </c>
      <c r="D923">
        <v>2</v>
      </c>
      <c r="E923" t="s">
        <v>3203</v>
      </c>
      <c r="F923" t="s">
        <v>3211</v>
      </c>
      <c r="G923" t="s">
        <v>3212</v>
      </c>
      <c r="K923">
        <v>0</v>
      </c>
      <c r="L923">
        <v>0</v>
      </c>
      <c r="O923" t="s">
        <v>568</v>
      </c>
      <c r="R923">
        <v>8</v>
      </c>
      <c r="S923">
        <v>54</v>
      </c>
      <c r="T923">
        <v>66</v>
      </c>
      <c r="U923">
        <v>70</v>
      </c>
      <c r="V923">
        <v>44</v>
      </c>
      <c r="W923">
        <v>55</v>
      </c>
      <c r="X923">
        <v>46</v>
      </c>
      <c r="Y923">
        <f t="shared" si="420"/>
        <v>161</v>
      </c>
      <c r="Z923">
        <f t="shared" si="421"/>
        <v>161</v>
      </c>
      <c r="AA923">
        <f t="shared" si="422"/>
        <v>129</v>
      </c>
      <c r="AB923">
        <f t="shared" si="423"/>
        <v>129</v>
      </c>
      <c r="AC923">
        <f t="shared" si="424"/>
        <v>114</v>
      </c>
      <c r="AD923">
        <f t="shared" si="425"/>
        <v>129</v>
      </c>
      <c r="AE923">
        <f t="shared" si="426"/>
        <v>118</v>
      </c>
      <c r="AF923">
        <f t="shared" si="427"/>
        <v>86</v>
      </c>
      <c r="AG923">
        <f t="shared" si="428"/>
        <v>77</v>
      </c>
      <c r="AH923">
        <f t="shared" si="429"/>
        <v>63</v>
      </c>
      <c r="AI923">
        <f t="shared" si="430"/>
        <v>134</v>
      </c>
      <c r="AJ923">
        <f t="shared" si="431"/>
        <v>122</v>
      </c>
      <c r="AK923">
        <f t="shared" si="432"/>
        <v>90</v>
      </c>
      <c r="AL923">
        <f t="shared" si="433"/>
        <v>81</v>
      </c>
      <c r="AM923">
        <f t="shared" si="434"/>
        <v>67</v>
      </c>
      <c r="AN923">
        <f t="shared" si="435"/>
        <v>105</v>
      </c>
      <c r="AO923">
        <f t="shared" si="436"/>
        <v>96</v>
      </c>
      <c r="AP923">
        <f t="shared" si="437"/>
        <v>64</v>
      </c>
      <c r="AQ923">
        <f t="shared" si="438"/>
        <v>57</v>
      </c>
      <c r="AR923">
        <f t="shared" si="439"/>
        <v>44</v>
      </c>
      <c r="AS923">
        <f t="shared" si="440"/>
        <v>117</v>
      </c>
      <c r="AT923">
        <f t="shared" si="441"/>
        <v>107</v>
      </c>
      <c r="AU923">
        <f t="shared" si="442"/>
        <v>75</v>
      </c>
      <c r="AV923">
        <f t="shared" si="443"/>
        <v>67</v>
      </c>
      <c r="AW923">
        <f t="shared" si="444"/>
        <v>54</v>
      </c>
      <c r="AX923">
        <f t="shared" si="445"/>
        <v>107</v>
      </c>
      <c r="AY923">
        <f t="shared" si="446"/>
        <v>98</v>
      </c>
      <c r="AZ923">
        <f t="shared" si="447"/>
        <v>66</v>
      </c>
      <c r="BA923">
        <f t="shared" si="448"/>
        <v>59</v>
      </c>
      <c r="BB923">
        <f t="shared" si="449"/>
        <v>45</v>
      </c>
    </row>
    <row r="924" spans="1:54" x14ac:dyDescent="0.15">
      <c r="B924" t="s">
        <v>3213</v>
      </c>
      <c r="C924">
        <v>710</v>
      </c>
      <c r="D924">
        <v>3</v>
      </c>
      <c r="E924" t="s">
        <v>3203</v>
      </c>
      <c r="F924" t="s">
        <v>3214</v>
      </c>
      <c r="G924" t="s">
        <v>3215</v>
      </c>
      <c r="K924">
        <v>0</v>
      </c>
      <c r="L924">
        <v>0</v>
      </c>
      <c r="O924" t="s">
        <v>568</v>
      </c>
      <c r="R924">
        <v>8</v>
      </c>
      <c r="S924">
        <v>59</v>
      </c>
      <c r="T924">
        <v>66</v>
      </c>
      <c r="U924">
        <v>70</v>
      </c>
      <c r="V924">
        <v>44</v>
      </c>
      <c r="W924">
        <v>55</v>
      </c>
      <c r="X924">
        <v>41</v>
      </c>
      <c r="Y924">
        <f t="shared" si="420"/>
        <v>166</v>
      </c>
      <c r="Z924">
        <f t="shared" si="421"/>
        <v>166</v>
      </c>
      <c r="AA924">
        <f t="shared" si="422"/>
        <v>134</v>
      </c>
      <c r="AB924">
        <f t="shared" si="423"/>
        <v>134</v>
      </c>
      <c r="AC924">
        <f t="shared" si="424"/>
        <v>119</v>
      </c>
      <c r="AD924">
        <f t="shared" si="425"/>
        <v>129</v>
      </c>
      <c r="AE924">
        <f t="shared" si="426"/>
        <v>118</v>
      </c>
      <c r="AF924">
        <f t="shared" si="427"/>
        <v>86</v>
      </c>
      <c r="AG924">
        <f t="shared" si="428"/>
        <v>77</v>
      </c>
      <c r="AH924">
        <f t="shared" si="429"/>
        <v>63</v>
      </c>
      <c r="AI924">
        <f t="shared" si="430"/>
        <v>134</v>
      </c>
      <c r="AJ924">
        <f t="shared" si="431"/>
        <v>122</v>
      </c>
      <c r="AK924">
        <f t="shared" si="432"/>
        <v>90</v>
      </c>
      <c r="AL924">
        <f t="shared" si="433"/>
        <v>81</v>
      </c>
      <c r="AM924">
        <f t="shared" si="434"/>
        <v>67</v>
      </c>
      <c r="AN924">
        <f t="shared" si="435"/>
        <v>105</v>
      </c>
      <c r="AO924">
        <f t="shared" si="436"/>
        <v>96</v>
      </c>
      <c r="AP924">
        <f t="shared" si="437"/>
        <v>64</v>
      </c>
      <c r="AQ924">
        <f t="shared" si="438"/>
        <v>57</v>
      </c>
      <c r="AR924">
        <f t="shared" si="439"/>
        <v>44</v>
      </c>
      <c r="AS924">
        <f t="shared" si="440"/>
        <v>117</v>
      </c>
      <c r="AT924">
        <f t="shared" si="441"/>
        <v>107</v>
      </c>
      <c r="AU924">
        <f t="shared" si="442"/>
        <v>75</v>
      </c>
      <c r="AV924">
        <f t="shared" si="443"/>
        <v>67</v>
      </c>
      <c r="AW924">
        <f t="shared" si="444"/>
        <v>54</v>
      </c>
      <c r="AX924">
        <f t="shared" si="445"/>
        <v>102</v>
      </c>
      <c r="AY924">
        <f t="shared" si="446"/>
        <v>93</v>
      </c>
      <c r="AZ924">
        <f t="shared" si="447"/>
        <v>61</v>
      </c>
      <c r="BA924">
        <f t="shared" si="448"/>
        <v>54</v>
      </c>
      <c r="BB924">
        <f t="shared" si="449"/>
        <v>41</v>
      </c>
    </row>
    <row r="925" spans="1:54" x14ac:dyDescent="0.15">
      <c r="B925" t="s">
        <v>3216</v>
      </c>
      <c r="C925">
        <v>711</v>
      </c>
      <c r="D925">
        <v>0</v>
      </c>
      <c r="E925" t="s">
        <v>3217</v>
      </c>
      <c r="F925" t="s">
        <v>3204</v>
      </c>
      <c r="G925" t="s">
        <v>3218</v>
      </c>
      <c r="J925" t="s">
        <v>3206</v>
      </c>
      <c r="K925">
        <v>12.5</v>
      </c>
      <c r="L925">
        <v>0.9</v>
      </c>
      <c r="M925" t="s">
        <v>546</v>
      </c>
      <c r="N925" t="s">
        <v>26</v>
      </c>
      <c r="O925" t="s">
        <v>321</v>
      </c>
      <c r="P925" t="s">
        <v>264</v>
      </c>
      <c r="Q925" t="s">
        <v>568</v>
      </c>
      <c r="R925">
        <v>8</v>
      </c>
      <c r="S925">
        <v>65</v>
      </c>
      <c r="T925">
        <v>90</v>
      </c>
      <c r="U925">
        <v>122</v>
      </c>
      <c r="V925">
        <v>58</v>
      </c>
      <c r="W925">
        <v>75</v>
      </c>
      <c r="X925">
        <v>84</v>
      </c>
      <c r="Y925">
        <f t="shared" si="420"/>
        <v>172</v>
      </c>
      <c r="Z925">
        <f t="shared" si="421"/>
        <v>172</v>
      </c>
      <c r="AA925">
        <f t="shared" si="422"/>
        <v>140</v>
      </c>
      <c r="AB925">
        <f t="shared" si="423"/>
        <v>140</v>
      </c>
      <c r="AC925">
        <f t="shared" si="424"/>
        <v>125</v>
      </c>
      <c r="AD925">
        <f t="shared" si="425"/>
        <v>156</v>
      </c>
      <c r="AE925">
        <f t="shared" si="426"/>
        <v>142</v>
      </c>
      <c r="AF925">
        <f t="shared" si="427"/>
        <v>110</v>
      </c>
      <c r="AG925">
        <f t="shared" si="428"/>
        <v>99</v>
      </c>
      <c r="AH925">
        <f t="shared" si="429"/>
        <v>85</v>
      </c>
      <c r="AI925">
        <f t="shared" si="430"/>
        <v>191</v>
      </c>
      <c r="AJ925">
        <f t="shared" si="431"/>
        <v>174</v>
      </c>
      <c r="AK925">
        <f t="shared" si="432"/>
        <v>142</v>
      </c>
      <c r="AL925">
        <f t="shared" si="433"/>
        <v>127</v>
      </c>
      <c r="AM925">
        <f t="shared" si="434"/>
        <v>114</v>
      </c>
      <c r="AN925">
        <f t="shared" si="435"/>
        <v>121</v>
      </c>
      <c r="AO925">
        <f t="shared" si="436"/>
        <v>110</v>
      </c>
      <c r="AP925">
        <f t="shared" si="437"/>
        <v>78</v>
      </c>
      <c r="AQ925">
        <f t="shared" si="438"/>
        <v>70</v>
      </c>
      <c r="AR925">
        <f t="shared" si="439"/>
        <v>56</v>
      </c>
      <c r="AS925">
        <f t="shared" si="440"/>
        <v>139</v>
      </c>
      <c r="AT925">
        <f t="shared" si="441"/>
        <v>127</v>
      </c>
      <c r="AU925">
        <f t="shared" si="442"/>
        <v>95</v>
      </c>
      <c r="AV925">
        <f t="shared" si="443"/>
        <v>85</v>
      </c>
      <c r="AW925">
        <f t="shared" si="444"/>
        <v>72</v>
      </c>
      <c r="AX925">
        <f t="shared" si="445"/>
        <v>149</v>
      </c>
      <c r="AY925">
        <f t="shared" si="446"/>
        <v>136</v>
      </c>
      <c r="AZ925">
        <f t="shared" si="447"/>
        <v>104</v>
      </c>
      <c r="BA925">
        <f t="shared" si="448"/>
        <v>93</v>
      </c>
      <c r="BB925">
        <f t="shared" si="449"/>
        <v>80</v>
      </c>
    </row>
    <row r="926" spans="1:54" x14ac:dyDescent="0.15">
      <c r="B926" t="s">
        <v>3219</v>
      </c>
      <c r="C926">
        <v>711</v>
      </c>
      <c r="D926">
        <v>1</v>
      </c>
      <c r="E926" t="s">
        <v>3217</v>
      </c>
      <c r="F926" t="s">
        <v>3208</v>
      </c>
      <c r="G926" t="s">
        <v>3220</v>
      </c>
      <c r="K926">
        <v>0</v>
      </c>
      <c r="L926">
        <v>0</v>
      </c>
      <c r="O926" t="s">
        <v>568</v>
      </c>
      <c r="R926">
        <v>8</v>
      </c>
      <c r="S926">
        <v>55</v>
      </c>
      <c r="T926">
        <v>85</v>
      </c>
      <c r="U926">
        <v>122</v>
      </c>
      <c r="V926">
        <v>58</v>
      </c>
      <c r="W926">
        <v>75</v>
      </c>
      <c r="X926">
        <v>99</v>
      </c>
      <c r="Y926">
        <f t="shared" si="420"/>
        <v>162</v>
      </c>
      <c r="Z926">
        <f t="shared" si="421"/>
        <v>162</v>
      </c>
      <c r="AA926">
        <f t="shared" si="422"/>
        <v>130</v>
      </c>
      <c r="AB926">
        <f t="shared" si="423"/>
        <v>130</v>
      </c>
      <c r="AC926">
        <f t="shared" si="424"/>
        <v>115</v>
      </c>
      <c r="AD926">
        <f t="shared" si="425"/>
        <v>150</v>
      </c>
      <c r="AE926">
        <f t="shared" si="426"/>
        <v>137</v>
      </c>
      <c r="AF926">
        <f t="shared" si="427"/>
        <v>105</v>
      </c>
      <c r="AG926">
        <f t="shared" si="428"/>
        <v>94</v>
      </c>
      <c r="AH926">
        <f t="shared" si="429"/>
        <v>81</v>
      </c>
      <c r="AI926">
        <f t="shared" si="430"/>
        <v>191</v>
      </c>
      <c r="AJ926">
        <f t="shared" si="431"/>
        <v>174</v>
      </c>
      <c r="AK926">
        <f t="shared" si="432"/>
        <v>142</v>
      </c>
      <c r="AL926">
        <f t="shared" si="433"/>
        <v>127</v>
      </c>
      <c r="AM926">
        <f t="shared" si="434"/>
        <v>114</v>
      </c>
      <c r="AN926">
        <f t="shared" si="435"/>
        <v>121</v>
      </c>
      <c r="AO926">
        <f t="shared" si="436"/>
        <v>110</v>
      </c>
      <c r="AP926">
        <f t="shared" si="437"/>
        <v>78</v>
      </c>
      <c r="AQ926">
        <f t="shared" si="438"/>
        <v>70</v>
      </c>
      <c r="AR926">
        <f t="shared" si="439"/>
        <v>56</v>
      </c>
      <c r="AS926">
        <f t="shared" si="440"/>
        <v>139</v>
      </c>
      <c r="AT926">
        <f t="shared" si="441"/>
        <v>127</v>
      </c>
      <c r="AU926">
        <f t="shared" si="442"/>
        <v>95</v>
      </c>
      <c r="AV926">
        <f t="shared" si="443"/>
        <v>85</v>
      </c>
      <c r="AW926">
        <f t="shared" si="444"/>
        <v>72</v>
      </c>
      <c r="AX926">
        <f t="shared" si="445"/>
        <v>166</v>
      </c>
      <c r="AY926">
        <f t="shared" si="446"/>
        <v>151</v>
      </c>
      <c r="AZ926">
        <f t="shared" si="447"/>
        <v>119</v>
      </c>
      <c r="BA926">
        <f t="shared" si="448"/>
        <v>107</v>
      </c>
      <c r="BB926">
        <f t="shared" si="449"/>
        <v>93</v>
      </c>
    </row>
    <row r="927" spans="1:54" x14ac:dyDescent="0.15">
      <c r="B927" t="s">
        <v>3221</v>
      </c>
      <c r="C927">
        <v>711</v>
      </c>
      <c r="D927">
        <v>2</v>
      </c>
      <c r="E927" t="s">
        <v>3217</v>
      </c>
      <c r="F927" t="s">
        <v>3211</v>
      </c>
      <c r="G927" t="s">
        <v>3222</v>
      </c>
      <c r="K927">
        <v>0</v>
      </c>
      <c r="L927">
        <v>0</v>
      </c>
      <c r="O927" t="s">
        <v>568</v>
      </c>
      <c r="R927">
        <v>8</v>
      </c>
      <c r="S927">
        <v>75</v>
      </c>
      <c r="T927">
        <v>95</v>
      </c>
      <c r="U927">
        <v>122</v>
      </c>
      <c r="V927">
        <v>58</v>
      </c>
      <c r="W927">
        <v>75</v>
      </c>
      <c r="X927">
        <v>69</v>
      </c>
      <c r="Y927">
        <f t="shared" si="420"/>
        <v>182</v>
      </c>
      <c r="Z927">
        <f t="shared" si="421"/>
        <v>182</v>
      </c>
      <c r="AA927">
        <f t="shared" si="422"/>
        <v>150</v>
      </c>
      <c r="AB927">
        <f t="shared" si="423"/>
        <v>150</v>
      </c>
      <c r="AC927">
        <f t="shared" si="424"/>
        <v>135</v>
      </c>
      <c r="AD927">
        <f t="shared" si="425"/>
        <v>161</v>
      </c>
      <c r="AE927">
        <f t="shared" si="426"/>
        <v>147</v>
      </c>
      <c r="AF927">
        <f t="shared" si="427"/>
        <v>115</v>
      </c>
      <c r="AG927">
        <f t="shared" si="428"/>
        <v>103</v>
      </c>
      <c r="AH927">
        <f t="shared" si="429"/>
        <v>90</v>
      </c>
      <c r="AI927">
        <f t="shared" si="430"/>
        <v>191</v>
      </c>
      <c r="AJ927">
        <f t="shared" si="431"/>
        <v>174</v>
      </c>
      <c r="AK927">
        <f t="shared" si="432"/>
        <v>142</v>
      </c>
      <c r="AL927">
        <f t="shared" si="433"/>
        <v>127</v>
      </c>
      <c r="AM927">
        <f t="shared" si="434"/>
        <v>114</v>
      </c>
      <c r="AN927">
        <f t="shared" si="435"/>
        <v>121</v>
      </c>
      <c r="AO927">
        <f t="shared" si="436"/>
        <v>110</v>
      </c>
      <c r="AP927">
        <f t="shared" si="437"/>
        <v>78</v>
      </c>
      <c r="AQ927">
        <f t="shared" si="438"/>
        <v>70</v>
      </c>
      <c r="AR927">
        <f t="shared" si="439"/>
        <v>56</v>
      </c>
      <c r="AS927">
        <f t="shared" si="440"/>
        <v>139</v>
      </c>
      <c r="AT927">
        <f t="shared" si="441"/>
        <v>127</v>
      </c>
      <c r="AU927">
        <f t="shared" si="442"/>
        <v>95</v>
      </c>
      <c r="AV927">
        <f t="shared" si="443"/>
        <v>85</v>
      </c>
      <c r="AW927">
        <f t="shared" si="444"/>
        <v>72</v>
      </c>
      <c r="AX927">
        <f t="shared" si="445"/>
        <v>133</v>
      </c>
      <c r="AY927">
        <f t="shared" si="446"/>
        <v>121</v>
      </c>
      <c r="AZ927">
        <f t="shared" si="447"/>
        <v>89</v>
      </c>
      <c r="BA927">
        <f t="shared" si="448"/>
        <v>80</v>
      </c>
      <c r="BB927">
        <f t="shared" si="449"/>
        <v>66</v>
      </c>
    </row>
    <row r="928" spans="1:54" x14ac:dyDescent="0.15">
      <c r="B928" t="s">
        <v>3223</v>
      </c>
      <c r="C928">
        <v>711</v>
      </c>
      <c r="D928">
        <v>3</v>
      </c>
      <c r="E928" t="s">
        <v>3217</v>
      </c>
      <c r="F928" t="s">
        <v>3214</v>
      </c>
      <c r="G928" t="s">
        <v>3224</v>
      </c>
      <c r="K928">
        <v>0</v>
      </c>
      <c r="L928">
        <v>0</v>
      </c>
      <c r="O928" t="s">
        <v>568</v>
      </c>
      <c r="R928">
        <v>8</v>
      </c>
      <c r="S928">
        <v>85</v>
      </c>
      <c r="T928">
        <v>100</v>
      </c>
      <c r="U928">
        <v>122</v>
      </c>
      <c r="V928">
        <v>58</v>
      </c>
      <c r="W928">
        <v>75</v>
      </c>
      <c r="X928">
        <v>54</v>
      </c>
      <c r="Y928">
        <f t="shared" si="420"/>
        <v>192</v>
      </c>
      <c r="Z928">
        <f t="shared" si="421"/>
        <v>192</v>
      </c>
      <c r="AA928">
        <f t="shared" si="422"/>
        <v>160</v>
      </c>
      <c r="AB928">
        <f t="shared" si="423"/>
        <v>160</v>
      </c>
      <c r="AC928">
        <f t="shared" si="424"/>
        <v>145</v>
      </c>
      <c r="AD928">
        <f t="shared" si="425"/>
        <v>167</v>
      </c>
      <c r="AE928">
        <f t="shared" si="426"/>
        <v>152</v>
      </c>
      <c r="AF928">
        <f t="shared" si="427"/>
        <v>120</v>
      </c>
      <c r="AG928">
        <f t="shared" si="428"/>
        <v>108</v>
      </c>
      <c r="AH928">
        <f t="shared" si="429"/>
        <v>94</v>
      </c>
      <c r="AI928">
        <f t="shared" si="430"/>
        <v>191</v>
      </c>
      <c r="AJ928">
        <f t="shared" si="431"/>
        <v>174</v>
      </c>
      <c r="AK928">
        <f t="shared" si="432"/>
        <v>142</v>
      </c>
      <c r="AL928">
        <f t="shared" si="433"/>
        <v>127</v>
      </c>
      <c r="AM928">
        <f t="shared" si="434"/>
        <v>114</v>
      </c>
      <c r="AN928">
        <f t="shared" si="435"/>
        <v>121</v>
      </c>
      <c r="AO928">
        <f t="shared" si="436"/>
        <v>110</v>
      </c>
      <c r="AP928">
        <f t="shared" si="437"/>
        <v>78</v>
      </c>
      <c r="AQ928">
        <f t="shared" si="438"/>
        <v>70</v>
      </c>
      <c r="AR928">
        <f t="shared" si="439"/>
        <v>56</v>
      </c>
      <c r="AS928">
        <f t="shared" si="440"/>
        <v>139</v>
      </c>
      <c r="AT928">
        <f t="shared" si="441"/>
        <v>127</v>
      </c>
      <c r="AU928">
        <f t="shared" si="442"/>
        <v>95</v>
      </c>
      <c r="AV928">
        <f t="shared" si="443"/>
        <v>85</v>
      </c>
      <c r="AW928">
        <f t="shared" si="444"/>
        <v>72</v>
      </c>
      <c r="AX928">
        <f t="shared" si="445"/>
        <v>116</v>
      </c>
      <c r="AY928">
        <f t="shared" si="446"/>
        <v>106</v>
      </c>
      <c r="AZ928">
        <f t="shared" si="447"/>
        <v>74</v>
      </c>
      <c r="BA928">
        <f t="shared" si="448"/>
        <v>66</v>
      </c>
      <c r="BB928">
        <f t="shared" si="449"/>
        <v>53</v>
      </c>
    </row>
    <row r="929" spans="1:54" x14ac:dyDescent="0.15">
      <c r="A929">
        <v>607</v>
      </c>
      <c r="B929" t="s">
        <v>3225</v>
      </c>
      <c r="C929">
        <v>712</v>
      </c>
      <c r="D929">
        <v>0</v>
      </c>
      <c r="E929" t="s">
        <v>3226</v>
      </c>
      <c r="G929" t="s">
        <v>3226</v>
      </c>
      <c r="H929" t="s">
        <v>3227</v>
      </c>
      <c r="J929" t="s">
        <v>3228</v>
      </c>
      <c r="K929">
        <v>99.5</v>
      </c>
      <c r="L929">
        <v>1</v>
      </c>
      <c r="M929" t="s">
        <v>202</v>
      </c>
      <c r="O929" t="s">
        <v>470</v>
      </c>
      <c r="P929" t="s">
        <v>514</v>
      </c>
      <c r="Q929" t="s">
        <v>435</v>
      </c>
      <c r="R929">
        <v>9</v>
      </c>
      <c r="S929">
        <v>55</v>
      </c>
      <c r="T929">
        <v>69</v>
      </c>
      <c r="U929">
        <v>85</v>
      </c>
      <c r="V929">
        <v>32</v>
      </c>
      <c r="W929">
        <v>35</v>
      </c>
      <c r="X929">
        <v>28</v>
      </c>
      <c r="Y929">
        <f t="shared" si="420"/>
        <v>162</v>
      </c>
      <c r="Z929">
        <f t="shared" si="421"/>
        <v>162</v>
      </c>
      <c r="AA929">
        <f t="shared" si="422"/>
        <v>130</v>
      </c>
      <c r="AB929">
        <f t="shared" si="423"/>
        <v>130</v>
      </c>
      <c r="AC929">
        <f t="shared" si="424"/>
        <v>115</v>
      </c>
      <c r="AD929">
        <f t="shared" si="425"/>
        <v>133</v>
      </c>
      <c r="AE929">
        <f t="shared" si="426"/>
        <v>121</v>
      </c>
      <c r="AF929">
        <f t="shared" si="427"/>
        <v>89</v>
      </c>
      <c r="AG929">
        <f t="shared" si="428"/>
        <v>80</v>
      </c>
      <c r="AH929">
        <f t="shared" si="429"/>
        <v>66</v>
      </c>
      <c r="AI929">
        <f t="shared" si="430"/>
        <v>150</v>
      </c>
      <c r="AJ929">
        <f t="shared" si="431"/>
        <v>137</v>
      </c>
      <c r="AK929">
        <f t="shared" si="432"/>
        <v>105</v>
      </c>
      <c r="AL929">
        <f t="shared" si="433"/>
        <v>94</v>
      </c>
      <c r="AM929">
        <f t="shared" si="434"/>
        <v>81</v>
      </c>
      <c r="AN929">
        <f t="shared" si="435"/>
        <v>92</v>
      </c>
      <c r="AO929">
        <f t="shared" si="436"/>
        <v>84</v>
      </c>
      <c r="AP929">
        <f t="shared" si="437"/>
        <v>52</v>
      </c>
      <c r="AQ929">
        <f t="shared" si="438"/>
        <v>46</v>
      </c>
      <c r="AR929">
        <f t="shared" si="439"/>
        <v>33</v>
      </c>
      <c r="AS929">
        <f t="shared" si="440"/>
        <v>95</v>
      </c>
      <c r="AT929">
        <f t="shared" si="441"/>
        <v>87</v>
      </c>
      <c r="AU929">
        <f t="shared" si="442"/>
        <v>55</v>
      </c>
      <c r="AV929">
        <f t="shared" si="443"/>
        <v>49</v>
      </c>
      <c r="AW929">
        <f t="shared" si="444"/>
        <v>36</v>
      </c>
      <c r="AX929">
        <f t="shared" si="445"/>
        <v>88</v>
      </c>
      <c r="AY929">
        <f t="shared" si="446"/>
        <v>80</v>
      </c>
      <c r="AZ929">
        <f t="shared" si="447"/>
        <v>48</v>
      </c>
      <c r="BA929">
        <f t="shared" si="448"/>
        <v>43</v>
      </c>
      <c r="BB929">
        <f t="shared" si="449"/>
        <v>29</v>
      </c>
    </row>
    <row r="930" spans="1:54" x14ac:dyDescent="0.15">
      <c r="A930">
        <v>608</v>
      </c>
      <c r="B930" t="s">
        <v>3229</v>
      </c>
      <c r="C930">
        <v>713</v>
      </c>
      <c r="D930">
        <v>0</v>
      </c>
      <c r="E930" t="s">
        <v>3230</v>
      </c>
      <c r="G930" t="s">
        <v>3230</v>
      </c>
      <c r="H930" t="s">
        <v>3231</v>
      </c>
      <c r="J930" t="s">
        <v>1744</v>
      </c>
      <c r="K930">
        <v>505</v>
      </c>
      <c r="L930">
        <v>2</v>
      </c>
      <c r="M930" t="s">
        <v>202</v>
      </c>
      <c r="O930" t="s">
        <v>470</v>
      </c>
      <c r="P930" t="s">
        <v>514</v>
      </c>
      <c r="Q930" t="s">
        <v>435</v>
      </c>
      <c r="R930">
        <v>9</v>
      </c>
      <c r="S930">
        <v>95</v>
      </c>
      <c r="T930">
        <v>117</v>
      </c>
      <c r="U930">
        <v>184</v>
      </c>
      <c r="V930">
        <v>44</v>
      </c>
      <c r="W930">
        <v>46</v>
      </c>
      <c r="X930">
        <v>28</v>
      </c>
      <c r="Y930">
        <f t="shared" si="420"/>
        <v>202</v>
      </c>
      <c r="Z930">
        <f t="shared" si="421"/>
        <v>202</v>
      </c>
      <c r="AA930">
        <f t="shared" si="422"/>
        <v>170</v>
      </c>
      <c r="AB930">
        <f t="shared" si="423"/>
        <v>170</v>
      </c>
      <c r="AC930">
        <f t="shared" si="424"/>
        <v>155</v>
      </c>
      <c r="AD930">
        <f t="shared" si="425"/>
        <v>185</v>
      </c>
      <c r="AE930">
        <f t="shared" si="426"/>
        <v>169</v>
      </c>
      <c r="AF930">
        <f t="shared" si="427"/>
        <v>137</v>
      </c>
      <c r="AG930">
        <f t="shared" si="428"/>
        <v>123</v>
      </c>
      <c r="AH930">
        <f t="shared" si="429"/>
        <v>109</v>
      </c>
      <c r="AI930">
        <f t="shared" si="430"/>
        <v>259</v>
      </c>
      <c r="AJ930">
        <f t="shared" si="431"/>
        <v>236</v>
      </c>
      <c r="AK930">
        <f t="shared" si="432"/>
        <v>204</v>
      </c>
      <c r="AL930">
        <f t="shared" si="433"/>
        <v>183</v>
      </c>
      <c r="AM930">
        <f t="shared" si="434"/>
        <v>170</v>
      </c>
      <c r="AN930">
        <f t="shared" si="435"/>
        <v>105</v>
      </c>
      <c r="AO930">
        <f t="shared" si="436"/>
        <v>96</v>
      </c>
      <c r="AP930">
        <f t="shared" si="437"/>
        <v>64</v>
      </c>
      <c r="AQ930">
        <f t="shared" si="438"/>
        <v>57</v>
      </c>
      <c r="AR930">
        <f t="shared" si="439"/>
        <v>44</v>
      </c>
      <c r="AS930">
        <f t="shared" si="440"/>
        <v>107</v>
      </c>
      <c r="AT930">
        <f t="shared" si="441"/>
        <v>98</v>
      </c>
      <c r="AU930">
        <f t="shared" si="442"/>
        <v>66</v>
      </c>
      <c r="AV930">
        <f t="shared" si="443"/>
        <v>59</v>
      </c>
      <c r="AW930">
        <f t="shared" si="444"/>
        <v>45</v>
      </c>
      <c r="AX930">
        <f t="shared" si="445"/>
        <v>88</v>
      </c>
      <c r="AY930">
        <f t="shared" si="446"/>
        <v>80</v>
      </c>
      <c r="AZ930">
        <f t="shared" si="447"/>
        <v>48</v>
      </c>
      <c r="BA930">
        <f t="shared" si="448"/>
        <v>43</v>
      </c>
      <c r="BB930">
        <f t="shared" si="449"/>
        <v>29</v>
      </c>
    </row>
    <row r="931" spans="1:54" x14ac:dyDescent="0.15">
      <c r="A931">
        <v>609</v>
      </c>
      <c r="B931" t="s">
        <v>3232</v>
      </c>
      <c r="C931">
        <v>713</v>
      </c>
      <c r="D931">
        <v>1</v>
      </c>
      <c r="E931" t="s">
        <v>3230</v>
      </c>
      <c r="F931" t="s">
        <v>367</v>
      </c>
      <c r="G931" t="s">
        <v>3233</v>
      </c>
      <c r="H931" t="s">
        <v>3234</v>
      </c>
      <c r="J931" t="s">
        <v>1744</v>
      </c>
      <c r="K931">
        <v>262.39999999999998</v>
      </c>
      <c r="L931">
        <v>1.4</v>
      </c>
      <c r="M931" t="s">
        <v>202</v>
      </c>
      <c r="N931" t="s">
        <v>371</v>
      </c>
      <c r="O931" t="s">
        <v>1513</v>
      </c>
      <c r="P931" t="s">
        <v>514</v>
      </c>
      <c r="Q931" t="s">
        <v>435</v>
      </c>
      <c r="R931">
        <v>9</v>
      </c>
      <c r="S931">
        <v>95</v>
      </c>
      <c r="T931">
        <v>127</v>
      </c>
      <c r="U931">
        <v>184</v>
      </c>
      <c r="V931">
        <v>34</v>
      </c>
      <c r="W931">
        <v>36</v>
      </c>
      <c r="X931">
        <v>38</v>
      </c>
      <c r="Y931">
        <f t="shared" si="420"/>
        <v>202</v>
      </c>
      <c r="Z931">
        <f t="shared" si="421"/>
        <v>202</v>
      </c>
      <c r="AA931">
        <f t="shared" si="422"/>
        <v>170</v>
      </c>
      <c r="AB931">
        <f t="shared" si="423"/>
        <v>170</v>
      </c>
      <c r="AC931">
        <f t="shared" si="424"/>
        <v>155</v>
      </c>
      <c r="AD931">
        <f t="shared" si="425"/>
        <v>196</v>
      </c>
      <c r="AE931">
        <f t="shared" si="426"/>
        <v>179</v>
      </c>
      <c r="AF931">
        <f t="shared" si="427"/>
        <v>147</v>
      </c>
      <c r="AG931">
        <f t="shared" si="428"/>
        <v>132</v>
      </c>
      <c r="AH931">
        <f t="shared" si="429"/>
        <v>118</v>
      </c>
      <c r="AI931">
        <f t="shared" si="430"/>
        <v>259</v>
      </c>
      <c r="AJ931">
        <f t="shared" si="431"/>
        <v>236</v>
      </c>
      <c r="AK931">
        <f t="shared" si="432"/>
        <v>204</v>
      </c>
      <c r="AL931">
        <f t="shared" si="433"/>
        <v>183</v>
      </c>
      <c r="AM931">
        <f t="shared" si="434"/>
        <v>170</v>
      </c>
      <c r="AN931">
        <f t="shared" si="435"/>
        <v>94</v>
      </c>
      <c r="AO931">
        <f t="shared" si="436"/>
        <v>86</v>
      </c>
      <c r="AP931">
        <f t="shared" si="437"/>
        <v>54</v>
      </c>
      <c r="AQ931">
        <f t="shared" si="438"/>
        <v>48</v>
      </c>
      <c r="AR931">
        <f t="shared" si="439"/>
        <v>35</v>
      </c>
      <c r="AS931">
        <f t="shared" si="440"/>
        <v>96</v>
      </c>
      <c r="AT931">
        <f t="shared" si="441"/>
        <v>88</v>
      </c>
      <c r="AU931">
        <f t="shared" si="442"/>
        <v>56</v>
      </c>
      <c r="AV931">
        <f t="shared" si="443"/>
        <v>50</v>
      </c>
      <c r="AW931">
        <f t="shared" si="444"/>
        <v>36</v>
      </c>
      <c r="AX931">
        <f t="shared" si="445"/>
        <v>99</v>
      </c>
      <c r="AY931">
        <f t="shared" si="446"/>
        <v>90</v>
      </c>
      <c r="AZ931">
        <f t="shared" si="447"/>
        <v>58</v>
      </c>
      <c r="BA931">
        <f t="shared" si="448"/>
        <v>52</v>
      </c>
      <c r="BB931">
        <f t="shared" si="449"/>
        <v>38</v>
      </c>
    </row>
    <row r="932" spans="1:54" x14ac:dyDescent="0.15">
      <c r="A932">
        <v>589</v>
      </c>
      <c r="B932" t="s">
        <v>3235</v>
      </c>
      <c r="C932">
        <v>714</v>
      </c>
      <c r="D932">
        <v>0</v>
      </c>
      <c r="E932" t="s">
        <v>3236</v>
      </c>
      <c r="G932" t="s">
        <v>3236</v>
      </c>
      <c r="H932" t="s">
        <v>3237</v>
      </c>
      <c r="J932" t="s">
        <v>3238</v>
      </c>
      <c r="K932">
        <v>8</v>
      </c>
      <c r="L932">
        <v>0.5</v>
      </c>
      <c r="M932" t="s">
        <v>57</v>
      </c>
      <c r="N932" t="s">
        <v>60</v>
      </c>
      <c r="O932" t="s">
        <v>264</v>
      </c>
      <c r="P932" t="s">
        <v>269</v>
      </c>
      <c r="Q932" t="s">
        <v>1048</v>
      </c>
      <c r="R932">
        <v>9</v>
      </c>
      <c r="S932">
        <v>40</v>
      </c>
      <c r="T932">
        <v>30</v>
      </c>
      <c r="U932">
        <v>35</v>
      </c>
      <c r="V932">
        <v>45</v>
      </c>
      <c r="W932">
        <v>40</v>
      </c>
      <c r="X932">
        <v>55</v>
      </c>
      <c r="Y932">
        <f t="shared" si="420"/>
        <v>147</v>
      </c>
      <c r="Z932">
        <f t="shared" si="421"/>
        <v>147</v>
      </c>
      <c r="AA932">
        <f t="shared" si="422"/>
        <v>115</v>
      </c>
      <c r="AB932">
        <f t="shared" si="423"/>
        <v>115</v>
      </c>
      <c r="AC932">
        <f t="shared" si="424"/>
        <v>100</v>
      </c>
      <c r="AD932">
        <f t="shared" si="425"/>
        <v>90</v>
      </c>
      <c r="AE932">
        <f t="shared" si="426"/>
        <v>82</v>
      </c>
      <c r="AF932">
        <f t="shared" si="427"/>
        <v>50</v>
      </c>
      <c r="AG932">
        <f t="shared" si="428"/>
        <v>45</v>
      </c>
      <c r="AH932">
        <f t="shared" si="429"/>
        <v>31</v>
      </c>
      <c r="AI932">
        <f t="shared" si="430"/>
        <v>95</v>
      </c>
      <c r="AJ932">
        <f t="shared" si="431"/>
        <v>87</v>
      </c>
      <c r="AK932">
        <f t="shared" si="432"/>
        <v>55</v>
      </c>
      <c r="AL932">
        <f t="shared" si="433"/>
        <v>49</v>
      </c>
      <c r="AM932">
        <f t="shared" si="434"/>
        <v>36</v>
      </c>
      <c r="AN932">
        <f t="shared" si="435"/>
        <v>106</v>
      </c>
      <c r="AO932">
        <f t="shared" si="436"/>
        <v>97</v>
      </c>
      <c r="AP932">
        <f t="shared" si="437"/>
        <v>65</v>
      </c>
      <c r="AQ932">
        <f t="shared" si="438"/>
        <v>58</v>
      </c>
      <c r="AR932">
        <f t="shared" si="439"/>
        <v>45</v>
      </c>
      <c r="AS932">
        <f t="shared" si="440"/>
        <v>101</v>
      </c>
      <c r="AT932">
        <f t="shared" si="441"/>
        <v>92</v>
      </c>
      <c r="AU932">
        <f t="shared" si="442"/>
        <v>60</v>
      </c>
      <c r="AV932">
        <f t="shared" si="443"/>
        <v>54</v>
      </c>
      <c r="AW932">
        <f t="shared" si="444"/>
        <v>40</v>
      </c>
      <c r="AX932">
        <f t="shared" si="445"/>
        <v>117</v>
      </c>
      <c r="AY932">
        <f t="shared" si="446"/>
        <v>107</v>
      </c>
      <c r="AZ932">
        <f t="shared" si="447"/>
        <v>75</v>
      </c>
      <c r="BA932">
        <f t="shared" si="448"/>
        <v>67</v>
      </c>
      <c r="BB932">
        <f t="shared" si="449"/>
        <v>54</v>
      </c>
    </row>
    <row r="933" spans="1:54" x14ac:dyDescent="0.15">
      <c r="A933">
        <v>617</v>
      </c>
      <c r="B933" t="s">
        <v>3239</v>
      </c>
      <c r="C933">
        <v>715</v>
      </c>
      <c r="D933">
        <v>0</v>
      </c>
      <c r="E933" t="s">
        <v>3240</v>
      </c>
      <c r="G933" t="s">
        <v>3240</v>
      </c>
      <c r="H933" t="s">
        <v>3241</v>
      </c>
      <c r="J933" t="s">
        <v>3238</v>
      </c>
      <c r="K933">
        <v>85</v>
      </c>
      <c r="L933">
        <v>1.5</v>
      </c>
      <c r="M933" t="s">
        <v>57</v>
      </c>
      <c r="N933" t="s">
        <v>60</v>
      </c>
      <c r="O933" t="s">
        <v>264</v>
      </c>
      <c r="P933" t="s">
        <v>269</v>
      </c>
      <c r="Q933" t="s">
        <v>1048</v>
      </c>
      <c r="R933">
        <v>9</v>
      </c>
      <c r="S933">
        <v>85</v>
      </c>
      <c r="T933">
        <v>70</v>
      </c>
      <c r="U933">
        <v>80</v>
      </c>
      <c r="V933">
        <v>97</v>
      </c>
      <c r="W933">
        <v>80</v>
      </c>
      <c r="X933">
        <v>123</v>
      </c>
      <c r="Y933">
        <f t="shared" si="420"/>
        <v>192</v>
      </c>
      <c r="Z933">
        <f t="shared" si="421"/>
        <v>192</v>
      </c>
      <c r="AA933">
        <f t="shared" si="422"/>
        <v>160</v>
      </c>
      <c r="AB933">
        <f t="shared" si="423"/>
        <v>160</v>
      </c>
      <c r="AC933">
        <f t="shared" si="424"/>
        <v>145</v>
      </c>
      <c r="AD933">
        <f t="shared" si="425"/>
        <v>134</v>
      </c>
      <c r="AE933">
        <f t="shared" si="426"/>
        <v>122</v>
      </c>
      <c r="AF933">
        <f t="shared" si="427"/>
        <v>90</v>
      </c>
      <c r="AG933">
        <f t="shared" si="428"/>
        <v>81</v>
      </c>
      <c r="AH933">
        <f t="shared" si="429"/>
        <v>67</v>
      </c>
      <c r="AI933">
        <f t="shared" si="430"/>
        <v>145</v>
      </c>
      <c r="AJ933">
        <f t="shared" si="431"/>
        <v>132</v>
      </c>
      <c r="AK933">
        <f t="shared" si="432"/>
        <v>100</v>
      </c>
      <c r="AL933">
        <f t="shared" si="433"/>
        <v>90</v>
      </c>
      <c r="AM933">
        <f t="shared" si="434"/>
        <v>76</v>
      </c>
      <c r="AN933">
        <f t="shared" si="435"/>
        <v>163</v>
      </c>
      <c r="AO933">
        <f t="shared" si="436"/>
        <v>149</v>
      </c>
      <c r="AP933">
        <f t="shared" si="437"/>
        <v>117</v>
      </c>
      <c r="AQ933">
        <f t="shared" si="438"/>
        <v>105</v>
      </c>
      <c r="AR933">
        <f t="shared" si="439"/>
        <v>91</v>
      </c>
      <c r="AS933">
        <f t="shared" si="440"/>
        <v>145</v>
      </c>
      <c r="AT933">
        <f t="shared" si="441"/>
        <v>132</v>
      </c>
      <c r="AU933">
        <f t="shared" si="442"/>
        <v>100</v>
      </c>
      <c r="AV933">
        <f t="shared" si="443"/>
        <v>90</v>
      </c>
      <c r="AW933">
        <f t="shared" si="444"/>
        <v>76</v>
      </c>
      <c r="AX933">
        <f t="shared" si="445"/>
        <v>192</v>
      </c>
      <c r="AY933">
        <f t="shared" si="446"/>
        <v>175</v>
      </c>
      <c r="AZ933">
        <f t="shared" si="447"/>
        <v>143</v>
      </c>
      <c r="BA933">
        <f t="shared" si="448"/>
        <v>128</v>
      </c>
      <c r="BB933">
        <f t="shared" si="449"/>
        <v>115</v>
      </c>
    </row>
    <row r="934" spans="1:54" x14ac:dyDescent="0.15">
      <c r="B934" t="s">
        <v>3242</v>
      </c>
      <c r="C934">
        <v>716</v>
      </c>
      <c r="D934">
        <v>0</v>
      </c>
      <c r="E934" t="s">
        <v>3243</v>
      </c>
      <c r="F934" t="s">
        <v>3244</v>
      </c>
      <c r="G934" t="s">
        <v>3243</v>
      </c>
      <c r="J934" t="s">
        <v>3245</v>
      </c>
      <c r="K934">
        <v>215</v>
      </c>
      <c r="L934">
        <v>3</v>
      </c>
      <c r="M934" t="s">
        <v>233</v>
      </c>
      <c r="O934" t="s">
        <v>3246</v>
      </c>
      <c r="R934">
        <v>8</v>
      </c>
      <c r="S934">
        <v>126</v>
      </c>
      <c r="T934">
        <v>131</v>
      </c>
      <c r="U934">
        <v>95</v>
      </c>
      <c r="V934">
        <v>131</v>
      </c>
      <c r="W934">
        <v>98</v>
      </c>
      <c r="X934">
        <v>99</v>
      </c>
      <c r="Y934">
        <f t="shared" si="420"/>
        <v>233</v>
      </c>
      <c r="Z934">
        <f t="shared" si="421"/>
        <v>233</v>
      </c>
      <c r="AA934">
        <f t="shared" si="422"/>
        <v>201</v>
      </c>
      <c r="AB934">
        <f t="shared" si="423"/>
        <v>201</v>
      </c>
      <c r="AC934">
        <f t="shared" si="424"/>
        <v>186</v>
      </c>
      <c r="AD934">
        <f t="shared" si="425"/>
        <v>201</v>
      </c>
      <c r="AE934">
        <f t="shared" si="426"/>
        <v>183</v>
      </c>
      <c r="AF934">
        <f t="shared" si="427"/>
        <v>151</v>
      </c>
      <c r="AG934">
        <f t="shared" si="428"/>
        <v>135</v>
      </c>
      <c r="AH934">
        <f t="shared" si="429"/>
        <v>122</v>
      </c>
      <c r="AI934">
        <f t="shared" si="430"/>
        <v>161</v>
      </c>
      <c r="AJ934">
        <f t="shared" si="431"/>
        <v>147</v>
      </c>
      <c r="AK934">
        <f t="shared" si="432"/>
        <v>115</v>
      </c>
      <c r="AL934">
        <f t="shared" si="433"/>
        <v>103</v>
      </c>
      <c r="AM934">
        <f t="shared" si="434"/>
        <v>90</v>
      </c>
      <c r="AN934">
        <f t="shared" si="435"/>
        <v>201</v>
      </c>
      <c r="AO934">
        <f t="shared" si="436"/>
        <v>183</v>
      </c>
      <c r="AP934">
        <f t="shared" si="437"/>
        <v>151</v>
      </c>
      <c r="AQ934">
        <f t="shared" si="438"/>
        <v>135</v>
      </c>
      <c r="AR934">
        <f t="shared" si="439"/>
        <v>122</v>
      </c>
      <c r="AS934">
        <f t="shared" si="440"/>
        <v>165</v>
      </c>
      <c r="AT934">
        <f t="shared" si="441"/>
        <v>150</v>
      </c>
      <c r="AU934">
        <f t="shared" si="442"/>
        <v>118</v>
      </c>
      <c r="AV934">
        <f t="shared" si="443"/>
        <v>106</v>
      </c>
      <c r="AW934">
        <f t="shared" si="444"/>
        <v>92</v>
      </c>
      <c r="AX934">
        <f t="shared" si="445"/>
        <v>166</v>
      </c>
      <c r="AY934">
        <f t="shared" si="446"/>
        <v>151</v>
      </c>
      <c r="AZ934">
        <f t="shared" si="447"/>
        <v>119</v>
      </c>
      <c r="BA934">
        <f t="shared" si="448"/>
        <v>107</v>
      </c>
      <c r="BB934">
        <f t="shared" si="449"/>
        <v>93</v>
      </c>
    </row>
    <row r="935" spans="1:54" x14ac:dyDescent="0.15">
      <c r="B935" t="s">
        <v>3247</v>
      </c>
      <c r="C935">
        <v>717</v>
      </c>
      <c r="D935">
        <v>0</v>
      </c>
      <c r="E935" t="s">
        <v>3248</v>
      </c>
      <c r="G935" t="s">
        <v>3248</v>
      </c>
      <c r="J935" t="s">
        <v>3249</v>
      </c>
      <c r="K935">
        <v>203</v>
      </c>
      <c r="L935">
        <v>5.8</v>
      </c>
      <c r="M935" t="s">
        <v>140</v>
      </c>
      <c r="N935" t="s">
        <v>57</v>
      </c>
      <c r="O935" t="s">
        <v>3250</v>
      </c>
      <c r="R935">
        <v>8</v>
      </c>
      <c r="S935">
        <v>126</v>
      </c>
      <c r="T935">
        <v>131</v>
      </c>
      <c r="U935">
        <v>95</v>
      </c>
      <c r="V935">
        <v>131</v>
      </c>
      <c r="W935">
        <v>98</v>
      </c>
      <c r="X935">
        <v>99</v>
      </c>
      <c r="Y935">
        <f t="shared" si="420"/>
        <v>233</v>
      </c>
      <c r="Z935">
        <f t="shared" si="421"/>
        <v>233</v>
      </c>
      <c r="AA935">
        <f t="shared" si="422"/>
        <v>201</v>
      </c>
      <c r="AB935">
        <f t="shared" si="423"/>
        <v>201</v>
      </c>
      <c r="AC935">
        <f t="shared" si="424"/>
        <v>186</v>
      </c>
      <c r="AD935">
        <f t="shared" si="425"/>
        <v>201</v>
      </c>
      <c r="AE935">
        <f t="shared" si="426"/>
        <v>183</v>
      </c>
      <c r="AF935">
        <f t="shared" si="427"/>
        <v>151</v>
      </c>
      <c r="AG935">
        <f t="shared" si="428"/>
        <v>135</v>
      </c>
      <c r="AH935">
        <f t="shared" si="429"/>
        <v>122</v>
      </c>
      <c r="AI935">
        <f t="shared" si="430"/>
        <v>161</v>
      </c>
      <c r="AJ935">
        <f t="shared" si="431"/>
        <v>147</v>
      </c>
      <c r="AK935">
        <f t="shared" si="432"/>
        <v>115</v>
      </c>
      <c r="AL935">
        <f t="shared" si="433"/>
        <v>103</v>
      </c>
      <c r="AM935">
        <f t="shared" si="434"/>
        <v>90</v>
      </c>
      <c r="AN935">
        <f t="shared" si="435"/>
        <v>201</v>
      </c>
      <c r="AO935">
        <f t="shared" si="436"/>
        <v>183</v>
      </c>
      <c r="AP935">
        <f t="shared" si="437"/>
        <v>151</v>
      </c>
      <c r="AQ935">
        <f t="shared" si="438"/>
        <v>135</v>
      </c>
      <c r="AR935">
        <f t="shared" si="439"/>
        <v>122</v>
      </c>
      <c r="AS935">
        <f t="shared" si="440"/>
        <v>165</v>
      </c>
      <c r="AT935">
        <f t="shared" si="441"/>
        <v>150</v>
      </c>
      <c r="AU935">
        <f t="shared" si="442"/>
        <v>118</v>
      </c>
      <c r="AV935">
        <f t="shared" si="443"/>
        <v>106</v>
      </c>
      <c r="AW935">
        <f t="shared" si="444"/>
        <v>92</v>
      </c>
      <c r="AX935">
        <f t="shared" si="445"/>
        <v>166</v>
      </c>
      <c r="AY935">
        <f t="shared" si="446"/>
        <v>151</v>
      </c>
      <c r="AZ935">
        <f t="shared" si="447"/>
        <v>119</v>
      </c>
      <c r="BA935">
        <f t="shared" si="448"/>
        <v>107</v>
      </c>
      <c r="BB935">
        <f t="shared" si="449"/>
        <v>93</v>
      </c>
    </row>
    <row r="936" spans="1:54" x14ac:dyDescent="0.15">
      <c r="B936" t="s">
        <v>3251</v>
      </c>
      <c r="C936">
        <v>718</v>
      </c>
      <c r="D936">
        <v>0</v>
      </c>
      <c r="E936" t="s">
        <v>3252</v>
      </c>
      <c r="F936" t="s">
        <v>3253</v>
      </c>
      <c r="G936" t="s">
        <v>3254</v>
      </c>
      <c r="J936" t="s">
        <v>3255</v>
      </c>
      <c r="K936">
        <v>305</v>
      </c>
      <c r="L936">
        <v>5</v>
      </c>
      <c r="M936" t="s">
        <v>60</v>
      </c>
      <c r="N936" t="s">
        <v>196</v>
      </c>
      <c r="O936" t="s">
        <v>3256</v>
      </c>
      <c r="P936" t="s">
        <v>3257</v>
      </c>
      <c r="R936">
        <v>8</v>
      </c>
      <c r="S936">
        <v>108</v>
      </c>
      <c r="T936">
        <v>100</v>
      </c>
      <c r="U936">
        <v>121</v>
      </c>
      <c r="V936">
        <v>81</v>
      </c>
      <c r="W936">
        <v>95</v>
      </c>
      <c r="X936">
        <v>95</v>
      </c>
      <c r="Y936">
        <f t="shared" si="420"/>
        <v>215</v>
      </c>
      <c r="Z936">
        <f t="shared" si="421"/>
        <v>215</v>
      </c>
      <c r="AA936">
        <f t="shared" si="422"/>
        <v>183</v>
      </c>
      <c r="AB936">
        <f t="shared" si="423"/>
        <v>183</v>
      </c>
      <c r="AC936">
        <f t="shared" si="424"/>
        <v>168</v>
      </c>
      <c r="AD936">
        <f t="shared" si="425"/>
        <v>167</v>
      </c>
      <c r="AE936">
        <f t="shared" si="426"/>
        <v>152</v>
      </c>
      <c r="AF936">
        <f t="shared" si="427"/>
        <v>120</v>
      </c>
      <c r="AG936">
        <f t="shared" si="428"/>
        <v>108</v>
      </c>
      <c r="AH936">
        <f t="shared" si="429"/>
        <v>94</v>
      </c>
      <c r="AI936">
        <f t="shared" si="430"/>
        <v>190</v>
      </c>
      <c r="AJ936">
        <f t="shared" si="431"/>
        <v>173</v>
      </c>
      <c r="AK936">
        <f t="shared" si="432"/>
        <v>141</v>
      </c>
      <c r="AL936">
        <f t="shared" si="433"/>
        <v>126</v>
      </c>
      <c r="AM936">
        <f t="shared" si="434"/>
        <v>113</v>
      </c>
      <c r="AN936">
        <f t="shared" si="435"/>
        <v>146</v>
      </c>
      <c r="AO936">
        <f t="shared" si="436"/>
        <v>133</v>
      </c>
      <c r="AP936">
        <f t="shared" si="437"/>
        <v>101</v>
      </c>
      <c r="AQ936">
        <f t="shared" si="438"/>
        <v>90</v>
      </c>
      <c r="AR936">
        <f t="shared" si="439"/>
        <v>77</v>
      </c>
      <c r="AS936">
        <f t="shared" si="440"/>
        <v>161</v>
      </c>
      <c r="AT936">
        <f t="shared" si="441"/>
        <v>147</v>
      </c>
      <c r="AU936">
        <f t="shared" si="442"/>
        <v>115</v>
      </c>
      <c r="AV936">
        <f t="shared" si="443"/>
        <v>103</v>
      </c>
      <c r="AW936">
        <f t="shared" si="444"/>
        <v>90</v>
      </c>
      <c r="AX936">
        <f t="shared" si="445"/>
        <v>161</v>
      </c>
      <c r="AY936">
        <f t="shared" si="446"/>
        <v>147</v>
      </c>
      <c r="AZ936">
        <f t="shared" si="447"/>
        <v>115</v>
      </c>
      <c r="BA936">
        <f t="shared" si="448"/>
        <v>103</v>
      </c>
      <c r="BB936">
        <f t="shared" si="449"/>
        <v>90</v>
      </c>
    </row>
    <row r="937" spans="1:54" x14ac:dyDescent="0.15">
      <c r="B937" t="s">
        <v>3258</v>
      </c>
      <c r="C937">
        <v>718</v>
      </c>
      <c r="D937">
        <v>1</v>
      </c>
      <c r="E937" t="s">
        <v>3252</v>
      </c>
      <c r="F937" t="s">
        <v>3259</v>
      </c>
      <c r="G937" t="s">
        <v>3260</v>
      </c>
      <c r="J937" t="s">
        <v>3255</v>
      </c>
      <c r="K937">
        <v>33.5</v>
      </c>
      <c r="L937">
        <v>1.2</v>
      </c>
      <c r="M937" t="s">
        <v>60</v>
      </c>
      <c r="N937" t="s">
        <v>196</v>
      </c>
      <c r="O937" t="s">
        <v>3256</v>
      </c>
      <c r="P937" t="s">
        <v>3257</v>
      </c>
      <c r="R937">
        <v>8</v>
      </c>
      <c r="S937">
        <v>54</v>
      </c>
      <c r="T937">
        <v>100</v>
      </c>
      <c r="U937">
        <v>71</v>
      </c>
      <c r="V937">
        <v>61</v>
      </c>
      <c r="W937">
        <v>85</v>
      </c>
      <c r="X937">
        <v>115</v>
      </c>
      <c r="Y937">
        <f t="shared" si="420"/>
        <v>161</v>
      </c>
      <c r="Z937">
        <f t="shared" si="421"/>
        <v>161</v>
      </c>
      <c r="AA937">
        <f t="shared" si="422"/>
        <v>129</v>
      </c>
      <c r="AB937">
        <f t="shared" si="423"/>
        <v>129</v>
      </c>
      <c r="AC937">
        <f t="shared" si="424"/>
        <v>114</v>
      </c>
      <c r="AD937">
        <f t="shared" si="425"/>
        <v>167</v>
      </c>
      <c r="AE937">
        <f t="shared" si="426"/>
        <v>152</v>
      </c>
      <c r="AF937">
        <f t="shared" si="427"/>
        <v>120</v>
      </c>
      <c r="AG937">
        <f t="shared" si="428"/>
        <v>108</v>
      </c>
      <c r="AH937">
        <f t="shared" si="429"/>
        <v>94</v>
      </c>
      <c r="AI937">
        <f t="shared" si="430"/>
        <v>135</v>
      </c>
      <c r="AJ937">
        <f t="shared" si="431"/>
        <v>123</v>
      </c>
      <c r="AK937">
        <f t="shared" si="432"/>
        <v>91</v>
      </c>
      <c r="AL937">
        <f t="shared" si="433"/>
        <v>81</v>
      </c>
      <c r="AM937">
        <f t="shared" si="434"/>
        <v>68</v>
      </c>
      <c r="AN937">
        <f t="shared" si="435"/>
        <v>124</v>
      </c>
      <c r="AO937">
        <f t="shared" si="436"/>
        <v>113</v>
      </c>
      <c r="AP937">
        <f t="shared" si="437"/>
        <v>81</v>
      </c>
      <c r="AQ937">
        <f t="shared" si="438"/>
        <v>72</v>
      </c>
      <c r="AR937">
        <f t="shared" si="439"/>
        <v>59</v>
      </c>
      <c r="AS937">
        <f t="shared" si="440"/>
        <v>150</v>
      </c>
      <c r="AT937">
        <f t="shared" si="441"/>
        <v>137</v>
      </c>
      <c r="AU937">
        <f t="shared" si="442"/>
        <v>105</v>
      </c>
      <c r="AV937">
        <f t="shared" si="443"/>
        <v>94</v>
      </c>
      <c r="AW937">
        <f t="shared" si="444"/>
        <v>81</v>
      </c>
      <c r="AX937">
        <f t="shared" si="445"/>
        <v>183</v>
      </c>
      <c r="AY937">
        <f t="shared" si="446"/>
        <v>167</v>
      </c>
      <c r="AZ937">
        <f t="shared" si="447"/>
        <v>135</v>
      </c>
      <c r="BA937">
        <f t="shared" si="448"/>
        <v>121</v>
      </c>
      <c r="BB937">
        <f t="shared" si="449"/>
        <v>108</v>
      </c>
    </row>
    <row r="938" spans="1:54" x14ac:dyDescent="0.15">
      <c r="B938" t="s">
        <v>3261</v>
      </c>
      <c r="C938">
        <v>718</v>
      </c>
      <c r="D938">
        <v>4</v>
      </c>
      <c r="E938" t="s">
        <v>3252</v>
      </c>
      <c r="F938" t="s">
        <v>3262</v>
      </c>
      <c r="G938" t="s">
        <v>3263</v>
      </c>
      <c r="J938" t="s">
        <v>3255</v>
      </c>
      <c r="K938">
        <v>610</v>
      </c>
      <c r="L938">
        <v>4.5</v>
      </c>
      <c r="M938" t="s">
        <v>60</v>
      </c>
      <c r="N938" t="s">
        <v>196</v>
      </c>
      <c r="O938" t="s">
        <v>3257</v>
      </c>
      <c r="R938">
        <v>8</v>
      </c>
      <c r="S938">
        <v>216</v>
      </c>
      <c r="T938">
        <v>100</v>
      </c>
      <c r="U938">
        <v>121</v>
      </c>
      <c r="V938">
        <v>91</v>
      </c>
      <c r="W938">
        <v>95</v>
      </c>
      <c r="X938">
        <v>85</v>
      </c>
      <c r="Y938">
        <f t="shared" si="420"/>
        <v>323</v>
      </c>
      <c r="Z938">
        <f t="shared" si="421"/>
        <v>323</v>
      </c>
      <c r="AA938">
        <f t="shared" si="422"/>
        <v>291</v>
      </c>
      <c r="AB938">
        <f t="shared" si="423"/>
        <v>291</v>
      </c>
      <c r="AC938">
        <f t="shared" si="424"/>
        <v>276</v>
      </c>
      <c r="AD938">
        <f t="shared" si="425"/>
        <v>167</v>
      </c>
      <c r="AE938">
        <f t="shared" si="426"/>
        <v>152</v>
      </c>
      <c r="AF938">
        <f t="shared" si="427"/>
        <v>120</v>
      </c>
      <c r="AG938">
        <f t="shared" si="428"/>
        <v>108</v>
      </c>
      <c r="AH938">
        <f t="shared" si="429"/>
        <v>94</v>
      </c>
      <c r="AI938">
        <f t="shared" si="430"/>
        <v>190</v>
      </c>
      <c r="AJ938">
        <f t="shared" si="431"/>
        <v>173</v>
      </c>
      <c r="AK938">
        <f t="shared" si="432"/>
        <v>141</v>
      </c>
      <c r="AL938">
        <f t="shared" si="433"/>
        <v>126</v>
      </c>
      <c r="AM938">
        <f t="shared" si="434"/>
        <v>113</v>
      </c>
      <c r="AN938">
        <f t="shared" si="435"/>
        <v>157</v>
      </c>
      <c r="AO938">
        <f t="shared" si="436"/>
        <v>143</v>
      </c>
      <c r="AP938">
        <f t="shared" si="437"/>
        <v>111</v>
      </c>
      <c r="AQ938">
        <f t="shared" si="438"/>
        <v>99</v>
      </c>
      <c r="AR938">
        <f t="shared" si="439"/>
        <v>86</v>
      </c>
      <c r="AS938">
        <f t="shared" si="440"/>
        <v>161</v>
      </c>
      <c r="AT938">
        <f t="shared" si="441"/>
        <v>147</v>
      </c>
      <c r="AU938">
        <f t="shared" si="442"/>
        <v>115</v>
      </c>
      <c r="AV938">
        <f t="shared" si="443"/>
        <v>103</v>
      </c>
      <c r="AW938">
        <f t="shared" si="444"/>
        <v>90</v>
      </c>
      <c r="AX938">
        <f t="shared" si="445"/>
        <v>150</v>
      </c>
      <c r="AY938">
        <f t="shared" si="446"/>
        <v>137</v>
      </c>
      <c r="AZ938">
        <f t="shared" si="447"/>
        <v>105</v>
      </c>
      <c r="BA938">
        <f t="shared" si="448"/>
        <v>94</v>
      </c>
      <c r="BB938">
        <f t="shared" si="449"/>
        <v>81</v>
      </c>
    </row>
    <row r="939" spans="1:54" x14ac:dyDescent="0.15">
      <c r="A939">
        <v>625</v>
      </c>
      <c r="B939" t="s">
        <v>3264</v>
      </c>
      <c r="C939">
        <v>719</v>
      </c>
      <c r="D939">
        <v>0</v>
      </c>
      <c r="E939" t="s">
        <v>3265</v>
      </c>
      <c r="G939" t="s">
        <v>3265</v>
      </c>
      <c r="H939" t="s">
        <v>3266</v>
      </c>
      <c r="J939" t="s">
        <v>3171</v>
      </c>
      <c r="K939">
        <v>8.8000000000000007</v>
      </c>
      <c r="L939">
        <v>0.7</v>
      </c>
      <c r="M939" t="s">
        <v>371</v>
      </c>
      <c r="N939" t="s">
        <v>233</v>
      </c>
      <c r="O939" t="s">
        <v>425</v>
      </c>
      <c r="R939">
        <v>9</v>
      </c>
      <c r="S939">
        <v>50</v>
      </c>
      <c r="T939">
        <v>100</v>
      </c>
      <c r="U939">
        <v>150</v>
      </c>
      <c r="V939">
        <v>100</v>
      </c>
      <c r="W939">
        <v>150</v>
      </c>
      <c r="X939">
        <v>50</v>
      </c>
      <c r="Y939">
        <f t="shared" si="420"/>
        <v>157</v>
      </c>
      <c r="Z939">
        <f t="shared" si="421"/>
        <v>157</v>
      </c>
      <c r="AA939">
        <f t="shared" si="422"/>
        <v>125</v>
      </c>
      <c r="AB939">
        <f t="shared" si="423"/>
        <v>125</v>
      </c>
      <c r="AC939">
        <f t="shared" si="424"/>
        <v>110</v>
      </c>
      <c r="AD939">
        <f t="shared" si="425"/>
        <v>167</v>
      </c>
      <c r="AE939">
        <f t="shared" si="426"/>
        <v>152</v>
      </c>
      <c r="AF939">
        <f t="shared" si="427"/>
        <v>120</v>
      </c>
      <c r="AG939">
        <f t="shared" si="428"/>
        <v>108</v>
      </c>
      <c r="AH939">
        <f t="shared" si="429"/>
        <v>94</v>
      </c>
      <c r="AI939">
        <f t="shared" si="430"/>
        <v>222</v>
      </c>
      <c r="AJ939">
        <f t="shared" si="431"/>
        <v>202</v>
      </c>
      <c r="AK939">
        <f t="shared" si="432"/>
        <v>170</v>
      </c>
      <c r="AL939">
        <f t="shared" si="433"/>
        <v>153</v>
      </c>
      <c r="AM939">
        <f t="shared" si="434"/>
        <v>139</v>
      </c>
      <c r="AN939">
        <f t="shared" si="435"/>
        <v>167</v>
      </c>
      <c r="AO939">
        <f t="shared" si="436"/>
        <v>152</v>
      </c>
      <c r="AP939">
        <f t="shared" si="437"/>
        <v>120</v>
      </c>
      <c r="AQ939">
        <f t="shared" si="438"/>
        <v>108</v>
      </c>
      <c r="AR939">
        <f t="shared" si="439"/>
        <v>94</v>
      </c>
      <c r="AS939">
        <f t="shared" si="440"/>
        <v>222</v>
      </c>
      <c r="AT939">
        <f t="shared" si="441"/>
        <v>202</v>
      </c>
      <c r="AU939">
        <f t="shared" si="442"/>
        <v>170</v>
      </c>
      <c r="AV939">
        <f t="shared" si="443"/>
        <v>153</v>
      </c>
      <c r="AW939">
        <f t="shared" si="444"/>
        <v>139</v>
      </c>
      <c r="AX939">
        <f t="shared" si="445"/>
        <v>112</v>
      </c>
      <c r="AY939">
        <f t="shared" si="446"/>
        <v>102</v>
      </c>
      <c r="AZ939">
        <f t="shared" si="447"/>
        <v>70</v>
      </c>
      <c r="BA939">
        <f t="shared" si="448"/>
        <v>63</v>
      </c>
      <c r="BB939">
        <f t="shared" si="449"/>
        <v>49</v>
      </c>
    </row>
    <row r="940" spans="1:54" x14ac:dyDescent="0.15">
      <c r="B940" t="s">
        <v>3267</v>
      </c>
      <c r="C940">
        <v>719</v>
      </c>
      <c r="D940">
        <v>1</v>
      </c>
      <c r="E940" t="s">
        <v>3265</v>
      </c>
      <c r="F940" t="s">
        <v>3268</v>
      </c>
      <c r="G940" t="s">
        <v>3268</v>
      </c>
      <c r="J940" t="s">
        <v>3171</v>
      </c>
      <c r="K940">
        <v>27.8</v>
      </c>
      <c r="L940">
        <v>1.1000000000000001</v>
      </c>
      <c r="M940" t="s">
        <v>371</v>
      </c>
      <c r="N940" t="s">
        <v>233</v>
      </c>
      <c r="O940" t="s">
        <v>940</v>
      </c>
      <c r="P940" t="s">
        <v>425</v>
      </c>
      <c r="R940">
        <v>7</v>
      </c>
      <c r="S940">
        <v>50</v>
      </c>
      <c r="T940">
        <v>100</v>
      </c>
      <c r="U940">
        <v>150</v>
      </c>
      <c r="V940">
        <v>100</v>
      </c>
      <c r="W940">
        <v>150</v>
      </c>
      <c r="X940">
        <v>50</v>
      </c>
      <c r="Y940">
        <f t="shared" si="420"/>
        <v>157</v>
      </c>
      <c r="Z940">
        <f t="shared" si="421"/>
        <v>157</v>
      </c>
      <c r="AA940">
        <f t="shared" si="422"/>
        <v>125</v>
      </c>
      <c r="AB940">
        <f t="shared" si="423"/>
        <v>125</v>
      </c>
      <c r="AC940">
        <f t="shared" si="424"/>
        <v>110</v>
      </c>
      <c r="AD940">
        <f t="shared" si="425"/>
        <v>167</v>
      </c>
      <c r="AE940">
        <f t="shared" si="426"/>
        <v>152</v>
      </c>
      <c r="AF940">
        <f t="shared" si="427"/>
        <v>120</v>
      </c>
      <c r="AG940">
        <f t="shared" si="428"/>
        <v>108</v>
      </c>
      <c r="AH940">
        <f t="shared" si="429"/>
        <v>94</v>
      </c>
      <c r="AI940">
        <f t="shared" si="430"/>
        <v>222</v>
      </c>
      <c r="AJ940">
        <f t="shared" si="431"/>
        <v>202</v>
      </c>
      <c r="AK940">
        <f t="shared" si="432"/>
        <v>170</v>
      </c>
      <c r="AL940">
        <f t="shared" si="433"/>
        <v>153</v>
      </c>
      <c r="AM940">
        <f t="shared" si="434"/>
        <v>139</v>
      </c>
      <c r="AN940">
        <f t="shared" si="435"/>
        <v>167</v>
      </c>
      <c r="AO940">
        <f t="shared" si="436"/>
        <v>152</v>
      </c>
      <c r="AP940">
        <f t="shared" si="437"/>
        <v>120</v>
      </c>
      <c r="AQ940">
        <f t="shared" si="438"/>
        <v>108</v>
      </c>
      <c r="AR940">
        <f t="shared" si="439"/>
        <v>94</v>
      </c>
      <c r="AS940">
        <f t="shared" si="440"/>
        <v>222</v>
      </c>
      <c r="AT940">
        <f t="shared" si="441"/>
        <v>202</v>
      </c>
      <c r="AU940">
        <f t="shared" si="442"/>
        <v>170</v>
      </c>
      <c r="AV940">
        <f t="shared" si="443"/>
        <v>153</v>
      </c>
      <c r="AW940">
        <f t="shared" si="444"/>
        <v>139</v>
      </c>
      <c r="AX940">
        <f t="shared" si="445"/>
        <v>112</v>
      </c>
      <c r="AY940">
        <f t="shared" si="446"/>
        <v>102</v>
      </c>
      <c r="AZ940">
        <f t="shared" si="447"/>
        <v>70</v>
      </c>
      <c r="BA940">
        <f t="shared" si="448"/>
        <v>63</v>
      </c>
      <c r="BB940">
        <f t="shared" si="449"/>
        <v>49</v>
      </c>
    </row>
    <row r="941" spans="1:54" x14ac:dyDescent="0.15">
      <c r="A941">
        <v>627</v>
      </c>
      <c r="B941" t="s">
        <v>3269</v>
      </c>
      <c r="C941">
        <v>720</v>
      </c>
      <c r="D941">
        <v>0</v>
      </c>
      <c r="E941" t="s">
        <v>3270</v>
      </c>
      <c r="F941" t="s">
        <v>3271</v>
      </c>
      <c r="G941" t="s">
        <v>3272</v>
      </c>
      <c r="H941" t="s">
        <v>3273</v>
      </c>
      <c r="J941" t="s">
        <v>3274</v>
      </c>
      <c r="K941">
        <v>9</v>
      </c>
      <c r="L941">
        <v>0.5</v>
      </c>
      <c r="M941" t="s">
        <v>191</v>
      </c>
      <c r="N941" t="s">
        <v>546</v>
      </c>
      <c r="O941" t="s">
        <v>2929</v>
      </c>
      <c r="R941">
        <v>9</v>
      </c>
      <c r="S941">
        <v>80</v>
      </c>
      <c r="T941">
        <v>110</v>
      </c>
      <c r="U941">
        <v>60</v>
      </c>
      <c r="V941">
        <v>150</v>
      </c>
      <c r="W941">
        <v>130</v>
      </c>
      <c r="X941">
        <v>70</v>
      </c>
      <c r="Y941">
        <f t="shared" si="420"/>
        <v>187</v>
      </c>
      <c r="Z941">
        <f t="shared" si="421"/>
        <v>187</v>
      </c>
      <c r="AA941">
        <f t="shared" si="422"/>
        <v>155</v>
      </c>
      <c r="AB941">
        <f t="shared" si="423"/>
        <v>155</v>
      </c>
      <c r="AC941">
        <f t="shared" si="424"/>
        <v>140</v>
      </c>
      <c r="AD941">
        <f t="shared" si="425"/>
        <v>178</v>
      </c>
      <c r="AE941">
        <f t="shared" si="426"/>
        <v>162</v>
      </c>
      <c r="AF941">
        <f t="shared" si="427"/>
        <v>130</v>
      </c>
      <c r="AG941">
        <f t="shared" si="428"/>
        <v>117</v>
      </c>
      <c r="AH941">
        <f t="shared" si="429"/>
        <v>103</v>
      </c>
      <c r="AI941">
        <f t="shared" si="430"/>
        <v>123</v>
      </c>
      <c r="AJ941">
        <f t="shared" si="431"/>
        <v>112</v>
      </c>
      <c r="AK941">
        <f t="shared" si="432"/>
        <v>80</v>
      </c>
      <c r="AL941">
        <f t="shared" si="433"/>
        <v>72</v>
      </c>
      <c r="AM941">
        <f t="shared" si="434"/>
        <v>58</v>
      </c>
      <c r="AN941">
        <f t="shared" si="435"/>
        <v>222</v>
      </c>
      <c r="AO941">
        <f t="shared" si="436"/>
        <v>202</v>
      </c>
      <c r="AP941">
        <f t="shared" si="437"/>
        <v>170</v>
      </c>
      <c r="AQ941">
        <f t="shared" si="438"/>
        <v>153</v>
      </c>
      <c r="AR941">
        <f t="shared" si="439"/>
        <v>139</v>
      </c>
      <c r="AS941">
        <f t="shared" si="440"/>
        <v>200</v>
      </c>
      <c r="AT941">
        <f t="shared" si="441"/>
        <v>182</v>
      </c>
      <c r="AU941">
        <f t="shared" si="442"/>
        <v>150</v>
      </c>
      <c r="AV941">
        <f t="shared" si="443"/>
        <v>135</v>
      </c>
      <c r="AW941">
        <f t="shared" si="444"/>
        <v>121</v>
      </c>
      <c r="AX941">
        <f t="shared" si="445"/>
        <v>134</v>
      </c>
      <c r="AY941">
        <f t="shared" si="446"/>
        <v>122</v>
      </c>
      <c r="AZ941">
        <f t="shared" si="447"/>
        <v>90</v>
      </c>
      <c r="BA941">
        <f t="shared" si="448"/>
        <v>81</v>
      </c>
      <c r="BB941">
        <f t="shared" si="449"/>
        <v>67</v>
      </c>
    </row>
    <row r="942" spans="1:54" x14ac:dyDescent="0.15">
      <c r="A942">
        <v>628</v>
      </c>
      <c r="B942" t="s">
        <v>3275</v>
      </c>
      <c r="C942">
        <v>720</v>
      </c>
      <c r="D942">
        <v>1</v>
      </c>
      <c r="E942" t="s">
        <v>3270</v>
      </c>
      <c r="F942" t="s">
        <v>3276</v>
      </c>
      <c r="G942" t="s">
        <v>3277</v>
      </c>
      <c r="H942" t="s">
        <v>3278</v>
      </c>
      <c r="J942" t="s">
        <v>3279</v>
      </c>
      <c r="K942">
        <v>490</v>
      </c>
      <c r="L942">
        <v>6.5</v>
      </c>
      <c r="M942" t="s">
        <v>191</v>
      </c>
      <c r="N942" t="s">
        <v>140</v>
      </c>
      <c r="O942" t="s">
        <v>2929</v>
      </c>
      <c r="R942">
        <v>9</v>
      </c>
      <c r="S942">
        <v>80</v>
      </c>
      <c r="T942">
        <v>160</v>
      </c>
      <c r="U942">
        <v>60</v>
      </c>
      <c r="V942">
        <v>170</v>
      </c>
      <c r="W942">
        <v>130</v>
      </c>
      <c r="X942">
        <v>80</v>
      </c>
      <c r="Y942">
        <f t="shared" si="420"/>
        <v>187</v>
      </c>
      <c r="Z942">
        <f t="shared" si="421"/>
        <v>187</v>
      </c>
      <c r="AA942">
        <f t="shared" si="422"/>
        <v>155</v>
      </c>
      <c r="AB942">
        <f t="shared" si="423"/>
        <v>155</v>
      </c>
      <c r="AC942">
        <f t="shared" si="424"/>
        <v>140</v>
      </c>
      <c r="AD942">
        <f t="shared" si="425"/>
        <v>233</v>
      </c>
      <c r="AE942">
        <f t="shared" si="426"/>
        <v>212</v>
      </c>
      <c r="AF942">
        <f t="shared" si="427"/>
        <v>180</v>
      </c>
      <c r="AG942">
        <f t="shared" si="428"/>
        <v>162</v>
      </c>
      <c r="AH942">
        <f t="shared" si="429"/>
        <v>148</v>
      </c>
      <c r="AI942">
        <f t="shared" si="430"/>
        <v>123</v>
      </c>
      <c r="AJ942">
        <f t="shared" si="431"/>
        <v>112</v>
      </c>
      <c r="AK942">
        <f t="shared" si="432"/>
        <v>80</v>
      </c>
      <c r="AL942">
        <f t="shared" si="433"/>
        <v>72</v>
      </c>
      <c r="AM942">
        <f t="shared" si="434"/>
        <v>58</v>
      </c>
      <c r="AN942">
        <f t="shared" si="435"/>
        <v>244</v>
      </c>
      <c r="AO942">
        <f t="shared" si="436"/>
        <v>222</v>
      </c>
      <c r="AP942">
        <f t="shared" si="437"/>
        <v>190</v>
      </c>
      <c r="AQ942">
        <f t="shared" si="438"/>
        <v>171</v>
      </c>
      <c r="AR942">
        <f t="shared" si="439"/>
        <v>157</v>
      </c>
      <c r="AS942">
        <f t="shared" si="440"/>
        <v>200</v>
      </c>
      <c r="AT942">
        <f t="shared" si="441"/>
        <v>182</v>
      </c>
      <c r="AU942">
        <f t="shared" si="442"/>
        <v>150</v>
      </c>
      <c r="AV942">
        <f t="shared" si="443"/>
        <v>135</v>
      </c>
      <c r="AW942">
        <f t="shared" si="444"/>
        <v>121</v>
      </c>
      <c r="AX942">
        <f t="shared" si="445"/>
        <v>145</v>
      </c>
      <c r="AY942">
        <f t="shared" si="446"/>
        <v>132</v>
      </c>
      <c r="AZ942">
        <f t="shared" si="447"/>
        <v>100</v>
      </c>
      <c r="BA942">
        <f t="shared" si="448"/>
        <v>90</v>
      </c>
      <c r="BB942">
        <f t="shared" si="449"/>
        <v>76</v>
      </c>
    </row>
    <row r="943" spans="1:54" x14ac:dyDescent="0.15">
      <c r="A943">
        <v>626</v>
      </c>
      <c r="B943" t="s">
        <v>3280</v>
      </c>
      <c r="C943">
        <v>721</v>
      </c>
      <c r="D943">
        <v>0</v>
      </c>
      <c r="E943" t="s">
        <v>3281</v>
      </c>
      <c r="G943" t="s">
        <v>3281</v>
      </c>
      <c r="H943" t="s">
        <v>3282</v>
      </c>
      <c r="J943" t="s">
        <v>3283</v>
      </c>
      <c r="K943">
        <v>195</v>
      </c>
      <c r="L943">
        <v>1.7</v>
      </c>
      <c r="M943" t="s">
        <v>47</v>
      </c>
      <c r="N943" t="s">
        <v>71</v>
      </c>
      <c r="O943" t="s">
        <v>383</v>
      </c>
      <c r="R943">
        <v>9</v>
      </c>
      <c r="S943">
        <v>80</v>
      </c>
      <c r="T943">
        <v>110</v>
      </c>
      <c r="U943">
        <v>120</v>
      </c>
      <c r="V943">
        <v>130</v>
      </c>
      <c r="W943">
        <v>90</v>
      </c>
      <c r="X943">
        <v>70</v>
      </c>
      <c r="Y943">
        <f t="shared" si="420"/>
        <v>187</v>
      </c>
      <c r="Z943">
        <f t="shared" si="421"/>
        <v>187</v>
      </c>
      <c r="AA943">
        <f t="shared" si="422"/>
        <v>155</v>
      </c>
      <c r="AB943">
        <f t="shared" si="423"/>
        <v>155</v>
      </c>
      <c r="AC943">
        <f t="shared" si="424"/>
        <v>140</v>
      </c>
      <c r="AD943">
        <f t="shared" si="425"/>
        <v>178</v>
      </c>
      <c r="AE943">
        <f t="shared" si="426"/>
        <v>162</v>
      </c>
      <c r="AF943">
        <f t="shared" si="427"/>
        <v>130</v>
      </c>
      <c r="AG943">
        <f t="shared" si="428"/>
        <v>117</v>
      </c>
      <c r="AH943">
        <f t="shared" si="429"/>
        <v>103</v>
      </c>
      <c r="AI943">
        <f t="shared" si="430"/>
        <v>189</v>
      </c>
      <c r="AJ943">
        <f t="shared" si="431"/>
        <v>172</v>
      </c>
      <c r="AK943">
        <f t="shared" si="432"/>
        <v>140</v>
      </c>
      <c r="AL943">
        <f t="shared" si="433"/>
        <v>126</v>
      </c>
      <c r="AM943">
        <f t="shared" si="434"/>
        <v>112</v>
      </c>
      <c r="AN943">
        <f t="shared" si="435"/>
        <v>200</v>
      </c>
      <c r="AO943">
        <f t="shared" si="436"/>
        <v>182</v>
      </c>
      <c r="AP943">
        <f t="shared" si="437"/>
        <v>150</v>
      </c>
      <c r="AQ943">
        <f t="shared" si="438"/>
        <v>135</v>
      </c>
      <c r="AR943">
        <f t="shared" si="439"/>
        <v>121</v>
      </c>
      <c r="AS943">
        <f t="shared" si="440"/>
        <v>156</v>
      </c>
      <c r="AT943">
        <f t="shared" si="441"/>
        <v>142</v>
      </c>
      <c r="AU943">
        <f t="shared" si="442"/>
        <v>110</v>
      </c>
      <c r="AV943">
        <f t="shared" si="443"/>
        <v>99</v>
      </c>
      <c r="AW943">
        <f t="shared" si="444"/>
        <v>85</v>
      </c>
      <c r="AX943">
        <f t="shared" si="445"/>
        <v>134</v>
      </c>
      <c r="AY943">
        <f t="shared" si="446"/>
        <v>122</v>
      </c>
      <c r="AZ943">
        <f t="shared" si="447"/>
        <v>90</v>
      </c>
      <c r="BA943">
        <f t="shared" si="448"/>
        <v>81</v>
      </c>
      <c r="BB943">
        <f t="shared" si="449"/>
        <v>67</v>
      </c>
    </row>
    <row r="944" spans="1:54" x14ac:dyDescent="0.15">
      <c r="A944">
        <v>675</v>
      </c>
      <c r="B944" t="s">
        <v>3284</v>
      </c>
      <c r="C944">
        <v>722</v>
      </c>
      <c r="D944">
        <v>0</v>
      </c>
      <c r="E944" t="s">
        <v>3285</v>
      </c>
      <c r="G944" t="s">
        <v>3285</v>
      </c>
      <c r="H944" t="s">
        <v>3286</v>
      </c>
      <c r="J944" t="s">
        <v>3287</v>
      </c>
      <c r="K944">
        <v>1.5</v>
      </c>
      <c r="L944">
        <v>0.3</v>
      </c>
      <c r="M944" t="s">
        <v>26</v>
      </c>
      <c r="N944" t="s">
        <v>57</v>
      </c>
      <c r="O944" t="s">
        <v>28</v>
      </c>
      <c r="P944" t="s">
        <v>3288</v>
      </c>
      <c r="R944">
        <v>9</v>
      </c>
      <c r="S944">
        <v>68</v>
      </c>
      <c r="T944">
        <v>55</v>
      </c>
      <c r="U944">
        <v>55</v>
      </c>
      <c r="V944">
        <v>50</v>
      </c>
      <c r="W944">
        <v>50</v>
      </c>
      <c r="X944">
        <v>42</v>
      </c>
      <c r="Y944">
        <f t="shared" si="420"/>
        <v>175</v>
      </c>
      <c r="Z944">
        <f t="shared" si="421"/>
        <v>175</v>
      </c>
      <c r="AA944">
        <f t="shared" si="422"/>
        <v>143</v>
      </c>
      <c r="AB944">
        <f t="shared" si="423"/>
        <v>143</v>
      </c>
      <c r="AC944">
        <f t="shared" si="424"/>
        <v>128</v>
      </c>
      <c r="AD944">
        <f t="shared" si="425"/>
        <v>117</v>
      </c>
      <c r="AE944">
        <f t="shared" si="426"/>
        <v>107</v>
      </c>
      <c r="AF944">
        <f t="shared" si="427"/>
        <v>75</v>
      </c>
      <c r="AG944">
        <f t="shared" si="428"/>
        <v>67</v>
      </c>
      <c r="AH944">
        <f t="shared" si="429"/>
        <v>54</v>
      </c>
      <c r="AI944">
        <f t="shared" si="430"/>
        <v>117</v>
      </c>
      <c r="AJ944">
        <f t="shared" si="431"/>
        <v>107</v>
      </c>
      <c r="AK944">
        <f t="shared" si="432"/>
        <v>75</v>
      </c>
      <c r="AL944">
        <f t="shared" si="433"/>
        <v>67</v>
      </c>
      <c r="AM944">
        <f t="shared" si="434"/>
        <v>54</v>
      </c>
      <c r="AN944">
        <f t="shared" si="435"/>
        <v>112</v>
      </c>
      <c r="AO944">
        <f t="shared" si="436"/>
        <v>102</v>
      </c>
      <c r="AP944">
        <f t="shared" si="437"/>
        <v>70</v>
      </c>
      <c r="AQ944">
        <f t="shared" si="438"/>
        <v>63</v>
      </c>
      <c r="AR944">
        <f t="shared" si="439"/>
        <v>49</v>
      </c>
      <c r="AS944">
        <f t="shared" si="440"/>
        <v>112</v>
      </c>
      <c r="AT944">
        <f t="shared" si="441"/>
        <v>102</v>
      </c>
      <c r="AU944">
        <f t="shared" si="442"/>
        <v>70</v>
      </c>
      <c r="AV944">
        <f t="shared" si="443"/>
        <v>63</v>
      </c>
      <c r="AW944">
        <f t="shared" si="444"/>
        <v>49</v>
      </c>
      <c r="AX944">
        <f t="shared" si="445"/>
        <v>103</v>
      </c>
      <c r="AY944">
        <f t="shared" si="446"/>
        <v>94</v>
      </c>
      <c r="AZ944">
        <f t="shared" si="447"/>
        <v>62</v>
      </c>
      <c r="BA944">
        <f t="shared" si="448"/>
        <v>55</v>
      </c>
      <c r="BB944">
        <f t="shared" si="449"/>
        <v>42</v>
      </c>
    </row>
    <row r="945" spans="1:54" x14ac:dyDescent="0.15">
      <c r="A945">
        <v>676</v>
      </c>
      <c r="B945" t="s">
        <v>3289</v>
      </c>
      <c r="C945">
        <v>723</v>
      </c>
      <c r="D945">
        <v>0</v>
      </c>
      <c r="E945" t="s">
        <v>3290</v>
      </c>
      <c r="G945" t="s">
        <v>3290</v>
      </c>
      <c r="H945" t="s">
        <v>3291</v>
      </c>
      <c r="J945" t="s">
        <v>3292</v>
      </c>
      <c r="K945">
        <v>16</v>
      </c>
      <c r="L945">
        <v>0.7</v>
      </c>
      <c r="M945" t="s">
        <v>26</v>
      </c>
      <c r="N945" t="s">
        <v>57</v>
      </c>
      <c r="O945" t="s">
        <v>28</v>
      </c>
      <c r="P945" t="s">
        <v>3288</v>
      </c>
      <c r="R945">
        <v>9</v>
      </c>
      <c r="S945">
        <v>78</v>
      </c>
      <c r="T945">
        <v>75</v>
      </c>
      <c r="U945">
        <v>75</v>
      </c>
      <c r="V945">
        <v>70</v>
      </c>
      <c r="W945">
        <v>70</v>
      </c>
      <c r="X945">
        <v>52</v>
      </c>
      <c r="Y945">
        <f t="shared" si="420"/>
        <v>185</v>
      </c>
      <c r="Z945">
        <f t="shared" si="421"/>
        <v>185</v>
      </c>
      <c r="AA945">
        <f t="shared" si="422"/>
        <v>153</v>
      </c>
      <c r="AB945">
        <f t="shared" si="423"/>
        <v>153</v>
      </c>
      <c r="AC945">
        <f t="shared" si="424"/>
        <v>138</v>
      </c>
      <c r="AD945">
        <f t="shared" si="425"/>
        <v>139</v>
      </c>
      <c r="AE945">
        <f t="shared" si="426"/>
        <v>127</v>
      </c>
      <c r="AF945">
        <f t="shared" si="427"/>
        <v>95</v>
      </c>
      <c r="AG945">
        <f t="shared" si="428"/>
        <v>85</v>
      </c>
      <c r="AH945">
        <f t="shared" si="429"/>
        <v>72</v>
      </c>
      <c r="AI945">
        <f t="shared" si="430"/>
        <v>139</v>
      </c>
      <c r="AJ945">
        <f t="shared" si="431"/>
        <v>127</v>
      </c>
      <c r="AK945">
        <f t="shared" si="432"/>
        <v>95</v>
      </c>
      <c r="AL945">
        <f t="shared" si="433"/>
        <v>85</v>
      </c>
      <c r="AM945">
        <f t="shared" si="434"/>
        <v>72</v>
      </c>
      <c r="AN945">
        <f t="shared" si="435"/>
        <v>134</v>
      </c>
      <c r="AO945">
        <f t="shared" si="436"/>
        <v>122</v>
      </c>
      <c r="AP945">
        <f t="shared" si="437"/>
        <v>90</v>
      </c>
      <c r="AQ945">
        <f t="shared" si="438"/>
        <v>81</v>
      </c>
      <c r="AR945">
        <f t="shared" si="439"/>
        <v>67</v>
      </c>
      <c r="AS945">
        <f t="shared" si="440"/>
        <v>134</v>
      </c>
      <c r="AT945">
        <f t="shared" si="441"/>
        <v>122</v>
      </c>
      <c r="AU945">
        <f t="shared" si="442"/>
        <v>90</v>
      </c>
      <c r="AV945">
        <f t="shared" si="443"/>
        <v>81</v>
      </c>
      <c r="AW945">
        <f t="shared" si="444"/>
        <v>67</v>
      </c>
      <c r="AX945">
        <f t="shared" si="445"/>
        <v>114</v>
      </c>
      <c r="AY945">
        <f t="shared" si="446"/>
        <v>104</v>
      </c>
      <c r="AZ945">
        <f t="shared" si="447"/>
        <v>72</v>
      </c>
      <c r="BA945">
        <f t="shared" si="448"/>
        <v>64</v>
      </c>
      <c r="BB945">
        <f t="shared" si="449"/>
        <v>51</v>
      </c>
    </row>
    <row r="946" spans="1:54" x14ac:dyDescent="0.15">
      <c r="A946">
        <v>677</v>
      </c>
      <c r="B946" t="s">
        <v>3293</v>
      </c>
      <c r="C946">
        <v>724</v>
      </c>
      <c r="D946">
        <v>0</v>
      </c>
      <c r="E946" t="s">
        <v>3294</v>
      </c>
      <c r="G946" t="s">
        <v>3294</v>
      </c>
      <c r="H946" t="s">
        <v>3295</v>
      </c>
      <c r="J946" t="s">
        <v>3296</v>
      </c>
      <c r="K946">
        <v>36.6</v>
      </c>
      <c r="L946">
        <v>1.6</v>
      </c>
      <c r="M946" t="s">
        <v>26</v>
      </c>
      <c r="N946" t="s">
        <v>546</v>
      </c>
      <c r="O946" t="s">
        <v>28</v>
      </c>
      <c r="P946" t="s">
        <v>3288</v>
      </c>
      <c r="R946">
        <v>9</v>
      </c>
      <c r="S946">
        <v>78</v>
      </c>
      <c r="T946">
        <v>107</v>
      </c>
      <c r="U946">
        <v>75</v>
      </c>
      <c r="V946">
        <v>100</v>
      </c>
      <c r="W946">
        <v>100</v>
      </c>
      <c r="X946">
        <v>70</v>
      </c>
      <c r="Y946">
        <f t="shared" si="420"/>
        <v>185</v>
      </c>
      <c r="Z946">
        <f t="shared" si="421"/>
        <v>185</v>
      </c>
      <c r="AA946">
        <f t="shared" si="422"/>
        <v>153</v>
      </c>
      <c r="AB946">
        <f t="shared" si="423"/>
        <v>153</v>
      </c>
      <c r="AC946">
        <f t="shared" si="424"/>
        <v>138</v>
      </c>
      <c r="AD946">
        <f t="shared" si="425"/>
        <v>174</v>
      </c>
      <c r="AE946">
        <f t="shared" si="426"/>
        <v>159</v>
      </c>
      <c r="AF946">
        <f t="shared" si="427"/>
        <v>127</v>
      </c>
      <c r="AG946">
        <f t="shared" si="428"/>
        <v>114</v>
      </c>
      <c r="AH946">
        <f t="shared" si="429"/>
        <v>100</v>
      </c>
      <c r="AI946">
        <f t="shared" si="430"/>
        <v>139</v>
      </c>
      <c r="AJ946">
        <f t="shared" si="431"/>
        <v>127</v>
      </c>
      <c r="AK946">
        <f t="shared" si="432"/>
        <v>95</v>
      </c>
      <c r="AL946">
        <f t="shared" si="433"/>
        <v>85</v>
      </c>
      <c r="AM946">
        <f t="shared" si="434"/>
        <v>72</v>
      </c>
      <c r="AN946">
        <f t="shared" si="435"/>
        <v>167</v>
      </c>
      <c r="AO946">
        <f t="shared" si="436"/>
        <v>152</v>
      </c>
      <c r="AP946">
        <f t="shared" si="437"/>
        <v>120</v>
      </c>
      <c r="AQ946">
        <f t="shared" si="438"/>
        <v>108</v>
      </c>
      <c r="AR946">
        <f t="shared" si="439"/>
        <v>94</v>
      </c>
      <c r="AS946">
        <f t="shared" si="440"/>
        <v>167</v>
      </c>
      <c r="AT946">
        <f t="shared" si="441"/>
        <v>152</v>
      </c>
      <c r="AU946">
        <f t="shared" si="442"/>
        <v>120</v>
      </c>
      <c r="AV946">
        <f t="shared" si="443"/>
        <v>108</v>
      </c>
      <c r="AW946">
        <f t="shared" si="444"/>
        <v>94</v>
      </c>
      <c r="AX946">
        <f t="shared" si="445"/>
        <v>134</v>
      </c>
      <c r="AY946">
        <f t="shared" si="446"/>
        <v>122</v>
      </c>
      <c r="AZ946">
        <f t="shared" si="447"/>
        <v>90</v>
      </c>
      <c r="BA946">
        <f t="shared" si="448"/>
        <v>81</v>
      </c>
      <c r="BB946">
        <f t="shared" si="449"/>
        <v>67</v>
      </c>
    </row>
    <row r="947" spans="1:54" x14ac:dyDescent="0.15">
      <c r="A947">
        <v>678</v>
      </c>
      <c r="B947" t="s">
        <v>3297</v>
      </c>
      <c r="C947">
        <v>724</v>
      </c>
      <c r="D947">
        <v>1</v>
      </c>
      <c r="E947" t="s">
        <v>3294</v>
      </c>
      <c r="F947" t="s">
        <v>367</v>
      </c>
      <c r="G947" t="s">
        <v>3298</v>
      </c>
      <c r="H947" t="s">
        <v>3299</v>
      </c>
      <c r="J947" t="s">
        <v>3296</v>
      </c>
      <c r="K947">
        <v>37</v>
      </c>
      <c r="L947">
        <v>1.6</v>
      </c>
      <c r="M947" t="s">
        <v>26</v>
      </c>
      <c r="N947" t="s">
        <v>354</v>
      </c>
      <c r="O947" t="s">
        <v>28</v>
      </c>
      <c r="P947" t="s">
        <v>3288</v>
      </c>
      <c r="Q947" t="s">
        <v>499</v>
      </c>
      <c r="R947">
        <v>9</v>
      </c>
      <c r="S947">
        <v>88</v>
      </c>
      <c r="T947">
        <v>112</v>
      </c>
      <c r="U947">
        <v>80</v>
      </c>
      <c r="V947">
        <v>95</v>
      </c>
      <c r="W947">
        <v>95</v>
      </c>
      <c r="X947">
        <v>60</v>
      </c>
      <c r="Y947">
        <f t="shared" si="420"/>
        <v>195</v>
      </c>
      <c r="Z947">
        <f t="shared" si="421"/>
        <v>195</v>
      </c>
      <c r="AA947">
        <f t="shared" si="422"/>
        <v>163</v>
      </c>
      <c r="AB947">
        <f t="shared" si="423"/>
        <v>163</v>
      </c>
      <c r="AC947">
        <f t="shared" si="424"/>
        <v>148</v>
      </c>
      <c r="AD947">
        <f t="shared" si="425"/>
        <v>180</v>
      </c>
      <c r="AE947">
        <f t="shared" si="426"/>
        <v>164</v>
      </c>
      <c r="AF947">
        <f t="shared" si="427"/>
        <v>132</v>
      </c>
      <c r="AG947">
        <f t="shared" si="428"/>
        <v>118</v>
      </c>
      <c r="AH947">
        <f t="shared" si="429"/>
        <v>105</v>
      </c>
      <c r="AI947">
        <f t="shared" si="430"/>
        <v>145</v>
      </c>
      <c r="AJ947">
        <f t="shared" si="431"/>
        <v>132</v>
      </c>
      <c r="AK947">
        <f t="shared" si="432"/>
        <v>100</v>
      </c>
      <c r="AL947">
        <f t="shared" si="433"/>
        <v>90</v>
      </c>
      <c r="AM947">
        <f t="shared" si="434"/>
        <v>76</v>
      </c>
      <c r="AN947">
        <f t="shared" si="435"/>
        <v>161</v>
      </c>
      <c r="AO947">
        <f t="shared" si="436"/>
        <v>147</v>
      </c>
      <c r="AP947">
        <f t="shared" si="437"/>
        <v>115</v>
      </c>
      <c r="AQ947">
        <f t="shared" si="438"/>
        <v>103</v>
      </c>
      <c r="AR947">
        <f t="shared" si="439"/>
        <v>90</v>
      </c>
      <c r="AS947">
        <f t="shared" si="440"/>
        <v>161</v>
      </c>
      <c r="AT947">
        <f t="shared" si="441"/>
        <v>147</v>
      </c>
      <c r="AU947">
        <f t="shared" si="442"/>
        <v>115</v>
      </c>
      <c r="AV947">
        <f t="shared" si="443"/>
        <v>103</v>
      </c>
      <c r="AW947">
        <f t="shared" si="444"/>
        <v>90</v>
      </c>
      <c r="AX947">
        <f t="shared" si="445"/>
        <v>123</v>
      </c>
      <c r="AY947">
        <f t="shared" si="446"/>
        <v>112</v>
      </c>
      <c r="AZ947">
        <f t="shared" si="447"/>
        <v>80</v>
      </c>
      <c r="BA947">
        <f t="shared" si="448"/>
        <v>72</v>
      </c>
      <c r="BB947">
        <f t="shared" si="449"/>
        <v>58</v>
      </c>
    </row>
    <row r="948" spans="1:54" x14ac:dyDescent="0.15">
      <c r="A948">
        <v>679</v>
      </c>
      <c r="B948" t="s">
        <v>3300</v>
      </c>
      <c r="C948">
        <v>725</v>
      </c>
      <c r="D948">
        <v>0</v>
      </c>
      <c r="E948" t="s">
        <v>3301</v>
      </c>
      <c r="G948" t="s">
        <v>3301</v>
      </c>
      <c r="H948" t="s">
        <v>3302</v>
      </c>
      <c r="J948" t="s">
        <v>3303</v>
      </c>
      <c r="K948">
        <v>4.3</v>
      </c>
      <c r="L948">
        <v>0.4</v>
      </c>
      <c r="M948" t="s">
        <v>47</v>
      </c>
      <c r="O948" t="s">
        <v>48</v>
      </c>
      <c r="P948" t="s">
        <v>155</v>
      </c>
      <c r="R948">
        <v>9</v>
      </c>
      <c r="S948">
        <v>45</v>
      </c>
      <c r="T948">
        <v>65</v>
      </c>
      <c r="U948">
        <v>40</v>
      </c>
      <c r="V948">
        <v>60</v>
      </c>
      <c r="W948">
        <v>40</v>
      </c>
      <c r="X948">
        <v>70</v>
      </c>
      <c r="Y948">
        <f t="shared" si="420"/>
        <v>152</v>
      </c>
      <c r="Z948">
        <f t="shared" si="421"/>
        <v>152</v>
      </c>
      <c r="AA948">
        <f t="shared" si="422"/>
        <v>120</v>
      </c>
      <c r="AB948">
        <f t="shared" si="423"/>
        <v>120</v>
      </c>
      <c r="AC948">
        <f t="shared" si="424"/>
        <v>105</v>
      </c>
      <c r="AD948">
        <f t="shared" si="425"/>
        <v>128</v>
      </c>
      <c r="AE948">
        <f t="shared" si="426"/>
        <v>117</v>
      </c>
      <c r="AF948">
        <f t="shared" si="427"/>
        <v>85</v>
      </c>
      <c r="AG948">
        <f t="shared" si="428"/>
        <v>76</v>
      </c>
      <c r="AH948">
        <f t="shared" si="429"/>
        <v>63</v>
      </c>
      <c r="AI948">
        <f t="shared" si="430"/>
        <v>101</v>
      </c>
      <c r="AJ948">
        <f t="shared" si="431"/>
        <v>92</v>
      </c>
      <c r="AK948">
        <f t="shared" si="432"/>
        <v>60</v>
      </c>
      <c r="AL948">
        <f t="shared" si="433"/>
        <v>54</v>
      </c>
      <c r="AM948">
        <f t="shared" si="434"/>
        <v>40</v>
      </c>
      <c r="AN948">
        <f t="shared" si="435"/>
        <v>123</v>
      </c>
      <c r="AO948">
        <f t="shared" si="436"/>
        <v>112</v>
      </c>
      <c r="AP948">
        <f t="shared" si="437"/>
        <v>80</v>
      </c>
      <c r="AQ948">
        <f t="shared" si="438"/>
        <v>72</v>
      </c>
      <c r="AR948">
        <f t="shared" si="439"/>
        <v>58</v>
      </c>
      <c r="AS948">
        <f t="shared" si="440"/>
        <v>101</v>
      </c>
      <c r="AT948">
        <f t="shared" si="441"/>
        <v>92</v>
      </c>
      <c r="AU948">
        <f t="shared" si="442"/>
        <v>60</v>
      </c>
      <c r="AV948">
        <f t="shared" si="443"/>
        <v>54</v>
      </c>
      <c r="AW948">
        <f t="shared" si="444"/>
        <v>40</v>
      </c>
      <c r="AX948">
        <f t="shared" si="445"/>
        <v>134</v>
      </c>
      <c r="AY948">
        <f t="shared" si="446"/>
        <v>122</v>
      </c>
      <c r="AZ948">
        <f t="shared" si="447"/>
        <v>90</v>
      </c>
      <c r="BA948">
        <f t="shared" si="448"/>
        <v>81</v>
      </c>
      <c r="BB948">
        <f t="shared" si="449"/>
        <v>67</v>
      </c>
    </row>
    <row r="949" spans="1:54" x14ac:dyDescent="0.15">
      <c r="A949">
        <v>680</v>
      </c>
      <c r="B949" t="s">
        <v>3304</v>
      </c>
      <c r="C949">
        <v>726</v>
      </c>
      <c r="D949">
        <v>0</v>
      </c>
      <c r="E949" t="s">
        <v>3305</v>
      </c>
      <c r="G949" t="s">
        <v>3305</v>
      </c>
      <c r="H949" t="s">
        <v>3306</v>
      </c>
      <c r="J949" t="s">
        <v>3303</v>
      </c>
      <c r="K949">
        <v>25</v>
      </c>
      <c r="L949">
        <v>0.7</v>
      </c>
      <c r="M949" t="s">
        <v>47</v>
      </c>
      <c r="O949" t="s">
        <v>48</v>
      </c>
      <c r="P949" t="s">
        <v>155</v>
      </c>
      <c r="R949">
        <v>9</v>
      </c>
      <c r="S949">
        <v>65</v>
      </c>
      <c r="T949">
        <v>85</v>
      </c>
      <c r="U949">
        <v>50</v>
      </c>
      <c r="V949">
        <v>80</v>
      </c>
      <c r="W949">
        <v>50</v>
      </c>
      <c r="X949">
        <v>90</v>
      </c>
      <c r="Y949">
        <f t="shared" si="420"/>
        <v>172</v>
      </c>
      <c r="Z949">
        <f t="shared" si="421"/>
        <v>172</v>
      </c>
      <c r="AA949">
        <f t="shared" si="422"/>
        <v>140</v>
      </c>
      <c r="AB949">
        <f t="shared" si="423"/>
        <v>140</v>
      </c>
      <c r="AC949">
        <f t="shared" si="424"/>
        <v>125</v>
      </c>
      <c r="AD949">
        <f t="shared" si="425"/>
        <v>150</v>
      </c>
      <c r="AE949">
        <f t="shared" si="426"/>
        <v>137</v>
      </c>
      <c r="AF949">
        <f t="shared" si="427"/>
        <v>105</v>
      </c>
      <c r="AG949">
        <f t="shared" si="428"/>
        <v>94</v>
      </c>
      <c r="AH949">
        <f t="shared" si="429"/>
        <v>81</v>
      </c>
      <c r="AI949">
        <f t="shared" si="430"/>
        <v>112</v>
      </c>
      <c r="AJ949">
        <f t="shared" si="431"/>
        <v>102</v>
      </c>
      <c r="AK949">
        <f t="shared" si="432"/>
        <v>70</v>
      </c>
      <c r="AL949">
        <f t="shared" si="433"/>
        <v>63</v>
      </c>
      <c r="AM949">
        <f t="shared" si="434"/>
        <v>49</v>
      </c>
      <c r="AN949">
        <f t="shared" si="435"/>
        <v>145</v>
      </c>
      <c r="AO949">
        <f t="shared" si="436"/>
        <v>132</v>
      </c>
      <c r="AP949">
        <f t="shared" si="437"/>
        <v>100</v>
      </c>
      <c r="AQ949">
        <f t="shared" si="438"/>
        <v>90</v>
      </c>
      <c r="AR949">
        <f t="shared" si="439"/>
        <v>76</v>
      </c>
      <c r="AS949">
        <f t="shared" si="440"/>
        <v>112</v>
      </c>
      <c r="AT949">
        <f t="shared" si="441"/>
        <v>102</v>
      </c>
      <c r="AU949">
        <f t="shared" si="442"/>
        <v>70</v>
      </c>
      <c r="AV949">
        <f t="shared" si="443"/>
        <v>63</v>
      </c>
      <c r="AW949">
        <f t="shared" si="444"/>
        <v>49</v>
      </c>
      <c r="AX949">
        <f t="shared" si="445"/>
        <v>156</v>
      </c>
      <c r="AY949">
        <f t="shared" si="446"/>
        <v>142</v>
      </c>
      <c r="AZ949">
        <f t="shared" si="447"/>
        <v>110</v>
      </c>
      <c r="BA949">
        <f t="shared" si="448"/>
        <v>99</v>
      </c>
      <c r="BB949">
        <f t="shared" si="449"/>
        <v>85</v>
      </c>
    </row>
    <row r="950" spans="1:54" x14ac:dyDescent="0.15">
      <c r="A950">
        <v>681</v>
      </c>
      <c r="B950" t="s">
        <v>3307</v>
      </c>
      <c r="C950">
        <v>727</v>
      </c>
      <c r="D950">
        <v>0</v>
      </c>
      <c r="E950" t="s">
        <v>3308</v>
      </c>
      <c r="G950" t="s">
        <v>3308</v>
      </c>
      <c r="H950" t="s">
        <v>3309</v>
      </c>
      <c r="J950" t="s">
        <v>3310</v>
      </c>
      <c r="K950">
        <v>83</v>
      </c>
      <c r="L950">
        <v>1.8</v>
      </c>
      <c r="M950" t="s">
        <v>47</v>
      </c>
      <c r="N950" t="s">
        <v>140</v>
      </c>
      <c r="O950" t="s">
        <v>48</v>
      </c>
      <c r="P950" t="s">
        <v>155</v>
      </c>
      <c r="R950">
        <v>9</v>
      </c>
      <c r="S950">
        <v>95</v>
      </c>
      <c r="T950">
        <v>115</v>
      </c>
      <c r="U950">
        <v>90</v>
      </c>
      <c r="V950">
        <v>80</v>
      </c>
      <c r="W950">
        <v>90</v>
      </c>
      <c r="X950">
        <v>60</v>
      </c>
      <c r="Y950">
        <f t="shared" si="420"/>
        <v>202</v>
      </c>
      <c r="Z950">
        <f t="shared" si="421"/>
        <v>202</v>
      </c>
      <c r="AA950">
        <f t="shared" si="422"/>
        <v>170</v>
      </c>
      <c r="AB950">
        <f t="shared" si="423"/>
        <v>170</v>
      </c>
      <c r="AC950">
        <f t="shared" si="424"/>
        <v>155</v>
      </c>
      <c r="AD950">
        <f t="shared" si="425"/>
        <v>183</v>
      </c>
      <c r="AE950">
        <f t="shared" si="426"/>
        <v>167</v>
      </c>
      <c r="AF950">
        <f t="shared" si="427"/>
        <v>135</v>
      </c>
      <c r="AG950">
        <f t="shared" si="428"/>
        <v>121</v>
      </c>
      <c r="AH950">
        <f t="shared" si="429"/>
        <v>108</v>
      </c>
      <c r="AI950">
        <f t="shared" si="430"/>
        <v>156</v>
      </c>
      <c r="AJ950">
        <f t="shared" si="431"/>
        <v>142</v>
      </c>
      <c r="AK950">
        <f t="shared" si="432"/>
        <v>110</v>
      </c>
      <c r="AL950">
        <f t="shared" si="433"/>
        <v>99</v>
      </c>
      <c r="AM950">
        <f t="shared" si="434"/>
        <v>85</v>
      </c>
      <c r="AN950">
        <f t="shared" si="435"/>
        <v>145</v>
      </c>
      <c r="AO950">
        <f t="shared" si="436"/>
        <v>132</v>
      </c>
      <c r="AP950">
        <f t="shared" si="437"/>
        <v>100</v>
      </c>
      <c r="AQ950">
        <f t="shared" si="438"/>
        <v>90</v>
      </c>
      <c r="AR950">
        <f t="shared" si="439"/>
        <v>76</v>
      </c>
      <c r="AS950">
        <f t="shared" si="440"/>
        <v>156</v>
      </c>
      <c r="AT950">
        <f t="shared" si="441"/>
        <v>142</v>
      </c>
      <c r="AU950">
        <f t="shared" si="442"/>
        <v>110</v>
      </c>
      <c r="AV950">
        <f t="shared" si="443"/>
        <v>99</v>
      </c>
      <c r="AW950">
        <f t="shared" si="444"/>
        <v>85</v>
      </c>
      <c r="AX950">
        <f t="shared" si="445"/>
        <v>123</v>
      </c>
      <c r="AY950">
        <f t="shared" si="446"/>
        <v>112</v>
      </c>
      <c r="AZ950">
        <f t="shared" si="447"/>
        <v>80</v>
      </c>
      <c r="BA950">
        <f t="shared" si="448"/>
        <v>72</v>
      </c>
      <c r="BB950">
        <f t="shared" si="449"/>
        <v>58</v>
      </c>
    </row>
    <row r="951" spans="1:54" x14ac:dyDescent="0.15">
      <c r="A951">
        <v>682</v>
      </c>
      <c r="B951" t="s">
        <v>3311</v>
      </c>
      <c r="C951">
        <v>728</v>
      </c>
      <c r="D951">
        <v>0</v>
      </c>
      <c r="E951" t="s">
        <v>3312</v>
      </c>
      <c r="G951" t="s">
        <v>3312</v>
      </c>
      <c r="H951" t="s">
        <v>3313</v>
      </c>
      <c r="J951" t="s">
        <v>512</v>
      </c>
      <c r="K951">
        <v>7.5</v>
      </c>
      <c r="L951">
        <v>0.4</v>
      </c>
      <c r="M951" t="s">
        <v>71</v>
      </c>
      <c r="O951" t="s">
        <v>72</v>
      </c>
      <c r="P951" t="s">
        <v>3314</v>
      </c>
      <c r="R951">
        <v>9</v>
      </c>
      <c r="S951">
        <v>50</v>
      </c>
      <c r="T951">
        <v>54</v>
      </c>
      <c r="U951">
        <v>54</v>
      </c>
      <c r="V951">
        <v>66</v>
      </c>
      <c r="W951">
        <v>56</v>
      </c>
      <c r="X951">
        <v>40</v>
      </c>
      <c r="Y951">
        <f t="shared" si="420"/>
        <v>157</v>
      </c>
      <c r="Z951">
        <f t="shared" si="421"/>
        <v>157</v>
      </c>
      <c r="AA951">
        <f t="shared" si="422"/>
        <v>125</v>
      </c>
      <c r="AB951">
        <f t="shared" si="423"/>
        <v>125</v>
      </c>
      <c r="AC951">
        <f t="shared" si="424"/>
        <v>110</v>
      </c>
      <c r="AD951">
        <f t="shared" si="425"/>
        <v>116</v>
      </c>
      <c r="AE951">
        <f t="shared" si="426"/>
        <v>106</v>
      </c>
      <c r="AF951">
        <f t="shared" si="427"/>
        <v>74</v>
      </c>
      <c r="AG951">
        <f t="shared" si="428"/>
        <v>66</v>
      </c>
      <c r="AH951">
        <f t="shared" si="429"/>
        <v>53</v>
      </c>
      <c r="AI951">
        <f t="shared" si="430"/>
        <v>116</v>
      </c>
      <c r="AJ951">
        <f t="shared" si="431"/>
        <v>106</v>
      </c>
      <c r="AK951">
        <f t="shared" si="432"/>
        <v>74</v>
      </c>
      <c r="AL951">
        <f t="shared" si="433"/>
        <v>66</v>
      </c>
      <c r="AM951">
        <f t="shared" si="434"/>
        <v>53</v>
      </c>
      <c r="AN951">
        <f t="shared" si="435"/>
        <v>129</v>
      </c>
      <c r="AO951">
        <f t="shared" si="436"/>
        <v>118</v>
      </c>
      <c r="AP951">
        <f t="shared" si="437"/>
        <v>86</v>
      </c>
      <c r="AQ951">
        <f t="shared" si="438"/>
        <v>77</v>
      </c>
      <c r="AR951">
        <f t="shared" si="439"/>
        <v>63</v>
      </c>
      <c r="AS951">
        <f t="shared" si="440"/>
        <v>118</v>
      </c>
      <c r="AT951">
        <f t="shared" si="441"/>
        <v>108</v>
      </c>
      <c r="AU951">
        <f t="shared" si="442"/>
        <v>76</v>
      </c>
      <c r="AV951">
        <f t="shared" si="443"/>
        <v>68</v>
      </c>
      <c r="AW951">
        <f t="shared" si="444"/>
        <v>54</v>
      </c>
      <c r="AX951">
        <f t="shared" si="445"/>
        <v>101</v>
      </c>
      <c r="AY951">
        <f t="shared" si="446"/>
        <v>92</v>
      </c>
      <c r="AZ951">
        <f t="shared" si="447"/>
        <v>60</v>
      </c>
      <c r="BA951">
        <f t="shared" si="448"/>
        <v>54</v>
      </c>
      <c r="BB951">
        <f t="shared" si="449"/>
        <v>40</v>
      </c>
    </row>
    <row r="952" spans="1:54" x14ac:dyDescent="0.15">
      <c r="A952">
        <v>683</v>
      </c>
      <c r="B952" t="s">
        <v>3315</v>
      </c>
      <c r="C952">
        <v>729</v>
      </c>
      <c r="D952">
        <v>0</v>
      </c>
      <c r="E952" t="s">
        <v>3316</v>
      </c>
      <c r="G952" t="s">
        <v>3316</v>
      </c>
      <c r="H952" t="s">
        <v>3317</v>
      </c>
      <c r="J952" t="s">
        <v>3318</v>
      </c>
      <c r="K952">
        <v>17.5</v>
      </c>
      <c r="L952">
        <v>0.6</v>
      </c>
      <c r="M952" t="s">
        <v>71</v>
      </c>
      <c r="O952" t="s">
        <v>72</v>
      </c>
      <c r="P952" t="s">
        <v>3314</v>
      </c>
      <c r="R952">
        <v>9</v>
      </c>
      <c r="S952">
        <v>60</v>
      </c>
      <c r="T952">
        <v>69</v>
      </c>
      <c r="U952">
        <v>69</v>
      </c>
      <c r="V952">
        <v>91</v>
      </c>
      <c r="W952">
        <v>81</v>
      </c>
      <c r="X952">
        <v>50</v>
      </c>
      <c r="Y952">
        <f t="shared" si="420"/>
        <v>167</v>
      </c>
      <c r="Z952">
        <f t="shared" si="421"/>
        <v>167</v>
      </c>
      <c r="AA952">
        <f t="shared" si="422"/>
        <v>135</v>
      </c>
      <c r="AB952">
        <f t="shared" si="423"/>
        <v>135</v>
      </c>
      <c r="AC952">
        <f t="shared" si="424"/>
        <v>120</v>
      </c>
      <c r="AD952">
        <f t="shared" si="425"/>
        <v>133</v>
      </c>
      <c r="AE952">
        <f t="shared" si="426"/>
        <v>121</v>
      </c>
      <c r="AF952">
        <f t="shared" si="427"/>
        <v>89</v>
      </c>
      <c r="AG952">
        <f t="shared" si="428"/>
        <v>80</v>
      </c>
      <c r="AH952">
        <f t="shared" si="429"/>
        <v>66</v>
      </c>
      <c r="AI952">
        <f t="shared" si="430"/>
        <v>133</v>
      </c>
      <c r="AJ952">
        <f t="shared" si="431"/>
        <v>121</v>
      </c>
      <c r="AK952">
        <f t="shared" si="432"/>
        <v>89</v>
      </c>
      <c r="AL952">
        <f t="shared" si="433"/>
        <v>80</v>
      </c>
      <c r="AM952">
        <f t="shared" si="434"/>
        <v>66</v>
      </c>
      <c r="AN952">
        <f t="shared" si="435"/>
        <v>157</v>
      </c>
      <c r="AO952">
        <f t="shared" si="436"/>
        <v>143</v>
      </c>
      <c r="AP952">
        <f t="shared" si="437"/>
        <v>111</v>
      </c>
      <c r="AQ952">
        <f t="shared" si="438"/>
        <v>99</v>
      </c>
      <c r="AR952">
        <f t="shared" si="439"/>
        <v>86</v>
      </c>
      <c r="AS952">
        <f t="shared" si="440"/>
        <v>146</v>
      </c>
      <c r="AT952">
        <f t="shared" si="441"/>
        <v>133</v>
      </c>
      <c r="AU952">
        <f t="shared" si="442"/>
        <v>101</v>
      </c>
      <c r="AV952">
        <f t="shared" si="443"/>
        <v>90</v>
      </c>
      <c r="AW952">
        <f t="shared" si="444"/>
        <v>77</v>
      </c>
      <c r="AX952">
        <f t="shared" si="445"/>
        <v>112</v>
      </c>
      <c r="AY952">
        <f t="shared" si="446"/>
        <v>102</v>
      </c>
      <c r="AZ952">
        <f t="shared" si="447"/>
        <v>70</v>
      </c>
      <c r="BA952">
        <f t="shared" si="448"/>
        <v>63</v>
      </c>
      <c r="BB952">
        <f t="shared" si="449"/>
        <v>49</v>
      </c>
    </row>
    <row r="953" spans="1:54" x14ac:dyDescent="0.15">
      <c r="A953">
        <v>684</v>
      </c>
      <c r="B953" t="s">
        <v>3319</v>
      </c>
      <c r="C953">
        <v>730</v>
      </c>
      <c r="D953">
        <v>0</v>
      </c>
      <c r="E953" t="s">
        <v>3320</v>
      </c>
      <c r="G953" t="s">
        <v>3320</v>
      </c>
      <c r="H953" t="s">
        <v>3321</v>
      </c>
      <c r="J953" t="s">
        <v>3322</v>
      </c>
      <c r="K953">
        <v>44</v>
      </c>
      <c r="L953">
        <v>1.8</v>
      </c>
      <c r="M953" t="s">
        <v>71</v>
      </c>
      <c r="N953" t="s">
        <v>233</v>
      </c>
      <c r="O953" t="s">
        <v>72</v>
      </c>
      <c r="P953" t="s">
        <v>3314</v>
      </c>
      <c r="R953">
        <v>9</v>
      </c>
      <c r="S953">
        <v>80</v>
      </c>
      <c r="T953">
        <v>74</v>
      </c>
      <c r="U953">
        <v>74</v>
      </c>
      <c r="V953">
        <v>126</v>
      </c>
      <c r="W953">
        <v>116</v>
      </c>
      <c r="X953">
        <v>60</v>
      </c>
      <c r="Y953">
        <f t="shared" si="420"/>
        <v>187</v>
      </c>
      <c r="Z953">
        <f t="shared" si="421"/>
        <v>187</v>
      </c>
      <c r="AA953">
        <f t="shared" si="422"/>
        <v>155</v>
      </c>
      <c r="AB953">
        <f t="shared" si="423"/>
        <v>155</v>
      </c>
      <c r="AC953">
        <f t="shared" si="424"/>
        <v>140</v>
      </c>
      <c r="AD953">
        <f t="shared" si="425"/>
        <v>138</v>
      </c>
      <c r="AE953">
        <f t="shared" si="426"/>
        <v>126</v>
      </c>
      <c r="AF953">
        <f t="shared" si="427"/>
        <v>94</v>
      </c>
      <c r="AG953">
        <f t="shared" si="428"/>
        <v>84</v>
      </c>
      <c r="AH953">
        <f t="shared" si="429"/>
        <v>71</v>
      </c>
      <c r="AI953">
        <f t="shared" si="430"/>
        <v>138</v>
      </c>
      <c r="AJ953">
        <f t="shared" si="431"/>
        <v>126</v>
      </c>
      <c r="AK953">
        <f t="shared" si="432"/>
        <v>94</v>
      </c>
      <c r="AL953">
        <f t="shared" si="433"/>
        <v>84</v>
      </c>
      <c r="AM953">
        <f t="shared" si="434"/>
        <v>71</v>
      </c>
      <c r="AN953">
        <f t="shared" si="435"/>
        <v>195</v>
      </c>
      <c r="AO953">
        <f t="shared" si="436"/>
        <v>178</v>
      </c>
      <c r="AP953">
        <f t="shared" si="437"/>
        <v>146</v>
      </c>
      <c r="AQ953">
        <f t="shared" si="438"/>
        <v>131</v>
      </c>
      <c r="AR953">
        <f t="shared" si="439"/>
        <v>117</v>
      </c>
      <c r="AS953">
        <f t="shared" si="440"/>
        <v>184</v>
      </c>
      <c r="AT953">
        <f t="shared" si="441"/>
        <v>168</v>
      </c>
      <c r="AU953">
        <f t="shared" si="442"/>
        <v>136</v>
      </c>
      <c r="AV953">
        <f t="shared" si="443"/>
        <v>122</v>
      </c>
      <c r="AW953">
        <f t="shared" si="444"/>
        <v>108</v>
      </c>
      <c r="AX953">
        <f t="shared" si="445"/>
        <v>123</v>
      </c>
      <c r="AY953">
        <f t="shared" si="446"/>
        <v>112</v>
      </c>
      <c r="AZ953">
        <f t="shared" si="447"/>
        <v>80</v>
      </c>
      <c r="BA953">
        <f t="shared" si="448"/>
        <v>72</v>
      </c>
      <c r="BB953">
        <f t="shared" si="449"/>
        <v>58</v>
      </c>
    </row>
    <row r="954" spans="1:54" x14ac:dyDescent="0.15">
      <c r="A954">
        <v>633</v>
      </c>
      <c r="B954" t="s">
        <v>3323</v>
      </c>
      <c r="C954">
        <v>731</v>
      </c>
      <c r="D954">
        <v>0</v>
      </c>
      <c r="E954" t="s">
        <v>3324</v>
      </c>
      <c r="G954" t="s">
        <v>3324</v>
      </c>
      <c r="H954" t="s">
        <v>3325</v>
      </c>
      <c r="J954" t="s">
        <v>3326</v>
      </c>
      <c r="K954">
        <v>1.2</v>
      </c>
      <c r="L954">
        <v>0.3</v>
      </c>
      <c r="M954" t="s">
        <v>120</v>
      </c>
      <c r="N954" t="s">
        <v>57</v>
      </c>
      <c r="O954" t="s">
        <v>121</v>
      </c>
      <c r="P954" t="s">
        <v>537</v>
      </c>
      <c r="Q954" t="s">
        <v>321</v>
      </c>
      <c r="R954">
        <v>9</v>
      </c>
      <c r="S954">
        <v>35</v>
      </c>
      <c r="T954">
        <v>75</v>
      </c>
      <c r="U954">
        <v>30</v>
      </c>
      <c r="V954">
        <v>30</v>
      </c>
      <c r="W954">
        <v>30</v>
      </c>
      <c r="X954">
        <v>65</v>
      </c>
      <c r="Y954">
        <f t="shared" si="420"/>
        <v>142</v>
      </c>
      <c r="Z954">
        <f t="shared" si="421"/>
        <v>142</v>
      </c>
      <c r="AA954">
        <f t="shared" si="422"/>
        <v>110</v>
      </c>
      <c r="AB954">
        <f t="shared" si="423"/>
        <v>110</v>
      </c>
      <c r="AC954">
        <f t="shared" si="424"/>
        <v>95</v>
      </c>
      <c r="AD954">
        <f t="shared" si="425"/>
        <v>139</v>
      </c>
      <c r="AE954">
        <f t="shared" si="426"/>
        <v>127</v>
      </c>
      <c r="AF954">
        <f t="shared" si="427"/>
        <v>95</v>
      </c>
      <c r="AG954">
        <f t="shared" si="428"/>
        <v>85</v>
      </c>
      <c r="AH954">
        <f t="shared" si="429"/>
        <v>72</v>
      </c>
      <c r="AI954">
        <f t="shared" si="430"/>
        <v>90</v>
      </c>
      <c r="AJ954">
        <f t="shared" si="431"/>
        <v>82</v>
      </c>
      <c r="AK954">
        <f t="shared" si="432"/>
        <v>50</v>
      </c>
      <c r="AL954">
        <f t="shared" si="433"/>
        <v>45</v>
      </c>
      <c r="AM954">
        <f t="shared" si="434"/>
        <v>31</v>
      </c>
      <c r="AN954">
        <f t="shared" si="435"/>
        <v>90</v>
      </c>
      <c r="AO954">
        <f t="shared" si="436"/>
        <v>82</v>
      </c>
      <c r="AP954">
        <f t="shared" si="437"/>
        <v>50</v>
      </c>
      <c r="AQ954">
        <f t="shared" si="438"/>
        <v>45</v>
      </c>
      <c r="AR954">
        <f t="shared" si="439"/>
        <v>31</v>
      </c>
      <c r="AS954">
        <f t="shared" si="440"/>
        <v>90</v>
      </c>
      <c r="AT954">
        <f t="shared" si="441"/>
        <v>82</v>
      </c>
      <c r="AU954">
        <f t="shared" si="442"/>
        <v>50</v>
      </c>
      <c r="AV954">
        <f t="shared" si="443"/>
        <v>45</v>
      </c>
      <c r="AW954">
        <f t="shared" si="444"/>
        <v>31</v>
      </c>
      <c r="AX954">
        <f t="shared" si="445"/>
        <v>128</v>
      </c>
      <c r="AY954">
        <f t="shared" si="446"/>
        <v>117</v>
      </c>
      <c r="AZ954">
        <f t="shared" si="447"/>
        <v>85</v>
      </c>
      <c r="BA954">
        <f t="shared" si="448"/>
        <v>76</v>
      </c>
      <c r="BB954">
        <f t="shared" si="449"/>
        <v>63</v>
      </c>
    </row>
    <row r="955" spans="1:54" x14ac:dyDescent="0.15">
      <c r="A955">
        <v>634</v>
      </c>
      <c r="B955" t="s">
        <v>3327</v>
      </c>
      <c r="C955">
        <v>732</v>
      </c>
      <c r="D955">
        <v>0</v>
      </c>
      <c r="E955" t="s">
        <v>3328</v>
      </c>
      <c r="G955" t="s">
        <v>3328</v>
      </c>
      <c r="H955" t="s">
        <v>3329</v>
      </c>
      <c r="J955" t="s">
        <v>3330</v>
      </c>
      <c r="K955">
        <v>14.8</v>
      </c>
      <c r="L955">
        <v>0.6</v>
      </c>
      <c r="M955" t="s">
        <v>120</v>
      </c>
      <c r="N955" t="s">
        <v>57</v>
      </c>
      <c r="O955" t="s">
        <v>121</v>
      </c>
      <c r="P955" t="s">
        <v>537</v>
      </c>
      <c r="Q955" t="s">
        <v>321</v>
      </c>
      <c r="R955">
        <v>9</v>
      </c>
      <c r="S955">
        <v>55</v>
      </c>
      <c r="T955">
        <v>85</v>
      </c>
      <c r="U955">
        <v>50</v>
      </c>
      <c r="V955">
        <v>40</v>
      </c>
      <c r="W955">
        <v>50</v>
      </c>
      <c r="X955">
        <v>75</v>
      </c>
      <c r="Y955">
        <f t="shared" si="420"/>
        <v>162</v>
      </c>
      <c r="Z955">
        <f t="shared" si="421"/>
        <v>162</v>
      </c>
      <c r="AA955">
        <f t="shared" si="422"/>
        <v>130</v>
      </c>
      <c r="AB955">
        <f t="shared" si="423"/>
        <v>130</v>
      </c>
      <c r="AC955">
        <f t="shared" si="424"/>
        <v>115</v>
      </c>
      <c r="AD955">
        <f t="shared" si="425"/>
        <v>150</v>
      </c>
      <c r="AE955">
        <f t="shared" si="426"/>
        <v>137</v>
      </c>
      <c r="AF955">
        <f t="shared" si="427"/>
        <v>105</v>
      </c>
      <c r="AG955">
        <f t="shared" si="428"/>
        <v>94</v>
      </c>
      <c r="AH955">
        <f t="shared" si="429"/>
        <v>81</v>
      </c>
      <c r="AI955">
        <f t="shared" si="430"/>
        <v>112</v>
      </c>
      <c r="AJ955">
        <f t="shared" si="431"/>
        <v>102</v>
      </c>
      <c r="AK955">
        <f t="shared" si="432"/>
        <v>70</v>
      </c>
      <c r="AL955">
        <f t="shared" si="433"/>
        <v>63</v>
      </c>
      <c r="AM955">
        <f t="shared" si="434"/>
        <v>49</v>
      </c>
      <c r="AN955">
        <f t="shared" si="435"/>
        <v>101</v>
      </c>
      <c r="AO955">
        <f t="shared" si="436"/>
        <v>92</v>
      </c>
      <c r="AP955">
        <f t="shared" si="437"/>
        <v>60</v>
      </c>
      <c r="AQ955">
        <f t="shared" si="438"/>
        <v>54</v>
      </c>
      <c r="AR955">
        <f t="shared" si="439"/>
        <v>40</v>
      </c>
      <c r="AS955">
        <f t="shared" si="440"/>
        <v>112</v>
      </c>
      <c r="AT955">
        <f t="shared" si="441"/>
        <v>102</v>
      </c>
      <c r="AU955">
        <f t="shared" si="442"/>
        <v>70</v>
      </c>
      <c r="AV955">
        <f t="shared" si="443"/>
        <v>63</v>
      </c>
      <c r="AW955">
        <f t="shared" si="444"/>
        <v>49</v>
      </c>
      <c r="AX955">
        <f t="shared" si="445"/>
        <v>139</v>
      </c>
      <c r="AY955">
        <f t="shared" si="446"/>
        <v>127</v>
      </c>
      <c r="AZ955">
        <f t="shared" si="447"/>
        <v>95</v>
      </c>
      <c r="BA955">
        <f t="shared" si="448"/>
        <v>85</v>
      </c>
      <c r="BB955">
        <f t="shared" si="449"/>
        <v>72</v>
      </c>
    </row>
    <row r="956" spans="1:54" x14ac:dyDescent="0.15">
      <c r="A956">
        <v>635</v>
      </c>
      <c r="B956" t="s">
        <v>3331</v>
      </c>
      <c r="C956">
        <v>733</v>
      </c>
      <c r="D956">
        <v>0</v>
      </c>
      <c r="E956" t="s">
        <v>3332</v>
      </c>
      <c r="G956" t="s">
        <v>3332</v>
      </c>
      <c r="H956" t="s">
        <v>3333</v>
      </c>
      <c r="J956" t="s">
        <v>3334</v>
      </c>
      <c r="K956">
        <v>26</v>
      </c>
      <c r="L956">
        <v>1.1000000000000001</v>
      </c>
      <c r="M956" t="s">
        <v>120</v>
      </c>
      <c r="N956" t="s">
        <v>57</v>
      </c>
      <c r="O956" t="s">
        <v>121</v>
      </c>
      <c r="P956" t="s">
        <v>537</v>
      </c>
      <c r="Q956" t="s">
        <v>222</v>
      </c>
      <c r="R956">
        <v>9</v>
      </c>
      <c r="S956">
        <v>80</v>
      </c>
      <c r="T956">
        <v>120</v>
      </c>
      <c r="U956">
        <v>75</v>
      </c>
      <c r="V956">
        <v>75</v>
      </c>
      <c r="W956">
        <v>75</v>
      </c>
      <c r="X956">
        <v>60</v>
      </c>
      <c r="Y956">
        <f t="shared" si="420"/>
        <v>187</v>
      </c>
      <c r="Z956">
        <f t="shared" si="421"/>
        <v>187</v>
      </c>
      <c r="AA956">
        <f t="shared" si="422"/>
        <v>155</v>
      </c>
      <c r="AB956">
        <f t="shared" si="423"/>
        <v>155</v>
      </c>
      <c r="AC956">
        <f t="shared" si="424"/>
        <v>140</v>
      </c>
      <c r="AD956">
        <f t="shared" si="425"/>
        <v>189</v>
      </c>
      <c r="AE956">
        <f t="shared" si="426"/>
        <v>172</v>
      </c>
      <c r="AF956">
        <f t="shared" si="427"/>
        <v>140</v>
      </c>
      <c r="AG956">
        <f t="shared" si="428"/>
        <v>126</v>
      </c>
      <c r="AH956">
        <f t="shared" si="429"/>
        <v>112</v>
      </c>
      <c r="AI956">
        <f t="shared" si="430"/>
        <v>139</v>
      </c>
      <c r="AJ956">
        <f t="shared" si="431"/>
        <v>127</v>
      </c>
      <c r="AK956">
        <f t="shared" si="432"/>
        <v>95</v>
      </c>
      <c r="AL956">
        <f t="shared" si="433"/>
        <v>85</v>
      </c>
      <c r="AM956">
        <f t="shared" si="434"/>
        <v>72</v>
      </c>
      <c r="AN956">
        <f t="shared" si="435"/>
        <v>139</v>
      </c>
      <c r="AO956">
        <f t="shared" si="436"/>
        <v>127</v>
      </c>
      <c r="AP956">
        <f t="shared" si="437"/>
        <v>95</v>
      </c>
      <c r="AQ956">
        <f t="shared" si="438"/>
        <v>85</v>
      </c>
      <c r="AR956">
        <f t="shared" si="439"/>
        <v>72</v>
      </c>
      <c r="AS956">
        <f t="shared" si="440"/>
        <v>139</v>
      </c>
      <c r="AT956">
        <f t="shared" si="441"/>
        <v>127</v>
      </c>
      <c r="AU956">
        <f t="shared" si="442"/>
        <v>95</v>
      </c>
      <c r="AV956">
        <f t="shared" si="443"/>
        <v>85</v>
      </c>
      <c r="AW956">
        <f t="shared" si="444"/>
        <v>72</v>
      </c>
      <c r="AX956">
        <f t="shared" si="445"/>
        <v>123</v>
      </c>
      <c r="AY956">
        <f t="shared" si="446"/>
        <v>112</v>
      </c>
      <c r="AZ956">
        <f t="shared" si="447"/>
        <v>80</v>
      </c>
      <c r="BA956">
        <f t="shared" si="448"/>
        <v>72</v>
      </c>
      <c r="BB956">
        <f t="shared" si="449"/>
        <v>58</v>
      </c>
    </row>
    <row r="957" spans="1:54" x14ac:dyDescent="0.15">
      <c r="A957">
        <v>661</v>
      </c>
      <c r="B957" t="s">
        <v>3335</v>
      </c>
      <c r="C957">
        <v>734</v>
      </c>
      <c r="D957">
        <v>0</v>
      </c>
      <c r="E957" t="s">
        <v>3336</v>
      </c>
      <c r="G957" t="s">
        <v>3336</v>
      </c>
      <c r="H957" t="s">
        <v>3337</v>
      </c>
      <c r="J957" t="s">
        <v>3338</v>
      </c>
      <c r="K957">
        <v>6</v>
      </c>
      <c r="L957">
        <v>0.4</v>
      </c>
      <c r="M957" t="s">
        <v>120</v>
      </c>
      <c r="O957" t="s">
        <v>3339</v>
      </c>
      <c r="P957" t="s">
        <v>1513</v>
      </c>
      <c r="Q957" t="s">
        <v>116</v>
      </c>
      <c r="R957">
        <v>9</v>
      </c>
      <c r="S957">
        <v>48</v>
      </c>
      <c r="T957">
        <v>70</v>
      </c>
      <c r="U957">
        <v>30</v>
      </c>
      <c r="V957">
        <v>30</v>
      </c>
      <c r="W957">
        <v>30</v>
      </c>
      <c r="X957">
        <v>45</v>
      </c>
      <c r="Y957">
        <f t="shared" si="420"/>
        <v>155</v>
      </c>
      <c r="Z957">
        <f t="shared" si="421"/>
        <v>155</v>
      </c>
      <c r="AA957">
        <f t="shared" si="422"/>
        <v>123</v>
      </c>
      <c r="AB957">
        <f t="shared" si="423"/>
        <v>123</v>
      </c>
      <c r="AC957">
        <f t="shared" si="424"/>
        <v>108</v>
      </c>
      <c r="AD957">
        <f t="shared" si="425"/>
        <v>134</v>
      </c>
      <c r="AE957">
        <f t="shared" si="426"/>
        <v>122</v>
      </c>
      <c r="AF957">
        <f t="shared" si="427"/>
        <v>90</v>
      </c>
      <c r="AG957">
        <f t="shared" si="428"/>
        <v>81</v>
      </c>
      <c r="AH957">
        <f t="shared" si="429"/>
        <v>67</v>
      </c>
      <c r="AI957">
        <f t="shared" si="430"/>
        <v>90</v>
      </c>
      <c r="AJ957">
        <f t="shared" si="431"/>
        <v>82</v>
      </c>
      <c r="AK957">
        <f t="shared" si="432"/>
        <v>50</v>
      </c>
      <c r="AL957">
        <f t="shared" si="433"/>
        <v>45</v>
      </c>
      <c r="AM957">
        <f t="shared" si="434"/>
        <v>31</v>
      </c>
      <c r="AN957">
        <f t="shared" si="435"/>
        <v>90</v>
      </c>
      <c r="AO957">
        <f t="shared" si="436"/>
        <v>82</v>
      </c>
      <c r="AP957">
        <f t="shared" si="437"/>
        <v>50</v>
      </c>
      <c r="AQ957">
        <f t="shared" si="438"/>
        <v>45</v>
      </c>
      <c r="AR957">
        <f t="shared" si="439"/>
        <v>31</v>
      </c>
      <c r="AS957">
        <f t="shared" si="440"/>
        <v>90</v>
      </c>
      <c r="AT957">
        <f t="shared" si="441"/>
        <v>82</v>
      </c>
      <c r="AU957">
        <f t="shared" si="442"/>
        <v>50</v>
      </c>
      <c r="AV957">
        <f t="shared" si="443"/>
        <v>45</v>
      </c>
      <c r="AW957">
        <f t="shared" si="444"/>
        <v>31</v>
      </c>
      <c r="AX957">
        <f t="shared" si="445"/>
        <v>106</v>
      </c>
      <c r="AY957">
        <f t="shared" si="446"/>
        <v>97</v>
      </c>
      <c r="AZ957">
        <f t="shared" si="447"/>
        <v>65</v>
      </c>
      <c r="BA957">
        <f t="shared" si="448"/>
        <v>58</v>
      </c>
      <c r="BB957">
        <f t="shared" si="449"/>
        <v>45</v>
      </c>
    </row>
    <row r="958" spans="1:54" x14ac:dyDescent="0.15">
      <c r="A958">
        <v>662</v>
      </c>
      <c r="B958" t="s">
        <v>3340</v>
      </c>
      <c r="C958">
        <v>735</v>
      </c>
      <c r="D958">
        <v>0</v>
      </c>
      <c r="E958" t="s">
        <v>3341</v>
      </c>
      <c r="G958" t="s">
        <v>3341</v>
      </c>
      <c r="H958" t="s">
        <v>3342</v>
      </c>
      <c r="J958" t="s">
        <v>3343</v>
      </c>
      <c r="K958">
        <v>14.2</v>
      </c>
      <c r="L958">
        <v>0.7</v>
      </c>
      <c r="M958" t="s">
        <v>120</v>
      </c>
      <c r="O958" t="s">
        <v>3339</v>
      </c>
      <c r="P958" t="s">
        <v>1513</v>
      </c>
      <c r="Q958" t="s">
        <v>116</v>
      </c>
      <c r="R958">
        <v>9</v>
      </c>
      <c r="S958">
        <v>88</v>
      </c>
      <c r="T958">
        <v>110</v>
      </c>
      <c r="U958">
        <v>60</v>
      </c>
      <c r="V958">
        <v>55</v>
      </c>
      <c r="W958">
        <v>60</v>
      </c>
      <c r="X958">
        <v>45</v>
      </c>
      <c r="Y958">
        <f t="shared" si="420"/>
        <v>195</v>
      </c>
      <c r="Z958">
        <f t="shared" si="421"/>
        <v>195</v>
      </c>
      <c r="AA958">
        <f t="shared" si="422"/>
        <v>163</v>
      </c>
      <c r="AB958">
        <f t="shared" si="423"/>
        <v>163</v>
      </c>
      <c r="AC958">
        <f t="shared" si="424"/>
        <v>148</v>
      </c>
      <c r="AD958">
        <f t="shared" si="425"/>
        <v>178</v>
      </c>
      <c r="AE958">
        <f t="shared" si="426"/>
        <v>162</v>
      </c>
      <c r="AF958">
        <f t="shared" si="427"/>
        <v>130</v>
      </c>
      <c r="AG958">
        <f t="shared" si="428"/>
        <v>117</v>
      </c>
      <c r="AH958">
        <f t="shared" si="429"/>
        <v>103</v>
      </c>
      <c r="AI958">
        <f t="shared" si="430"/>
        <v>123</v>
      </c>
      <c r="AJ958">
        <f t="shared" si="431"/>
        <v>112</v>
      </c>
      <c r="AK958">
        <f t="shared" si="432"/>
        <v>80</v>
      </c>
      <c r="AL958">
        <f t="shared" si="433"/>
        <v>72</v>
      </c>
      <c r="AM958">
        <f t="shared" si="434"/>
        <v>58</v>
      </c>
      <c r="AN958">
        <f t="shared" si="435"/>
        <v>117</v>
      </c>
      <c r="AO958">
        <f t="shared" si="436"/>
        <v>107</v>
      </c>
      <c r="AP958">
        <f t="shared" si="437"/>
        <v>75</v>
      </c>
      <c r="AQ958">
        <f t="shared" si="438"/>
        <v>67</v>
      </c>
      <c r="AR958">
        <f t="shared" si="439"/>
        <v>54</v>
      </c>
      <c r="AS958">
        <f t="shared" si="440"/>
        <v>123</v>
      </c>
      <c r="AT958">
        <f t="shared" si="441"/>
        <v>112</v>
      </c>
      <c r="AU958">
        <f t="shared" si="442"/>
        <v>80</v>
      </c>
      <c r="AV958">
        <f t="shared" si="443"/>
        <v>72</v>
      </c>
      <c r="AW958">
        <f t="shared" si="444"/>
        <v>58</v>
      </c>
      <c r="AX958">
        <f t="shared" si="445"/>
        <v>106</v>
      </c>
      <c r="AY958">
        <f t="shared" si="446"/>
        <v>97</v>
      </c>
      <c r="AZ958">
        <f t="shared" si="447"/>
        <v>65</v>
      </c>
      <c r="BA958">
        <f t="shared" si="448"/>
        <v>58</v>
      </c>
      <c r="BB958">
        <f t="shared" si="449"/>
        <v>45</v>
      </c>
    </row>
    <row r="959" spans="1:54" x14ac:dyDescent="0.15">
      <c r="A959">
        <v>670</v>
      </c>
      <c r="B959" t="s">
        <v>3344</v>
      </c>
      <c r="C959">
        <v>736</v>
      </c>
      <c r="D959">
        <v>0</v>
      </c>
      <c r="E959" t="s">
        <v>3345</v>
      </c>
      <c r="G959" t="s">
        <v>3345</v>
      </c>
      <c r="H959" t="s">
        <v>3346</v>
      </c>
      <c r="J959" t="s">
        <v>3347</v>
      </c>
      <c r="K959">
        <v>4.4000000000000004</v>
      </c>
      <c r="L959">
        <v>0.4</v>
      </c>
      <c r="M959" t="s">
        <v>90</v>
      </c>
      <c r="O959" t="s">
        <v>112</v>
      </c>
      <c r="R959">
        <v>9</v>
      </c>
      <c r="S959">
        <v>47</v>
      </c>
      <c r="T959">
        <v>62</v>
      </c>
      <c r="U959">
        <v>45</v>
      </c>
      <c r="V959">
        <v>55</v>
      </c>
      <c r="W959">
        <v>45</v>
      </c>
      <c r="X959">
        <v>46</v>
      </c>
      <c r="Y959">
        <f t="shared" si="420"/>
        <v>154</v>
      </c>
      <c r="Z959">
        <f t="shared" si="421"/>
        <v>154</v>
      </c>
      <c r="AA959">
        <f t="shared" si="422"/>
        <v>122</v>
      </c>
      <c r="AB959">
        <f t="shared" si="423"/>
        <v>122</v>
      </c>
      <c r="AC959">
        <f t="shared" si="424"/>
        <v>107</v>
      </c>
      <c r="AD959">
        <f t="shared" si="425"/>
        <v>125</v>
      </c>
      <c r="AE959">
        <f t="shared" si="426"/>
        <v>114</v>
      </c>
      <c r="AF959">
        <f t="shared" si="427"/>
        <v>82</v>
      </c>
      <c r="AG959">
        <f t="shared" si="428"/>
        <v>73</v>
      </c>
      <c r="AH959">
        <f t="shared" si="429"/>
        <v>60</v>
      </c>
      <c r="AI959">
        <f t="shared" si="430"/>
        <v>106</v>
      </c>
      <c r="AJ959">
        <f t="shared" si="431"/>
        <v>97</v>
      </c>
      <c r="AK959">
        <f t="shared" si="432"/>
        <v>65</v>
      </c>
      <c r="AL959">
        <f t="shared" si="433"/>
        <v>58</v>
      </c>
      <c r="AM959">
        <f t="shared" si="434"/>
        <v>45</v>
      </c>
      <c r="AN959">
        <f t="shared" si="435"/>
        <v>117</v>
      </c>
      <c r="AO959">
        <f t="shared" si="436"/>
        <v>107</v>
      </c>
      <c r="AP959">
        <f t="shared" si="437"/>
        <v>75</v>
      </c>
      <c r="AQ959">
        <f t="shared" si="438"/>
        <v>67</v>
      </c>
      <c r="AR959">
        <f t="shared" si="439"/>
        <v>54</v>
      </c>
      <c r="AS959">
        <f t="shared" si="440"/>
        <v>106</v>
      </c>
      <c r="AT959">
        <f t="shared" si="441"/>
        <v>97</v>
      </c>
      <c r="AU959">
        <f t="shared" si="442"/>
        <v>65</v>
      </c>
      <c r="AV959">
        <f t="shared" si="443"/>
        <v>58</v>
      </c>
      <c r="AW959">
        <f t="shared" si="444"/>
        <v>45</v>
      </c>
      <c r="AX959">
        <f t="shared" si="445"/>
        <v>107</v>
      </c>
      <c r="AY959">
        <f t="shared" si="446"/>
        <v>98</v>
      </c>
      <c r="AZ959">
        <f t="shared" si="447"/>
        <v>66</v>
      </c>
      <c r="BA959">
        <f t="shared" si="448"/>
        <v>59</v>
      </c>
      <c r="BB959">
        <f t="shared" si="449"/>
        <v>45</v>
      </c>
    </row>
    <row r="960" spans="1:54" x14ac:dyDescent="0.15">
      <c r="A960">
        <v>671</v>
      </c>
      <c r="B960" t="s">
        <v>3348</v>
      </c>
      <c r="C960">
        <v>737</v>
      </c>
      <c r="D960">
        <v>0</v>
      </c>
      <c r="E960" t="s">
        <v>3349</v>
      </c>
      <c r="G960" t="s">
        <v>3349</v>
      </c>
      <c r="H960" t="s">
        <v>3350</v>
      </c>
      <c r="J960" t="s">
        <v>3351</v>
      </c>
      <c r="K960">
        <v>10.5</v>
      </c>
      <c r="L960">
        <v>0.5</v>
      </c>
      <c r="M960" t="s">
        <v>90</v>
      </c>
      <c r="N960" t="s">
        <v>164</v>
      </c>
      <c r="O960" t="s">
        <v>3352</v>
      </c>
      <c r="R960">
        <v>9</v>
      </c>
      <c r="S960">
        <v>57</v>
      </c>
      <c r="T960">
        <v>82</v>
      </c>
      <c r="U960">
        <v>95</v>
      </c>
      <c r="V960">
        <v>55</v>
      </c>
      <c r="W960">
        <v>75</v>
      </c>
      <c r="X960">
        <v>36</v>
      </c>
      <c r="Y960">
        <f t="shared" si="420"/>
        <v>164</v>
      </c>
      <c r="Z960">
        <f t="shared" si="421"/>
        <v>164</v>
      </c>
      <c r="AA960">
        <f t="shared" si="422"/>
        <v>132</v>
      </c>
      <c r="AB960">
        <f t="shared" si="423"/>
        <v>132</v>
      </c>
      <c r="AC960">
        <f t="shared" si="424"/>
        <v>117</v>
      </c>
      <c r="AD960">
        <f t="shared" si="425"/>
        <v>147</v>
      </c>
      <c r="AE960">
        <f t="shared" si="426"/>
        <v>134</v>
      </c>
      <c r="AF960">
        <f t="shared" si="427"/>
        <v>102</v>
      </c>
      <c r="AG960">
        <f t="shared" si="428"/>
        <v>91</v>
      </c>
      <c r="AH960">
        <f t="shared" si="429"/>
        <v>78</v>
      </c>
      <c r="AI960">
        <f t="shared" si="430"/>
        <v>161</v>
      </c>
      <c r="AJ960">
        <f t="shared" si="431"/>
        <v>147</v>
      </c>
      <c r="AK960">
        <f t="shared" si="432"/>
        <v>115</v>
      </c>
      <c r="AL960">
        <f t="shared" si="433"/>
        <v>103</v>
      </c>
      <c r="AM960">
        <f t="shared" si="434"/>
        <v>90</v>
      </c>
      <c r="AN960">
        <f t="shared" si="435"/>
        <v>117</v>
      </c>
      <c r="AO960">
        <f t="shared" si="436"/>
        <v>107</v>
      </c>
      <c r="AP960">
        <f t="shared" si="437"/>
        <v>75</v>
      </c>
      <c r="AQ960">
        <f t="shared" si="438"/>
        <v>67</v>
      </c>
      <c r="AR960">
        <f t="shared" si="439"/>
        <v>54</v>
      </c>
      <c r="AS960">
        <f t="shared" si="440"/>
        <v>139</v>
      </c>
      <c r="AT960">
        <f t="shared" si="441"/>
        <v>127</v>
      </c>
      <c r="AU960">
        <f t="shared" si="442"/>
        <v>95</v>
      </c>
      <c r="AV960">
        <f t="shared" si="443"/>
        <v>85</v>
      </c>
      <c r="AW960">
        <f t="shared" si="444"/>
        <v>72</v>
      </c>
      <c r="AX960">
        <f t="shared" si="445"/>
        <v>96</v>
      </c>
      <c r="AY960">
        <f t="shared" si="446"/>
        <v>88</v>
      </c>
      <c r="AZ960">
        <f t="shared" si="447"/>
        <v>56</v>
      </c>
      <c r="BA960">
        <f t="shared" si="448"/>
        <v>50</v>
      </c>
      <c r="BB960">
        <f t="shared" si="449"/>
        <v>36</v>
      </c>
    </row>
    <row r="961" spans="1:54" x14ac:dyDescent="0.15">
      <c r="A961">
        <v>672</v>
      </c>
      <c r="B961" t="s">
        <v>3353</v>
      </c>
      <c r="C961">
        <v>738</v>
      </c>
      <c r="D961">
        <v>0</v>
      </c>
      <c r="E961" t="s">
        <v>3354</v>
      </c>
      <c r="G961" t="s">
        <v>3354</v>
      </c>
      <c r="H961" t="s">
        <v>3355</v>
      </c>
      <c r="J961" t="s">
        <v>712</v>
      </c>
      <c r="K961">
        <v>45</v>
      </c>
      <c r="L961">
        <v>1.5</v>
      </c>
      <c r="M961" t="s">
        <v>90</v>
      </c>
      <c r="N961" t="s">
        <v>164</v>
      </c>
      <c r="O961" t="s">
        <v>547</v>
      </c>
      <c r="R961">
        <v>9</v>
      </c>
      <c r="S961">
        <v>77</v>
      </c>
      <c r="T961">
        <v>70</v>
      </c>
      <c r="U961">
        <v>90</v>
      </c>
      <c r="V961">
        <v>145</v>
      </c>
      <c r="W961">
        <v>75</v>
      </c>
      <c r="X961">
        <v>43</v>
      </c>
      <c r="Y961">
        <f t="shared" si="420"/>
        <v>184</v>
      </c>
      <c r="Z961">
        <f t="shared" si="421"/>
        <v>184</v>
      </c>
      <c r="AA961">
        <f t="shared" si="422"/>
        <v>152</v>
      </c>
      <c r="AB961">
        <f t="shared" si="423"/>
        <v>152</v>
      </c>
      <c r="AC961">
        <f t="shared" si="424"/>
        <v>137</v>
      </c>
      <c r="AD961">
        <f t="shared" si="425"/>
        <v>134</v>
      </c>
      <c r="AE961">
        <f t="shared" si="426"/>
        <v>122</v>
      </c>
      <c r="AF961">
        <f t="shared" si="427"/>
        <v>90</v>
      </c>
      <c r="AG961">
        <f t="shared" si="428"/>
        <v>81</v>
      </c>
      <c r="AH961">
        <f t="shared" si="429"/>
        <v>67</v>
      </c>
      <c r="AI961">
        <f t="shared" si="430"/>
        <v>156</v>
      </c>
      <c r="AJ961">
        <f t="shared" si="431"/>
        <v>142</v>
      </c>
      <c r="AK961">
        <f t="shared" si="432"/>
        <v>110</v>
      </c>
      <c r="AL961">
        <f t="shared" si="433"/>
        <v>99</v>
      </c>
      <c r="AM961">
        <f t="shared" si="434"/>
        <v>85</v>
      </c>
      <c r="AN961">
        <f t="shared" si="435"/>
        <v>216</v>
      </c>
      <c r="AO961">
        <f t="shared" si="436"/>
        <v>197</v>
      </c>
      <c r="AP961">
        <f t="shared" si="437"/>
        <v>165</v>
      </c>
      <c r="AQ961">
        <f t="shared" si="438"/>
        <v>148</v>
      </c>
      <c r="AR961">
        <f t="shared" si="439"/>
        <v>135</v>
      </c>
      <c r="AS961">
        <f t="shared" si="440"/>
        <v>139</v>
      </c>
      <c r="AT961">
        <f t="shared" si="441"/>
        <v>127</v>
      </c>
      <c r="AU961">
        <f t="shared" si="442"/>
        <v>95</v>
      </c>
      <c r="AV961">
        <f t="shared" si="443"/>
        <v>85</v>
      </c>
      <c r="AW961">
        <f t="shared" si="444"/>
        <v>72</v>
      </c>
      <c r="AX961">
        <f t="shared" si="445"/>
        <v>104</v>
      </c>
      <c r="AY961">
        <f t="shared" si="446"/>
        <v>95</v>
      </c>
      <c r="AZ961">
        <f t="shared" si="447"/>
        <v>63</v>
      </c>
      <c r="BA961">
        <f t="shared" si="448"/>
        <v>56</v>
      </c>
      <c r="BB961">
        <f t="shared" si="449"/>
        <v>43</v>
      </c>
    </row>
    <row r="962" spans="1:54" x14ac:dyDescent="0.15">
      <c r="A962">
        <v>688</v>
      </c>
      <c r="B962" t="s">
        <v>3356</v>
      </c>
      <c r="C962">
        <v>739</v>
      </c>
      <c r="D962">
        <v>0</v>
      </c>
      <c r="E962" t="s">
        <v>3357</v>
      </c>
      <c r="G962" t="s">
        <v>3357</v>
      </c>
      <c r="H962" t="s">
        <v>3358</v>
      </c>
      <c r="J962" t="s">
        <v>3359</v>
      </c>
      <c r="K962">
        <v>7</v>
      </c>
      <c r="L962">
        <v>0.6</v>
      </c>
      <c r="M962" t="s">
        <v>354</v>
      </c>
      <c r="O962" t="s">
        <v>576</v>
      </c>
      <c r="P962" t="s">
        <v>629</v>
      </c>
      <c r="Q962" t="s">
        <v>356</v>
      </c>
      <c r="R962">
        <v>9</v>
      </c>
      <c r="S962">
        <v>47</v>
      </c>
      <c r="T962">
        <v>82</v>
      </c>
      <c r="U962">
        <v>57</v>
      </c>
      <c r="V962">
        <v>42</v>
      </c>
      <c r="W962">
        <v>47</v>
      </c>
      <c r="X962">
        <v>63</v>
      </c>
      <c r="Y962">
        <f t="shared" ref="Y962:Y1025" si="450">IF(S962="", "", S962+107)</f>
        <v>154</v>
      </c>
      <c r="Z962">
        <f t="shared" ref="Z962:Z1025" si="451">IF(S962="", "", S962+107)</f>
        <v>154</v>
      </c>
      <c r="AA962">
        <f t="shared" ref="AA962:AA1025" si="452">IF(S962="", "", INT(INT(S962*2 + 31)/2) + 60)</f>
        <v>122</v>
      </c>
      <c r="AB962">
        <f t="shared" ref="AB962:AB1025" si="453">IF(S962="", "", INT(INT(S962*2 + 31)/2) + 60)</f>
        <v>122</v>
      </c>
      <c r="AC962">
        <f t="shared" ref="AC962:AC1025" si="454">IF(S962="", "", S962 + 60)</f>
        <v>107</v>
      </c>
      <c r="AD962">
        <f t="shared" ref="AD962:AD1025" si="455">IF(T962="","",INT((T962+52)*1.1))</f>
        <v>147</v>
      </c>
      <c r="AE962">
        <f t="shared" ref="AE962:AE1025" si="456">IF(T962="","",T962+52)</f>
        <v>134</v>
      </c>
      <c r="AF962">
        <f t="shared" ref="AF962:AF1025" si="457">IF(T962="", "", INT((T962*2 + 31)/2) + 5)</f>
        <v>102</v>
      </c>
      <c r="AG962">
        <f t="shared" ref="AG962:AG1025" si="458">IF(T962="", "", INT((INT((T962*2 + 31)/2) + 5)*0.9) )</f>
        <v>91</v>
      </c>
      <c r="AH962">
        <f t="shared" ref="AH962:AH1025" si="459">IF(T962="", "", INT((T962 + 5) * 0.9))</f>
        <v>78</v>
      </c>
      <c r="AI962">
        <f t="shared" ref="AI962:AI1025" si="460">IF(U962="","",INT((U962+52)*1.1))</f>
        <v>119</v>
      </c>
      <c r="AJ962">
        <f t="shared" ref="AJ962:AJ1025" si="461">IF(U962="","",U962+52)</f>
        <v>109</v>
      </c>
      <c r="AK962">
        <f t="shared" ref="AK962:AK1025" si="462">IF(U962="", "", INT((U962*2 + 31)/2) + 5)</f>
        <v>77</v>
      </c>
      <c r="AL962">
        <f t="shared" ref="AL962:AL1025" si="463">IF(U962="", "", INT((INT((U962*2 + 31)/2) + 5)*0.9) )</f>
        <v>69</v>
      </c>
      <c r="AM962">
        <f t="shared" ref="AM962:AM1025" si="464">IF(U962="", "", INT((U962 + 5) * 0.9))</f>
        <v>55</v>
      </c>
      <c r="AN962">
        <f t="shared" ref="AN962:AN1025" si="465">IF(V962="","",INT((V962+52)*1.1))</f>
        <v>103</v>
      </c>
      <c r="AO962">
        <f t="shared" ref="AO962:AO1025" si="466">IF(V962="","",V962+52)</f>
        <v>94</v>
      </c>
      <c r="AP962">
        <f t="shared" ref="AP962:AP1025" si="467">IF(V962="", "", INT((V962*2 + 31)/2) + 5)</f>
        <v>62</v>
      </c>
      <c r="AQ962">
        <f t="shared" ref="AQ962:AQ1025" si="468">IF(V962="", "", INT((INT((V962*2 + 31)/2) + 5)*0.9) )</f>
        <v>55</v>
      </c>
      <c r="AR962">
        <f t="shared" ref="AR962:AR1025" si="469">IF(V962="", "", INT((V962 + 5) * 0.9))</f>
        <v>42</v>
      </c>
      <c r="AS962">
        <f t="shared" ref="AS962:AS1025" si="470">IF(W962="","",INT((W962+52)*1.1))</f>
        <v>108</v>
      </c>
      <c r="AT962">
        <f t="shared" ref="AT962:AT1025" si="471">IF(W962="","",W962+52)</f>
        <v>99</v>
      </c>
      <c r="AU962">
        <f t="shared" ref="AU962:AU1025" si="472">IF(W962="", "", INT((W962*2 + 31)/2) + 5)</f>
        <v>67</v>
      </c>
      <c r="AV962">
        <f t="shared" ref="AV962:AV1025" si="473">IF(W962="", "", INT((INT((W962*2 + 31)/2) + 5)*0.9) )</f>
        <v>60</v>
      </c>
      <c r="AW962">
        <f t="shared" ref="AW962:AW1025" si="474">IF(W962="", "", INT((W962 + 5) * 0.9))</f>
        <v>46</v>
      </c>
      <c r="AX962">
        <f t="shared" ref="AX962:AX1025" si="475">IF(X962="","",INT((X962+52)*1.1))</f>
        <v>126</v>
      </c>
      <c r="AY962">
        <f t="shared" ref="AY962:AY1025" si="476">IF(X962="","",X962+52)</f>
        <v>115</v>
      </c>
      <c r="AZ962">
        <f t="shared" ref="AZ962:AZ1025" si="477">IF(X962="", "", INT((X962*2 + 31)/2) + 5)</f>
        <v>83</v>
      </c>
      <c r="BA962">
        <f t="shared" ref="BA962:BA1025" si="478">IF(X962="", "", INT((INT((X962*2 + 31)/2) + 5)*0.9) )</f>
        <v>74</v>
      </c>
      <c r="BB962">
        <f t="shared" ref="BB962:BB1025" si="479">IF(X962="", "", INT((X962 + 5) * 0.9))</f>
        <v>61</v>
      </c>
    </row>
    <row r="963" spans="1:54" x14ac:dyDescent="0.15">
      <c r="A963">
        <v>689</v>
      </c>
      <c r="B963" t="s">
        <v>3360</v>
      </c>
      <c r="C963">
        <v>740</v>
      </c>
      <c r="D963">
        <v>0</v>
      </c>
      <c r="E963" t="s">
        <v>3361</v>
      </c>
      <c r="G963" t="s">
        <v>3361</v>
      </c>
      <c r="H963" t="s">
        <v>3362</v>
      </c>
      <c r="J963" t="s">
        <v>3363</v>
      </c>
      <c r="K963">
        <v>180</v>
      </c>
      <c r="L963">
        <v>1.7</v>
      </c>
      <c r="M963" t="s">
        <v>354</v>
      </c>
      <c r="N963" t="s">
        <v>202</v>
      </c>
      <c r="O963" t="s">
        <v>576</v>
      </c>
      <c r="P963" t="s">
        <v>629</v>
      </c>
      <c r="Q963" t="s">
        <v>356</v>
      </c>
      <c r="R963">
        <v>9</v>
      </c>
      <c r="S963">
        <v>97</v>
      </c>
      <c r="T963">
        <v>132</v>
      </c>
      <c r="U963">
        <v>77</v>
      </c>
      <c r="V963">
        <v>62</v>
      </c>
      <c r="W963">
        <v>67</v>
      </c>
      <c r="X963">
        <v>43</v>
      </c>
      <c r="Y963">
        <f t="shared" si="450"/>
        <v>204</v>
      </c>
      <c r="Z963">
        <f t="shared" si="451"/>
        <v>204</v>
      </c>
      <c r="AA963">
        <f t="shared" si="452"/>
        <v>172</v>
      </c>
      <c r="AB963">
        <f t="shared" si="453"/>
        <v>172</v>
      </c>
      <c r="AC963">
        <f t="shared" si="454"/>
        <v>157</v>
      </c>
      <c r="AD963">
        <f t="shared" si="455"/>
        <v>202</v>
      </c>
      <c r="AE963">
        <f t="shared" si="456"/>
        <v>184</v>
      </c>
      <c r="AF963">
        <f t="shared" si="457"/>
        <v>152</v>
      </c>
      <c r="AG963">
        <f t="shared" si="458"/>
        <v>136</v>
      </c>
      <c r="AH963">
        <f t="shared" si="459"/>
        <v>123</v>
      </c>
      <c r="AI963">
        <f t="shared" si="460"/>
        <v>141</v>
      </c>
      <c r="AJ963">
        <f t="shared" si="461"/>
        <v>129</v>
      </c>
      <c r="AK963">
        <f t="shared" si="462"/>
        <v>97</v>
      </c>
      <c r="AL963">
        <f t="shared" si="463"/>
        <v>87</v>
      </c>
      <c r="AM963">
        <f t="shared" si="464"/>
        <v>73</v>
      </c>
      <c r="AN963">
        <f t="shared" si="465"/>
        <v>125</v>
      </c>
      <c r="AO963">
        <f t="shared" si="466"/>
        <v>114</v>
      </c>
      <c r="AP963">
        <f t="shared" si="467"/>
        <v>82</v>
      </c>
      <c r="AQ963">
        <f t="shared" si="468"/>
        <v>73</v>
      </c>
      <c r="AR963">
        <f t="shared" si="469"/>
        <v>60</v>
      </c>
      <c r="AS963">
        <f t="shared" si="470"/>
        <v>130</v>
      </c>
      <c r="AT963">
        <f t="shared" si="471"/>
        <v>119</v>
      </c>
      <c r="AU963">
        <f t="shared" si="472"/>
        <v>87</v>
      </c>
      <c r="AV963">
        <f t="shared" si="473"/>
        <v>78</v>
      </c>
      <c r="AW963">
        <f t="shared" si="474"/>
        <v>64</v>
      </c>
      <c r="AX963">
        <f t="shared" si="475"/>
        <v>104</v>
      </c>
      <c r="AY963">
        <f t="shared" si="476"/>
        <v>95</v>
      </c>
      <c r="AZ963">
        <f t="shared" si="477"/>
        <v>63</v>
      </c>
      <c r="BA963">
        <f t="shared" si="478"/>
        <v>56</v>
      </c>
      <c r="BB963">
        <f t="shared" si="479"/>
        <v>43</v>
      </c>
    </row>
    <row r="964" spans="1:54" x14ac:dyDescent="0.15">
      <c r="A964">
        <v>657</v>
      </c>
      <c r="B964" t="s">
        <v>3364</v>
      </c>
      <c r="C964">
        <v>741</v>
      </c>
      <c r="D964">
        <v>0</v>
      </c>
      <c r="E964" t="s">
        <v>3365</v>
      </c>
      <c r="F964" t="s">
        <v>3366</v>
      </c>
      <c r="G964" t="s">
        <v>3367</v>
      </c>
      <c r="H964" t="s">
        <v>3368</v>
      </c>
      <c r="J964" t="s">
        <v>693</v>
      </c>
      <c r="K964">
        <v>3.4</v>
      </c>
      <c r="L964">
        <v>0.6</v>
      </c>
      <c r="M964" t="s">
        <v>47</v>
      </c>
      <c r="N964" t="s">
        <v>57</v>
      </c>
      <c r="O964" t="s">
        <v>3369</v>
      </c>
      <c r="R964">
        <v>9</v>
      </c>
      <c r="S964">
        <v>75</v>
      </c>
      <c r="T964">
        <v>70</v>
      </c>
      <c r="U964">
        <v>70</v>
      </c>
      <c r="V964">
        <v>98</v>
      </c>
      <c r="W964">
        <v>70</v>
      </c>
      <c r="X964">
        <v>93</v>
      </c>
      <c r="Y964">
        <f t="shared" si="450"/>
        <v>182</v>
      </c>
      <c r="Z964">
        <f t="shared" si="451"/>
        <v>182</v>
      </c>
      <c r="AA964">
        <f t="shared" si="452"/>
        <v>150</v>
      </c>
      <c r="AB964">
        <f t="shared" si="453"/>
        <v>150</v>
      </c>
      <c r="AC964">
        <f t="shared" si="454"/>
        <v>135</v>
      </c>
      <c r="AD964">
        <f t="shared" si="455"/>
        <v>134</v>
      </c>
      <c r="AE964">
        <f t="shared" si="456"/>
        <v>122</v>
      </c>
      <c r="AF964">
        <f t="shared" si="457"/>
        <v>90</v>
      </c>
      <c r="AG964">
        <f t="shared" si="458"/>
        <v>81</v>
      </c>
      <c r="AH964">
        <f t="shared" si="459"/>
        <v>67</v>
      </c>
      <c r="AI964">
        <f t="shared" si="460"/>
        <v>134</v>
      </c>
      <c r="AJ964">
        <f t="shared" si="461"/>
        <v>122</v>
      </c>
      <c r="AK964">
        <f t="shared" si="462"/>
        <v>90</v>
      </c>
      <c r="AL964">
        <f t="shared" si="463"/>
        <v>81</v>
      </c>
      <c r="AM964">
        <f t="shared" si="464"/>
        <v>67</v>
      </c>
      <c r="AN964">
        <f t="shared" si="465"/>
        <v>165</v>
      </c>
      <c r="AO964">
        <f t="shared" si="466"/>
        <v>150</v>
      </c>
      <c r="AP964">
        <f t="shared" si="467"/>
        <v>118</v>
      </c>
      <c r="AQ964">
        <f t="shared" si="468"/>
        <v>106</v>
      </c>
      <c r="AR964">
        <f t="shared" si="469"/>
        <v>92</v>
      </c>
      <c r="AS964">
        <f t="shared" si="470"/>
        <v>134</v>
      </c>
      <c r="AT964">
        <f t="shared" si="471"/>
        <v>122</v>
      </c>
      <c r="AU964">
        <f t="shared" si="472"/>
        <v>90</v>
      </c>
      <c r="AV964">
        <f t="shared" si="473"/>
        <v>81</v>
      </c>
      <c r="AW964">
        <f t="shared" si="474"/>
        <v>67</v>
      </c>
      <c r="AX964">
        <f t="shared" si="475"/>
        <v>159</v>
      </c>
      <c r="AY964">
        <f t="shared" si="476"/>
        <v>145</v>
      </c>
      <c r="AZ964">
        <f t="shared" si="477"/>
        <v>113</v>
      </c>
      <c r="BA964">
        <f t="shared" si="478"/>
        <v>101</v>
      </c>
      <c r="BB964">
        <f t="shared" si="479"/>
        <v>88</v>
      </c>
    </row>
    <row r="965" spans="1:54" x14ac:dyDescent="0.15">
      <c r="A965">
        <v>658</v>
      </c>
      <c r="B965" t="s">
        <v>3370</v>
      </c>
      <c r="C965">
        <v>741</v>
      </c>
      <c r="D965">
        <v>1</v>
      </c>
      <c r="E965" t="s">
        <v>3365</v>
      </c>
      <c r="F965" t="s">
        <v>3371</v>
      </c>
      <c r="G965" t="s">
        <v>3372</v>
      </c>
      <c r="H965" t="s">
        <v>3373</v>
      </c>
      <c r="J965" t="s">
        <v>693</v>
      </c>
      <c r="K965">
        <v>3.4</v>
      </c>
      <c r="L965">
        <v>0.6</v>
      </c>
      <c r="M965" t="s">
        <v>164</v>
      </c>
      <c r="N965" t="s">
        <v>57</v>
      </c>
      <c r="O965" t="s">
        <v>3369</v>
      </c>
      <c r="R965">
        <v>9</v>
      </c>
      <c r="S965">
        <v>75</v>
      </c>
      <c r="T965">
        <v>70</v>
      </c>
      <c r="U965">
        <v>70</v>
      </c>
      <c r="V965">
        <v>98</v>
      </c>
      <c r="W965">
        <v>70</v>
      </c>
      <c r="X965">
        <v>93</v>
      </c>
      <c r="Y965">
        <f t="shared" si="450"/>
        <v>182</v>
      </c>
      <c r="Z965">
        <f t="shared" si="451"/>
        <v>182</v>
      </c>
      <c r="AA965">
        <f t="shared" si="452"/>
        <v>150</v>
      </c>
      <c r="AB965">
        <f t="shared" si="453"/>
        <v>150</v>
      </c>
      <c r="AC965">
        <f t="shared" si="454"/>
        <v>135</v>
      </c>
      <c r="AD965">
        <f t="shared" si="455"/>
        <v>134</v>
      </c>
      <c r="AE965">
        <f t="shared" si="456"/>
        <v>122</v>
      </c>
      <c r="AF965">
        <f t="shared" si="457"/>
        <v>90</v>
      </c>
      <c r="AG965">
        <f t="shared" si="458"/>
        <v>81</v>
      </c>
      <c r="AH965">
        <f t="shared" si="459"/>
        <v>67</v>
      </c>
      <c r="AI965">
        <f t="shared" si="460"/>
        <v>134</v>
      </c>
      <c r="AJ965">
        <f t="shared" si="461"/>
        <v>122</v>
      </c>
      <c r="AK965">
        <f t="shared" si="462"/>
        <v>90</v>
      </c>
      <c r="AL965">
        <f t="shared" si="463"/>
        <v>81</v>
      </c>
      <c r="AM965">
        <f t="shared" si="464"/>
        <v>67</v>
      </c>
      <c r="AN965">
        <f t="shared" si="465"/>
        <v>165</v>
      </c>
      <c r="AO965">
        <f t="shared" si="466"/>
        <v>150</v>
      </c>
      <c r="AP965">
        <f t="shared" si="467"/>
        <v>118</v>
      </c>
      <c r="AQ965">
        <f t="shared" si="468"/>
        <v>106</v>
      </c>
      <c r="AR965">
        <f t="shared" si="469"/>
        <v>92</v>
      </c>
      <c r="AS965">
        <f t="shared" si="470"/>
        <v>134</v>
      </c>
      <c r="AT965">
        <f t="shared" si="471"/>
        <v>122</v>
      </c>
      <c r="AU965">
        <f t="shared" si="472"/>
        <v>90</v>
      </c>
      <c r="AV965">
        <f t="shared" si="473"/>
        <v>81</v>
      </c>
      <c r="AW965">
        <f t="shared" si="474"/>
        <v>67</v>
      </c>
      <c r="AX965">
        <f t="shared" si="475"/>
        <v>159</v>
      </c>
      <c r="AY965">
        <f t="shared" si="476"/>
        <v>145</v>
      </c>
      <c r="AZ965">
        <f t="shared" si="477"/>
        <v>113</v>
      </c>
      <c r="BA965">
        <f t="shared" si="478"/>
        <v>101</v>
      </c>
      <c r="BB965">
        <f t="shared" si="479"/>
        <v>88</v>
      </c>
    </row>
    <row r="966" spans="1:54" x14ac:dyDescent="0.15">
      <c r="A966">
        <v>659</v>
      </c>
      <c r="B966" t="s">
        <v>3374</v>
      </c>
      <c r="C966">
        <v>741</v>
      </c>
      <c r="D966">
        <v>2</v>
      </c>
      <c r="E966" t="s">
        <v>3365</v>
      </c>
      <c r="F966" t="s">
        <v>3375</v>
      </c>
      <c r="G966" t="s">
        <v>3376</v>
      </c>
      <c r="H966" t="s">
        <v>3377</v>
      </c>
      <c r="J966" t="s">
        <v>693</v>
      </c>
      <c r="K966">
        <v>3.4</v>
      </c>
      <c r="L966">
        <v>0.6</v>
      </c>
      <c r="M966" t="s">
        <v>191</v>
      </c>
      <c r="N966" t="s">
        <v>57</v>
      </c>
      <c r="O966" t="s">
        <v>3369</v>
      </c>
      <c r="R966">
        <v>9</v>
      </c>
      <c r="S966">
        <v>75</v>
      </c>
      <c r="T966">
        <v>70</v>
      </c>
      <c r="U966">
        <v>70</v>
      </c>
      <c r="V966">
        <v>98</v>
      </c>
      <c r="W966">
        <v>70</v>
      </c>
      <c r="X966">
        <v>93</v>
      </c>
      <c r="Y966">
        <f t="shared" si="450"/>
        <v>182</v>
      </c>
      <c r="Z966">
        <f t="shared" si="451"/>
        <v>182</v>
      </c>
      <c r="AA966">
        <f t="shared" si="452"/>
        <v>150</v>
      </c>
      <c r="AB966">
        <f t="shared" si="453"/>
        <v>150</v>
      </c>
      <c r="AC966">
        <f t="shared" si="454"/>
        <v>135</v>
      </c>
      <c r="AD966">
        <f t="shared" si="455"/>
        <v>134</v>
      </c>
      <c r="AE966">
        <f t="shared" si="456"/>
        <v>122</v>
      </c>
      <c r="AF966">
        <f t="shared" si="457"/>
        <v>90</v>
      </c>
      <c r="AG966">
        <f t="shared" si="458"/>
        <v>81</v>
      </c>
      <c r="AH966">
        <f t="shared" si="459"/>
        <v>67</v>
      </c>
      <c r="AI966">
        <f t="shared" si="460"/>
        <v>134</v>
      </c>
      <c r="AJ966">
        <f t="shared" si="461"/>
        <v>122</v>
      </c>
      <c r="AK966">
        <f t="shared" si="462"/>
        <v>90</v>
      </c>
      <c r="AL966">
        <f t="shared" si="463"/>
        <v>81</v>
      </c>
      <c r="AM966">
        <f t="shared" si="464"/>
        <v>67</v>
      </c>
      <c r="AN966">
        <f t="shared" si="465"/>
        <v>165</v>
      </c>
      <c r="AO966">
        <f t="shared" si="466"/>
        <v>150</v>
      </c>
      <c r="AP966">
        <f t="shared" si="467"/>
        <v>118</v>
      </c>
      <c r="AQ966">
        <f t="shared" si="468"/>
        <v>106</v>
      </c>
      <c r="AR966">
        <f t="shared" si="469"/>
        <v>92</v>
      </c>
      <c r="AS966">
        <f t="shared" si="470"/>
        <v>134</v>
      </c>
      <c r="AT966">
        <f t="shared" si="471"/>
        <v>122</v>
      </c>
      <c r="AU966">
        <f t="shared" si="472"/>
        <v>90</v>
      </c>
      <c r="AV966">
        <f t="shared" si="473"/>
        <v>81</v>
      </c>
      <c r="AW966">
        <f t="shared" si="474"/>
        <v>67</v>
      </c>
      <c r="AX966">
        <f t="shared" si="475"/>
        <v>159</v>
      </c>
      <c r="AY966">
        <f t="shared" si="476"/>
        <v>145</v>
      </c>
      <c r="AZ966">
        <f t="shared" si="477"/>
        <v>113</v>
      </c>
      <c r="BA966">
        <f t="shared" si="478"/>
        <v>101</v>
      </c>
      <c r="BB966">
        <f t="shared" si="479"/>
        <v>88</v>
      </c>
    </row>
    <row r="967" spans="1:54" x14ac:dyDescent="0.15">
      <c r="A967">
        <v>660</v>
      </c>
      <c r="B967" t="s">
        <v>3378</v>
      </c>
      <c r="C967">
        <v>741</v>
      </c>
      <c r="D967">
        <v>3</v>
      </c>
      <c r="E967" t="s">
        <v>3365</v>
      </c>
      <c r="F967" t="s">
        <v>3379</v>
      </c>
      <c r="G967" t="s">
        <v>3380</v>
      </c>
      <c r="H967" t="s">
        <v>3381</v>
      </c>
      <c r="J967" t="s">
        <v>693</v>
      </c>
      <c r="K967">
        <v>3.4</v>
      </c>
      <c r="L967">
        <v>0.6</v>
      </c>
      <c r="M967" t="s">
        <v>546</v>
      </c>
      <c r="N967" t="s">
        <v>57</v>
      </c>
      <c r="O967" t="s">
        <v>3369</v>
      </c>
      <c r="R967">
        <v>9</v>
      </c>
      <c r="S967">
        <v>75</v>
      </c>
      <c r="T967">
        <v>70</v>
      </c>
      <c r="U967">
        <v>70</v>
      </c>
      <c r="V967">
        <v>98</v>
      </c>
      <c r="W967">
        <v>70</v>
      </c>
      <c r="X967">
        <v>93</v>
      </c>
      <c r="Y967">
        <f t="shared" si="450"/>
        <v>182</v>
      </c>
      <c r="Z967">
        <f t="shared" si="451"/>
        <v>182</v>
      </c>
      <c r="AA967">
        <f t="shared" si="452"/>
        <v>150</v>
      </c>
      <c r="AB967">
        <f t="shared" si="453"/>
        <v>150</v>
      </c>
      <c r="AC967">
        <f t="shared" si="454"/>
        <v>135</v>
      </c>
      <c r="AD967">
        <f t="shared" si="455"/>
        <v>134</v>
      </c>
      <c r="AE967">
        <f t="shared" si="456"/>
        <v>122</v>
      </c>
      <c r="AF967">
        <f t="shared" si="457"/>
        <v>90</v>
      </c>
      <c r="AG967">
        <f t="shared" si="458"/>
        <v>81</v>
      </c>
      <c r="AH967">
        <f t="shared" si="459"/>
        <v>67</v>
      </c>
      <c r="AI967">
        <f t="shared" si="460"/>
        <v>134</v>
      </c>
      <c r="AJ967">
        <f t="shared" si="461"/>
        <v>122</v>
      </c>
      <c r="AK967">
        <f t="shared" si="462"/>
        <v>90</v>
      </c>
      <c r="AL967">
        <f t="shared" si="463"/>
        <v>81</v>
      </c>
      <c r="AM967">
        <f t="shared" si="464"/>
        <v>67</v>
      </c>
      <c r="AN967">
        <f t="shared" si="465"/>
        <v>165</v>
      </c>
      <c r="AO967">
        <f t="shared" si="466"/>
        <v>150</v>
      </c>
      <c r="AP967">
        <f t="shared" si="467"/>
        <v>118</v>
      </c>
      <c r="AQ967">
        <f t="shared" si="468"/>
        <v>106</v>
      </c>
      <c r="AR967">
        <f t="shared" si="469"/>
        <v>92</v>
      </c>
      <c r="AS967">
        <f t="shared" si="470"/>
        <v>134</v>
      </c>
      <c r="AT967">
        <f t="shared" si="471"/>
        <v>122</v>
      </c>
      <c r="AU967">
        <f t="shared" si="472"/>
        <v>90</v>
      </c>
      <c r="AV967">
        <f t="shared" si="473"/>
        <v>81</v>
      </c>
      <c r="AW967">
        <f t="shared" si="474"/>
        <v>67</v>
      </c>
      <c r="AX967">
        <f t="shared" si="475"/>
        <v>159</v>
      </c>
      <c r="AY967">
        <f t="shared" si="476"/>
        <v>145</v>
      </c>
      <c r="AZ967">
        <f t="shared" si="477"/>
        <v>113</v>
      </c>
      <c r="BA967">
        <f t="shared" si="478"/>
        <v>101</v>
      </c>
      <c r="BB967">
        <f t="shared" si="479"/>
        <v>88</v>
      </c>
    </row>
    <row r="968" spans="1:54" x14ac:dyDescent="0.15">
      <c r="A968">
        <v>668</v>
      </c>
      <c r="B968" t="s">
        <v>3382</v>
      </c>
      <c r="C968">
        <v>742</v>
      </c>
      <c r="D968">
        <v>0</v>
      </c>
      <c r="E968" t="s">
        <v>3383</v>
      </c>
      <c r="G968" t="s">
        <v>3383</v>
      </c>
      <c r="H968" t="s">
        <v>3384</v>
      </c>
      <c r="J968" t="s">
        <v>3385</v>
      </c>
      <c r="K968">
        <v>0.2</v>
      </c>
      <c r="L968">
        <v>0.1</v>
      </c>
      <c r="M968" t="s">
        <v>90</v>
      </c>
      <c r="N968" t="s">
        <v>233</v>
      </c>
      <c r="O968" t="s">
        <v>1113</v>
      </c>
      <c r="P968" t="s">
        <v>91</v>
      </c>
      <c r="Q968" t="s">
        <v>3107</v>
      </c>
      <c r="R968">
        <v>9</v>
      </c>
      <c r="S968">
        <v>40</v>
      </c>
      <c r="T968">
        <v>45</v>
      </c>
      <c r="U968">
        <v>40</v>
      </c>
      <c r="V968">
        <v>55</v>
      </c>
      <c r="W968">
        <v>40</v>
      </c>
      <c r="X968">
        <v>84</v>
      </c>
      <c r="Y968">
        <f t="shared" si="450"/>
        <v>147</v>
      </c>
      <c r="Z968">
        <f t="shared" si="451"/>
        <v>147</v>
      </c>
      <c r="AA968">
        <f t="shared" si="452"/>
        <v>115</v>
      </c>
      <c r="AB968">
        <f t="shared" si="453"/>
        <v>115</v>
      </c>
      <c r="AC968">
        <f t="shared" si="454"/>
        <v>100</v>
      </c>
      <c r="AD968">
        <f t="shared" si="455"/>
        <v>106</v>
      </c>
      <c r="AE968">
        <f t="shared" si="456"/>
        <v>97</v>
      </c>
      <c r="AF968">
        <f t="shared" si="457"/>
        <v>65</v>
      </c>
      <c r="AG968">
        <f t="shared" si="458"/>
        <v>58</v>
      </c>
      <c r="AH968">
        <f t="shared" si="459"/>
        <v>45</v>
      </c>
      <c r="AI968">
        <f t="shared" si="460"/>
        <v>101</v>
      </c>
      <c r="AJ968">
        <f t="shared" si="461"/>
        <v>92</v>
      </c>
      <c r="AK968">
        <f t="shared" si="462"/>
        <v>60</v>
      </c>
      <c r="AL968">
        <f t="shared" si="463"/>
        <v>54</v>
      </c>
      <c r="AM968">
        <f t="shared" si="464"/>
        <v>40</v>
      </c>
      <c r="AN968">
        <f t="shared" si="465"/>
        <v>117</v>
      </c>
      <c r="AO968">
        <f t="shared" si="466"/>
        <v>107</v>
      </c>
      <c r="AP968">
        <f t="shared" si="467"/>
        <v>75</v>
      </c>
      <c r="AQ968">
        <f t="shared" si="468"/>
        <v>67</v>
      </c>
      <c r="AR968">
        <f t="shared" si="469"/>
        <v>54</v>
      </c>
      <c r="AS968">
        <f t="shared" si="470"/>
        <v>101</v>
      </c>
      <c r="AT968">
        <f t="shared" si="471"/>
        <v>92</v>
      </c>
      <c r="AU968">
        <f t="shared" si="472"/>
        <v>60</v>
      </c>
      <c r="AV968">
        <f t="shared" si="473"/>
        <v>54</v>
      </c>
      <c r="AW968">
        <f t="shared" si="474"/>
        <v>40</v>
      </c>
      <c r="AX968">
        <f t="shared" si="475"/>
        <v>149</v>
      </c>
      <c r="AY968">
        <f t="shared" si="476"/>
        <v>136</v>
      </c>
      <c r="AZ968">
        <f t="shared" si="477"/>
        <v>104</v>
      </c>
      <c r="BA968">
        <f t="shared" si="478"/>
        <v>93</v>
      </c>
      <c r="BB968">
        <f t="shared" si="479"/>
        <v>80</v>
      </c>
    </row>
    <row r="969" spans="1:54" x14ac:dyDescent="0.15">
      <c r="A969">
        <v>669</v>
      </c>
      <c r="B969" t="s">
        <v>3386</v>
      </c>
      <c r="C969">
        <v>743</v>
      </c>
      <c r="D969">
        <v>0</v>
      </c>
      <c r="E969" t="s">
        <v>3387</v>
      </c>
      <c r="G969" t="s">
        <v>3387</v>
      </c>
      <c r="H969" t="s">
        <v>3388</v>
      </c>
      <c r="J969" t="s">
        <v>3385</v>
      </c>
      <c r="K969">
        <v>0.5</v>
      </c>
      <c r="L969">
        <v>0.2</v>
      </c>
      <c r="M969" t="s">
        <v>90</v>
      </c>
      <c r="N969" t="s">
        <v>233</v>
      </c>
      <c r="O969" t="s">
        <v>1113</v>
      </c>
      <c r="P969" t="s">
        <v>91</v>
      </c>
      <c r="Q969" t="s">
        <v>3107</v>
      </c>
      <c r="R969">
        <v>9</v>
      </c>
      <c r="S969">
        <v>60</v>
      </c>
      <c r="T969">
        <v>55</v>
      </c>
      <c r="U969">
        <v>60</v>
      </c>
      <c r="V969">
        <v>95</v>
      </c>
      <c r="W969">
        <v>70</v>
      </c>
      <c r="X969">
        <v>124</v>
      </c>
      <c r="Y969">
        <f t="shared" si="450"/>
        <v>167</v>
      </c>
      <c r="Z969">
        <f t="shared" si="451"/>
        <v>167</v>
      </c>
      <c r="AA969">
        <f t="shared" si="452"/>
        <v>135</v>
      </c>
      <c r="AB969">
        <f t="shared" si="453"/>
        <v>135</v>
      </c>
      <c r="AC969">
        <f t="shared" si="454"/>
        <v>120</v>
      </c>
      <c r="AD969">
        <f t="shared" si="455"/>
        <v>117</v>
      </c>
      <c r="AE969">
        <f t="shared" si="456"/>
        <v>107</v>
      </c>
      <c r="AF969">
        <f t="shared" si="457"/>
        <v>75</v>
      </c>
      <c r="AG969">
        <f t="shared" si="458"/>
        <v>67</v>
      </c>
      <c r="AH969">
        <f t="shared" si="459"/>
        <v>54</v>
      </c>
      <c r="AI969">
        <f t="shared" si="460"/>
        <v>123</v>
      </c>
      <c r="AJ969">
        <f t="shared" si="461"/>
        <v>112</v>
      </c>
      <c r="AK969">
        <f t="shared" si="462"/>
        <v>80</v>
      </c>
      <c r="AL969">
        <f t="shared" si="463"/>
        <v>72</v>
      </c>
      <c r="AM969">
        <f t="shared" si="464"/>
        <v>58</v>
      </c>
      <c r="AN969">
        <f t="shared" si="465"/>
        <v>161</v>
      </c>
      <c r="AO969">
        <f t="shared" si="466"/>
        <v>147</v>
      </c>
      <c r="AP969">
        <f t="shared" si="467"/>
        <v>115</v>
      </c>
      <c r="AQ969">
        <f t="shared" si="468"/>
        <v>103</v>
      </c>
      <c r="AR969">
        <f t="shared" si="469"/>
        <v>90</v>
      </c>
      <c r="AS969">
        <f t="shared" si="470"/>
        <v>134</v>
      </c>
      <c r="AT969">
        <f t="shared" si="471"/>
        <v>122</v>
      </c>
      <c r="AU969">
        <f t="shared" si="472"/>
        <v>90</v>
      </c>
      <c r="AV969">
        <f t="shared" si="473"/>
        <v>81</v>
      </c>
      <c r="AW969">
        <f t="shared" si="474"/>
        <v>67</v>
      </c>
      <c r="AX969">
        <f t="shared" si="475"/>
        <v>193</v>
      </c>
      <c r="AY969">
        <f t="shared" si="476"/>
        <v>176</v>
      </c>
      <c r="AZ969">
        <f t="shared" si="477"/>
        <v>144</v>
      </c>
      <c r="BA969">
        <f t="shared" si="478"/>
        <v>129</v>
      </c>
      <c r="BB969">
        <f t="shared" si="479"/>
        <v>116</v>
      </c>
    </row>
    <row r="970" spans="1:54" x14ac:dyDescent="0.15">
      <c r="A970">
        <v>663</v>
      </c>
      <c r="B970" t="s">
        <v>3389</v>
      </c>
      <c r="C970">
        <v>744</v>
      </c>
      <c r="D970">
        <v>0</v>
      </c>
      <c r="E970" t="s">
        <v>3390</v>
      </c>
      <c r="G970" t="s">
        <v>3390</v>
      </c>
      <c r="H970" t="s">
        <v>3391</v>
      </c>
      <c r="J970" t="s">
        <v>364</v>
      </c>
      <c r="K970">
        <v>9.1999999999999993</v>
      </c>
      <c r="L970">
        <v>0.5</v>
      </c>
      <c r="M970" t="s">
        <v>371</v>
      </c>
      <c r="O970" t="s">
        <v>121</v>
      </c>
      <c r="P970" t="s">
        <v>355</v>
      </c>
      <c r="Q970" t="s">
        <v>404</v>
      </c>
      <c r="R970">
        <v>9</v>
      </c>
      <c r="S970">
        <v>45</v>
      </c>
      <c r="T970">
        <v>65</v>
      </c>
      <c r="U970">
        <v>40</v>
      </c>
      <c r="V970">
        <v>30</v>
      </c>
      <c r="W970">
        <v>40</v>
      </c>
      <c r="X970">
        <v>60</v>
      </c>
      <c r="Y970">
        <f t="shared" si="450"/>
        <v>152</v>
      </c>
      <c r="Z970">
        <f t="shared" si="451"/>
        <v>152</v>
      </c>
      <c r="AA970">
        <f t="shared" si="452"/>
        <v>120</v>
      </c>
      <c r="AB970">
        <f t="shared" si="453"/>
        <v>120</v>
      </c>
      <c r="AC970">
        <f t="shared" si="454"/>
        <v>105</v>
      </c>
      <c r="AD970">
        <f t="shared" si="455"/>
        <v>128</v>
      </c>
      <c r="AE970">
        <f t="shared" si="456"/>
        <v>117</v>
      </c>
      <c r="AF970">
        <f t="shared" si="457"/>
        <v>85</v>
      </c>
      <c r="AG970">
        <f t="shared" si="458"/>
        <v>76</v>
      </c>
      <c r="AH970">
        <f t="shared" si="459"/>
        <v>63</v>
      </c>
      <c r="AI970">
        <f t="shared" si="460"/>
        <v>101</v>
      </c>
      <c r="AJ970">
        <f t="shared" si="461"/>
        <v>92</v>
      </c>
      <c r="AK970">
        <f t="shared" si="462"/>
        <v>60</v>
      </c>
      <c r="AL970">
        <f t="shared" si="463"/>
        <v>54</v>
      </c>
      <c r="AM970">
        <f t="shared" si="464"/>
        <v>40</v>
      </c>
      <c r="AN970">
        <f t="shared" si="465"/>
        <v>90</v>
      </c>
      <c r="AO970">
        <f t="shared" si="466"/>
        <v>82</v>
      </c>
      <c r="AP970">
        <f t="shared" si="467"/>
        <v>50</v>
      </c>
      <c r="AQ970">
        <f t="shared" si="468"/>
        <v>45</v>
      </c>
      <c r="AR970">
        <f t="shared" si="469"/>
        <v>31</v>
      </c>
      <c r="AS970">
        <f t="shared" si="470"/>
        <v>101</v>
      </c>
      <c r="AT970">
        <f t="shared" si="471"/>
        <v>92</v>
      </c>
      <c r="AU970">
        <f t="shared" si="472"/>
        <v>60</v>
      </c>
      <c r="AV970">
        <f t="shared" si="473"/>
        <v>54</v>
      </c>
      <c r="AW970">
        <f t="shared" si="474"/>
        <v>40</v>
      </c>
      <c r="AX970">
        <f t="shared" si="475"/>
        <v>123</v>
      </c>
      <c r="AY970">
        <f t="shared" si="476"/>
        <v>112</v>
      </c>
      <c r="AZ970">
        <f t="shared" si="477"/>
        <v>80</v>
      </c>
      <c r="BA970">
        <f t="shared" si="478"/>
        <v>72</v>
      </c>
      <c r="BB970">
        <f t="shared" si="479"/>
        <v>58</v>
      </c>
    </row>
    <row r="971" spans="1:54" x14ac:dyDescent="0.15">
      <c r="A971">
        <v>665</v>
      </c>
      <c r="B971" t="s">
        <v>3392</v>
      </c>
      <c r="C971">
        <v>745</v>
      </c>
      <c r="D971">
        <v>0</v>
      </c>
      <c r="E971" t="s">
        <v>3393</v>
      </c>
      <c r="F971" t="s">
        <v>3394</v>
      </c>
      <c r="G971" t="s">
        <v>3395</v>
      </c>
      <c r="H971" t="s">
        <v>3396</v>
      </c>
      <c r="J971" t="s">
        <v>3397</v>
      </c>
      <c r="K971">
        <v>25</v>
      </c>
      <c r="L971">
        <v>0.8</v>
      </c>
      <c r="M971" t="s">
        <v>371</v>
      </c>
      <c r="O971" t="s">
        <v>121</v>
      </c>
      <c r="P971" t="s">
        <v>198</v>
      </c>
      <c r="Q971" t="s">
        <v>404</v>
      </c>
      <c r="R971">
        <v>9</v>
      </c>
      <c r="S971">
        <v>75</v>
      </c>
      <c r="T971">
        <v>115</v>
      </c>
      <c r="U971">
        <v>65</v>
      </c>
      <c r="V971">
        <v>55</v>
      </c>
      <c r="W971">
        <v>65</v>
      </c>
      <c r="X971">
        <v>112</v>
      </c>
      <c r="Y971">
        <f t="shared" si="450"/>
        <v>182</v>
      </c>
      <c r="Z971">
        <f t="shared" si="451"/>
        <v>182</v>
      </c>
      <c r="AA971">
        <f t="shared" si="452"/>
        <v>150</v>
      </c>
      <c r="AB971">
        <f t="shared" si="453"/>
        <v>150</v>
      </c>
      <c r="AC971">
        <f t="shared" si="454"/>
        <v>135</v>
      </c>
      <c r="AD971">
        <f t="shared" si="455"/>
        <v>183</v>
      </c>
      <c r="AE971">
        <f t="shared" si="456"/>
        <v>167</v>
      </c>
      <c r="AF971">
        <f t="shared" si="457"/>
        <v>135</v>
      </c>
      <c r="AG971">
        <f t="shared" si="458"/>
        <v>121</v>
      </c>
      <c r="AH971">
        <f t="shared" si="459"/>
        <v>108</v>
      </c>
      <c r="AI971">
        <f t="shared" si="460"/>
        <v>128</v>
      </c>
      <c r="AJ971">
        <f t="shared" si="461"/>
        <v>117</v>
      </c>
      <c r="AK971">
        <f t="shared" si="462"/>
        <v>85</v>
      </c>
      <c r="AL971">
        <f t="shared" si="463"/>
        <v>76</v>
      </c>
      <c r="AM971">
        <f t="shared" si="464"/>
        <v>63</v>
      </c>
      <c r="AN971">
        <f t="shared" si="465"/>
        <v>117</v>
      </c>
      <c r="AO971">
        <f t="shared" si="466"/>
        <v>107</v>
      </c>
      <c r="AP971">
        <f t="shared" si="467"/>
        <v>75</v>
      </c>
      <c r="AQ971">
        <f t="shared" si="468"/>
        <v>67</v>
      </c>
      <c r="AR971">
        <f t="shared" si="469"/>
        <v>54</v>
      </c>
      <c r="AS971">
        <f t="shared" si="470"/>
        <v>128</v>
      </c>
      <c r="AT971">
        <f t="shared" si="471"/>
        <v>117</v>
      </c>
      <c r="AU971">
        <f t="shared" si="472"/>
        <v>85</v>
      </c>
      <c r="AV971">
        <f t="shared" si="473"/>
        <v>76</v>
      </c>
      <c r="AW971">
        <f t="shared" si="474"/>
        <v>63</v>
      </c>
      <c r="AX971">
        <f t="shared" si="475"/>
        <v>180</v>
      </c>
      <c r="AY971">
        <f t="shared" si="476"/>
        <v>164</v>
      </c>
      <c r="AZ971">
        <f t="shared" si="477"/>
        <v>132</v>
      </c>
      <c r="BA971">
        <f t="shared" si="478"/>
        <v>118</v>
      </c>
      <c r="BB971">
        <f t="shared" si="479"/>
        <v>105</v>
      </c>
    </row>
    <row r="972" spans="1:54" x14ac:dyDescent="0.15">
      <c r="A972">
        <v>666</v>
      </c>
      <c r="B972" t="s">
        <v>3398</v>
      </c>
      <c r="C972">
        <v>745</v>
      </c>
      <c r="D972">
        <v>1</v>
      </c>
      <c r="E972" t="s">
        <v>3393</v>
      </c>
      <c r="F972" t="s">
        <v>3399</v>
      </c>
      <c r="G972" t="s">
        <v>3400</v>
      </c>
      <c r="H972" t="s">
        <v>3401</v>
      </c>
      <c r="J972" t="s">
        <v>3397</v>
      </c>
      <c r="K972">
        <v>25</v>
      </c>
      <c r="L972">
        <v>1.1000000000000001</v>
      </c>
      <c r="M972" t="s">
        <v>371</v>
      </c>
      <c r="O972" t="s">
        <v>121</v>
      </c>
      <c r="P972" t="s">
        <v>355</v>
      </c>
      <c r="Q972" t="s">
        <v>131</v>
      </c>
      <c r="R972">
        <v>9</v>
      </c>
      <c r="S972">
        <v>85</v>
      </c>
      <c r="T972">
        <v>115</v>
      </c>
      <c r="U972">
        <v>75</v>
      </c>
      <c r="V972">
        <v>55</v>
      </c>
      <c r="W972">
        <v>75</v>
      </c>
      <c r="X972">
        <v>82</v>
      </c>
      <c r="Y972">
        <f t="shared" si="450"/>
        <v>192</v>
      </c>
      <c r="Z972">
        <f t="shared" si="451"/>
        <v>192</v>
      </c>
      <c r="AA972">
        <f t="shared" si="452"/>
        <v>160</v>
      </c>
      <c r="AB972">
        <f t="shared" si="453"/>
        <v>160</v>
      </c>
      <c r="AC972">
        <f t="shared" si="454"/>
        <v>145</v>
      </c>
      <c r="AD972">
        <f t="shared" si="455"/>
        <v>183</v>
      </c>
      <c r="AE972">
        <f t="shared" si="456"/>
        <v>167</v>
      </c>
      <c r="AF972">
        <f t="shared" si="457"/>
        <v>135</v>
      </c>
      <c r="AG972">
        <f t="shared" si="458"/>
        <v>121</v>
      </c>
      <c r="AH972">
        <f t="shared" si="459"/>
        <v>108</v>
      </c>
      <c r="AI972">
        <f t="shared" si="460"/>
        <v>139</v>
      </c>
      <c r="AJ972">
        <f t="shared" si="461"/>
        <v>127</v>
      </c>
      <c r="AK972">
        <f t="shared" si="462"/>
        <v>95</v>
      </c>
      <c r="AL972">
        <f t="shared" si="463"/>
        <v>85</v>
      </c>
      <c r="AM972">
        <f t="shared" si="464"/>
        <v>72</v>
      </c>
      <c r="AN972">
        <f t="shared" si="465"/>
        <v>117</v>
      </c>
      <c r="AO972">
        <f t="shared" si="466"/>
        <v>107</v>
      </c>
      <c r="AP972">
        <f t="shared" si="467"/>
        <v>75</v>
      </c>
      <c r="AQ972">
        <f t="shared" si="468"/>
        <v>67</v>
      </c>
      <c r="AR972">
        <f t="shared" si="469"/>
        <v>54</v>
      </c>
      <c r="AS972">
        <f t="shared" si="470"/>
        <v>139</v>
      </c>
      <c r="AT972">
        <f t="shared" si="471"/>
        <v>127</v>
      </c>
      <c r="AU972">
        <f t="shared" si="472"/>
        <v>95</v>
      </c>
      <c r="AV972">
        <f t="shared" si="473"/>
        <v>85</v>
      </c>
      <c r="AW972">
        <f t="shared" si="474"/>
        <v>72</v>
      </c>
      <c r="AX972">
        <f t="shared" si="475"/>
        <v>147</v>
      </c>
      <c r="AY972">
        <f t="shared" si="476"/>
        <v>134</v>
      </c>
      <c r="AZ972">
        <f t="shared" si="477"/>
        <v>102</v>
      </c>
      <c r="BA972">
        <f t="shared" si="478"/>
        <v>91</v>
      </c>
      <c r="BB972">
        <f t="shared" si="479"/>
        <v>78</v>
      </c>
    </row>
    <row r="973" spans="1:54" x14ac:dyDescent="0.15">
      <c r="A973">
        <v>667</v>
      </c>
      <c r="B973" t="s">
        <v>3402</v>
      </c>
      <c r="C973">
        <v>745</v>
      </c>
      <c r="D973">
        <v>2</v>
      </c>
      <c r="E973" t="s">
        <v>3393</v>
      </c>
      <c r="F973" t="s">
        <v>3403</v>
      </c>
      <c r="G973" t="s">
        <v>3404</v>
      </c>
      <c r="H973" t="s">
        <v>3405</v>
      </c>
      <c r="J973" t="s">
        <v>3397</v>
      </c>
      <c r="K973">
        <v>25</v>
      </c>
      <c r="L973">
        <v>0.8</v>
      </c>
      <c r="M973" t="s">
        <v>371</v>
      </c>
      <c r="O973" t="s">
        <v>61</v>
      </c>
      <c r="R973">
        <v>9</v>
      </c>
      <c r="S973">
        <v>75</v>
      </c>
      <c r="T973">
        <v>117</v>
      </c>
      <c r="U973">
        <v>65</v>
      </c>
      <c r="V973">
        <v>55</v>
      </c>
      <c r="W973">
        <v>65</v>
      </c>
      <c r="X973">
        <v>110</v>
      </c>
      <c r="Y973">
        <f t="shared" si="450"/>
        <v>182</v>
      </c>
      <c r="Z973">
        <f t="shared" si="451"/>
        <v>182</v>
      </c>
      <c r="AA973">
        <f t="shared" si="452"/>
        <v>150</v>
      </c>
      <c r="AB973">
        <f t="shared" si="453"/>
        <v>150</v>
      </c>
      <c r="AC973">
        <f t="shared" si="454"/>
        <v>135</v>
      </c>
      <c r="AD973">
        <f t="shared" si="455"/>
        <v>185</v>
      </c>
      <c r="AE973">
        <f t="shared" si="456"/>
        <v>169</v>
      </c>
      <c r="AF973">
        <f t="shared" si="457"/>
        <v>137</v>
      </c>
      <c r="AG973">
        <f t="shared" si="458"/>
        <v>123</v>
      </c>
      <c r="AH973">
        <f t="shared" si="459"/>
        <v>109</v>
      </c>
      <c r="AI973">
        <f t="shared" si="460"/>
        <v>128</v>
      </c>
      <c r="AJ973">
        <f t="shared" si="461"/>
        <v>117</v>
      </c>
      <c r="AK973">
        <f t="shared" si="462"/>
        <v>85</v>
      </c>
      <c r="AL973">
        <f t="shared" si="463"/>
        <v>76</v>
      </c>
      <c r="AM973">
        <f t="shared" si="464"/>
        <v>63</v>
      </c>
      <c r="AN973">
        <f t="shared" si="465"/>
        <v>117</v>
      </c>
      <c r="AO973">
        <f t="shared" si="466"/>
        <v>107</v>
      </c>
      <c r="AP973">
        <f t="shared" si="467"/>
        <v>75</v>
      </c>
      <c r="AQ973">
        <f t="shared" si="468"/>
        <v>67</v>
      </c>
      <c r="AR973">
        <f t="shared" si="469"/>
        <v>54</v>
      </c>
      <c r="AS973">
        <f t="shared" si="470"/>
        <v>128</v>
      </c>
      <c r="AT973">
        <f t="shared" si="471"/>
        <v>117</v>
      </c>
      <c r="AU973">
        <f t="shared" si="472"/>
        <v>85</v>
      </c>
      <c r="AV973">
        <f t="shared" si="473"/>
        <v>76</v>
      </c>
      <c r="AW973">
        <f t="shared" si="474"/>
        <v>63</v>
      </c>
      <c r="AX973">
        <f t="shared" si="475"/>
        <v>178</v>
      </c>
      <c r="AY973">
        <f t="shared" si="476"/>
        <v>162</v>
      </c>
      <c r="AZ973">
        <f t="shared" si="477"/>
        <v>130</v>
      </c>
      <c r="BA973">
        <f t="shared" si="478"/>
        <v>117</v>
      </c>
      <c r="BB973">
        <f t="shared" si="479"/>
        <v>103</v>
      </c>
    </row>
    <row r="974" spans="1:54" x14ac:dyDescent="0.15">
      <c r="B974" t="s">
        <v>3406</v>
      </c>
      <c r="C974">
        <v>746</v>
      </c>
      <c r="D974">
        <v>0</v>
      </c>
      <c r="E974" t="s">
        <v>3407</v>
      </c>
      <c r="F974" t="s">
        <v>3408</v>
      </c>
      <c r="G974" t="s">
        <v>3409</v>
      </c>
      <c r="J974" t="s">
        <v>3410</v>
      </c>
      <c r="K974">
        <v>0.3</v>
      </c>
      <c r="L974">
        <v>0.2</v>
      </c>
      <c r="M974" t="s">
        <v>71</v>
      </c>
      <c r="O974" t="s">
        <v>3411</v>
      </c>
      <c r="R974">
        <v>8</v>
      </c>
      <c r="S974">
        <v>45</v>
      </c>
      <c r="T974">
        <v>20</v>
      </c>
      <c r="U974">
        <v>20</v>
      </c>
      <c r="V974">
        <v>25</v>
      </c>
      <c r="W974">
        <v>25</v>
      </c>
      <c r="X974">
        <v>40</v>
      </c>
      <c r="Y974">
        <f t="shared" si="450"/>
        <v>152</v>
      </c>
      <c r="Z974">
        <f t="shared" si="451"/>
        <v>152</v>
      </c>
      <c r="AA974">
        <f t="shared" si="452"/>
        <v>120</v>
      </c>
      <c r="AB974">
        <f t="shared" si="453"/>
        <v>120</v>
      </c>
      <c r="AC974">
        <f t="shared" si="454"/>
        <v>105</v>
      </c>
      <c r="AD974">
        <f t="shared" si="455"/>
        <v>79</v>
      </c>
      <c r="AE974">
        <f t="shared" si="456"/>
        <v>72</v>
      </c>
      <c r="AF974">
        <f t="shared" si="457"/>
        <v>40</v>
      </c>
      <c r="AG974">
        <f t="shared" si="458"/>
        <v>36</v>
      </c>
      <c r="AH974">
        <f t="shared" si="459"/>
        <v>22</v>
      </c>
      <c r="AI974">
        <f t="shared" si="460"/>
        <v>79</v>
      </c>
      <c r="AJ974">
        <f t="shared" si="461"/>
        <v>72</v>
      </c>
      <c r="AK974">
        <f t="shared" si="462"/>
        <v>40</v>
      </c>
      <c r="AL974">
        <f t="shared" si="463"/>
        <v>36</v>
      </c>
      <c r="AM974">
        <f t="shared" si="464"/>
        <v>22</v>
      </c>
      <c r="AN974">
        <f t="shared" si="465"/>
        <v>84</v>
      </c>
      <c r="AO974">
        <f t="shared" si="466"/>
        <v>77</v>
      </c>
      <c r="AP974">
        <f t="shared" si="467"/>
        <v>45</v>
      </c>
      <c r="AQ974">
        <f t="shared" si="468"/>
        <v>40</v>
      </c>
      <c r="AR974">
        <f t="shared" si="469"/>
        <v>27</v>
      </c>
      <c r="AS974">
        <f t="shared" si="470"/>
        <v>84</v>
      </c>
      <c r="AT974">
        <f t="shared" si="471"/>
        <v>77</v>
      </c>
      <c r="AU974">
        <f t="shared" si="472"/>
        <v>45</v>
      </c>
      <c r="AV974">
        <f t="shared" si="473"/>
        <v>40</v>
      </c>
      <c r="AW974">
        <f t="shared" si="474"/>
        <v>27</v>
      </c>
      <c r="AX974">
        <f t="shared" si="475"/>
        <v>101</v>
      </c>
      <c r="AY974">
        <f t="shared" si="476"/>
        <v>92</v>
      </c>
      <c r="AZ974">
        <f t="shared" si="477"/>
        <v>60</v>
      </c>
      <c r="BA974">
        <f t="shared" si="478"/>
        <v>54</v>
      </c>
      <c r="BB974">
        <f t="shared" si="479"/>
        <v>40</v>
      </c>
    </row>
    <row r="975" spans="1:54" x14ac:dyDescent="0.15">
      <c r="B975" t="s">
        <v>3412</v>
      </c>
      <c r="C975">
        <v>746</v>
      </c>
      <c r="D975">
        <v>1</v>
      </c>
      <c r="E975" t="s">
        <v>3407</v>
      </c>
      <c r="F975" t="s">
        <v>3413</v>
      </c>
      <c r="G975" t="s">
        <v>3414</v>
      </c>
      <c r="J975" t="s">
        <v>3410</v>
      </c>
      <c r="K975">
        <v>78.599999999999994</v>
      </c>
      <c r="L975">
        <v>8.1999999999999993</v>
      </c>
      <c r="M975" t="s">
        <v>71</v>
      </c>
      <c r="O975" t="s">
        <v>3411</v>
      </c>
      <c r="R975">
        <v>8</v>
      </c>
      <c r="S975">
        <v>45</v>
      </c>
      <c r="T975">
        <v>140</v>
      </c>
      <c r="U975">
        <v>130</v>
      </c>
      <c r="V975">
        <v>140</v>
      </c>
      <c r="W975">
        <v>135</v>
      </c>
      <c r="X975">
        <v>30</v>
      </c>
      <c r="Y975">
        <f t="shared" si="450"/>
        <v>152</v>
      </c>
      <c r="Z975">
        <f t="shared" si="451"/>
        <v>152</v>
      </c>
      <c r="AA975">
        <f t="shared" si="452"/>
        <v>120</v>
      </c>
      <c r="AB975">
        <f t="shared" si="453"/>
        <v>120</v>
      </c>
      <c r="AC975">
        <f t="shared" si="454"/>
        <v>105</v>
      </c>
      <c r="AD975">
        <f t="shared" si="455"/>
        <v>211</v>
      </c>
      <c r="AE975">
        <f t="shared" si="456"/>
        <v>192</v>
      </c>
      <c r="AF975">
        <f t="shared" si="457"/>
        <v>160</v>
      </c>
      <c r="AG975">
        <f t="shared" si="458"/>
        <v>144</v>
      </c>
      <c r="AH975">
        <f t="shared" si="459"/>
        <v>130</v>
      </c>
      <c r="AI975">
        <f t="shared" si="460"/>
        <v>200</v>
      </c>
      <c r="AJ975">
        <f t="shared" si="461"/>
        <v>182</v>
      </c>
      <c r="AK975">
        <f t="shared" si="462"/>
        <v>150</v>
      </c>
      <c r="AL975">
        <f t="shared" si="463"/>
        <v>135</v>
      </c>
      <c r="AM975">
        <f t="shared" si="464"/>
        <v>121</v>
      </c>
      <c r="AN975">
        <f t="shared" si="465"/>
        <v>211</v>
      </c>
      <c r="AO975">
        <f t="shared" si="466"/>
        <v>192</v>
      </c>
      <c r="AP975">
        <f t="shared" si="467"/>
        <v>160</v>
      </c>
      <c r="AQ975">
        <f t="shared" si="468"/>
        <v>144</v>
      </c>
      <c r="AR975">
        <f t="shared" si="469"/>
        <v>130</v>
      </c>
      <c r="AS975">
        <f t="shared" si="470"/>
        <v>205</v>
      </c>
      <c r="AT975">
        <f t="shared" si="471"/>
        <v>187</v>
      </c>
      <c r="AU975">
        <f t="shared" si="472"/>
        <v>155</v>
      </c>
      <c r="AV975">
        <f t="shared" si="473"/>
        <v>139</v>
      </c>
      <c r="AW975">
        <f t="shared" si="474"/>
        <v>126</v>
      </c>
      <c r="AX975">
        <f t="shared" si="475"/>
        <v>90</v>
      </c>
      <c r="AY975">
        <f t="shared" si="476"/>
        <v>82</v>
      </c>
      <c r="AZ975">
        <f t="shared" si="477"/>
        <v>50</v>
      </c>
      <c r="BA975">
        <f t="shared" si="478"/>
        <v>45</v>
      </c>
      <c r="BB975">
        <f t="shared" si="479"/>
        <v>31</v>
      </c>
    </row>
    <row r="976" spans="1:54" x14ac:dyDescent="0.15">
      <c r="A976">
        <v>629</v>
      </c>
      <c r="B976" t="s">
        <v>3415</v>
      </c>
      <c r="C976">
        <v>747</v>
      </c>
      <c r="D976">
        <v>0</v>
      </c>
      <c r="E976" t="s">
        <v>3416</v>
      </c>
      <c r="G976" t="s">
        <v>3416</v>
      </c>
      <c r="H976" t="s">
        <v>3417</v>
      </c>
      <c r="J976" t="s">
        <v>3418</v>
      </c>
      <c r="K976">
        <v>8</v>
      </c>
      <c r="L976">
        <v>0.4</v>
      </c>
      <c r="M976" t="s">
        <v>27</v>
      </c>
      <c r="N976" t="s">
        <v>71</v>
      </c>
      <c r="O976" t="s">
        <v>3419</v>
      </c>
      <c r="P976" t="s">
        <v>336</v>
      </c>
      <c r="Q976" t="s">
        <v>471</v>
      </c>
      <c r="R976">
        <v>9</v>
      </c>
      <c r="S976">
        <v>50</v>
      </c>
      <c r="T976">
        <v>53</v>
      </c>
      <c r="U976">
        <v>62</v>
      </c>
      <c r="V976">
        <v>43</v>
      </c>
      <c r="W976">
        <v>52</v>
      </c>
      <c r="X976">
        <v>45</v>
      </c>
      <c r="Y976">
        <f t="shared" si="450"/>
        <v>157</v>
      </c>
      <c r="Z976">
        <f t="shared" si="451"/>
        <v>157</v>
      </c>
      <c r="AA976">
        <f t="shared" si="452"/>
        <v>125</v>
      </c>
      <c r="AB976">
        <f t="shared" si="453"/>
        <v>125</v>
      </c>
      <c r="AC976">
        <f t="shared" si="454"/>
        <v>110</v>
      </c>
      <c r="AD976">
        <f t="shared" si="455"/>
        <v>115</v>
      </c>
      <c r="AE976">
        <f t="shared" si="456"/>
        <v>105</v>
      </c>
      <c r="AF976">
        <f t="shared" si="457"/>
        <v>73</v>
      </c>
      <c r="AG976">
        <f t="shared" si="458"/>
        <v>65</v>
      </c>
      <c r="AH976">
        <f t="shared" si="459"/>
        <v>52</v>
      </c>
      <c r="AI976">
        <f t="shared" si="460"/>
        <v>125</v>
      </c>
      <c r="AJ976">
        <f t="shared" si="461"/>
        <v>114</v>
      </c>
      <c r="AK976">
        <f t="shared" si="462"/>
        <v>82</v>
      </c>
      <c r="AL976">
        <f t="shared" si="463"/>
        <v>73</v>
      </c>
      <c r="AM976">
        <f t="shared" si="464"/>
        <v>60</v>
      </c>
      <c r="AN976">
        <f t="shared" si="465"/>
        <v>104</v>
      </c>
      <c r="AO976">
        <f t="shared" si="466"/>
        <v>95</v>
      </c>
      <c r="AP976">
        <f t="shared" si="467"/>
        <v>63</v>
      </c>
      <c r="AQ976">
        <f t="shared" si="468"/>
        <v>56</v>
      </c>
      <c r="AR976">
        <f t="shared" si="469"/>
        <v>43</v>
      </c>
      <c r="AS976">
        <f t="shared" si="470"/>
        <v>114</v>
      </c>
      <c r="AT976">
        <f t="shared" si="471"/>
        <v>104</v>
      </c>
      <c r="AU976">
        <f t="shared" si="472"/>
        <v>72</v>
      </c>
      <c r="AV976">
        <f t="shared" si="473"/>
        <v>64</v>
      </c>
      <c r="AW976">
        <f t="shared" si="474"/>
        <v>51</v>
      </c>
      <c r="AX976">
        <f t="shared" si="475"/>
        <v>106</v>
      </c>
      <c r="AY976">
        <f t="shared" si="476"/>
        <v>97</v>
      </c>
      <c r="AZ976">
        <f t="shared" si="477"/>
        <v>65</v>
      </c>
      <c r="BA976">
        <f t="shared" si="478"/>
        <v>58</v>
      </c>
      <c r="BB976">
        <f t="shared" si="479"/>
        <v>45</v>
      </c>
    </row>
    <row r="977" spans="1:54" x14ac:dyDescent="0.15">
      <c r="A977">
        <v>630</v>
      </c>
      <c r="B977" t="s">
        <v>3420</v>
      </c>
      <c r="C977">
        <v>748</v>
      </c>
      <c r="D977">
        <v>0</v>
      </c>
      <c r="E977" t="s">
        <v>3421</v>
      </c>
      <c r="G977" t="s">
        <v>3421</v>
      </c>
      <c r="H977" t="s">
        <v>3422</v>
      </c>
      <c r="J977" t="s">
        <v>3418</v>
      </c>
      <c r="K977">
        <v>14.5</v>
      </c>
      <c r="L977">
        <v>0.7</v>
      </c>
      <c r="M977" t="s">
        <v>27</v>
      </c>
      <c r="N977" t="s">
        <v>71</v>
      </c>
      <c r="O977" t="s">
        <v>3419</v>
      </c>
      <c r="P977" t="s">
        <v>336</v>
      </c>
      <c r="Q977" t="s">
        <v>471</v>
      </c>
      <c r="R977">
        <v>9</v>
      </c>
      <c r="S977">
        <v>50</v>
      </c>
      <c r="T977">
        <v>63</v>
      </c>
      <c r="U977">
        <v>152</v>
      </c>
      <c r="V977">
        <v>53</v>
      </c>
      <c r="W977">
        <v>142</v>
      </c>
      <c r="X977">
        <v>35</v>
      </c>
      <c r="Y977">
        <f t="shared" si="450"/>
        <v>157</v>
      </c>
      <c r="Z977">
        <f t="shared" si="451"/>
        <v>157</v>
      </c>
      <c r="AA977">
        <f t="shared" si="452"/>
        <v>125</v>
      </c>
      <c r="AB977">
        <f t="shared" si="453"/>
        <v>125</v>
      </c>
      <c r="AC977">
        <f t="shared" si="454"/>
        <v>110</v>
      </c>
      <c r="AD977">
        <f t="shared" si="455"/>
        <v>126</v>
      </c>
      <c r="AE977">
        <f t="shared" si="456"/>
        <v>115</v>
      </c>
      <c r="AF977">
        <f t="shared" si="457"/>
        <v>83</v>
      </c>
      <c r="AG977">
        <f t="shared" si="458"/>
        <v>74</v>
      </c>
      <c r="AH977">
        <f t="shared" si="459"/>
        <v>61</v>
      </c>
      <c r="AI977">
        <f t="shared" si="460"/>
        <v>224</v>
      </c>
      <c r="AJ977">
        <f t="shared" si="461"/>
        <v>204</v>
      </c>
      <c r="AK977">
        <f t="shared" si="462"/>
        <v>172</v>
      </c>
      <c r="AL977">
        <f t="shared" si="463"/>
        <v>154</v>
      </c>
      <c r="AM977">
        <f t="shared" si="464"/>
        <v>141</v>
      </c>
      <c r="AN977">
        <f t="shared" si="465"/>
        <v>115</v>
      </c>
      <c r="AO977">
        <f t="shared" si="466"/>
        <v>105</v>
      </c>
      <c r="AP977">
        <f t="shared" si="467"/>
        <v>73</v>
      </c>
      <c r="AQ977">
        <f t="shared" si="468"/>
        <v>65</v>
      </c>
      <c r="AR977">
        <f t="shared" si="469"/>
        <v>52</v>
      </c>
      <c r="AS977">
        <f t="shared" si="470"/>
        <v>213</v>
      </c>
      <c r="AT977">
        <f t="shared" si="471"/>
        <v>194</v>
      </c>
      <c r="AU977">
        <f t="shared" si="472"/>
        <v>162</v>
      </c>
      <c r="AV977">
        <f t="shared" si="473"/>
        <v>145</v>
      </c>
      <c r="AW977">
        <f t="shared" si="474"/>
        <v>132</v>
      </c>
      <c r="AX977">
        <f t="shared" si="475"/>
        <v>95</v>
      </c>
      <c r="AY977">
        <f t="shared" si="476"/>
        <v>87</v>
      </c>
      <c r="AZ977">
        <f t="shared" si="477"/>
        <v>55</v>
      </c>
      <c r="BA977">
        <f t="shared" si="478"/>
        <v>49</v>
      </c>
      <c r="BB977">
        <f t="shared" si="479"/>
        <v>36</v>
      </c>
    </row>
    <row r="978" spans="1:54" x14ac:dyDescent="0.15">
      <c r="A978">
        <v>673</v>
      </c>
      <c r="B978" t="s">
        <v>3423</v>
      </c>
      <c r="C978">
        <v>749</v>
      </c>
      <c r="D978">
        <v>0</v>
      </c>
      <c r="E978" t="s">
        <v>3424</v>
      </c>
      <c r="G978" t="s">
        <v>3424</v>
      </c>
      <c r="H978" t="s">
        <v>3425</v>
      </c>
      <c r="J978" t="s">
        <v>3426</v>
      </c>
      <c r="K978">
        <v>110</v>
      </c>
      <c r="L978">
        <v>1</v>
      </c>
      <c r="M978" t="s">
        <v>196</v>
      </c>
      <c r="O978" t="s">
        <v>470</v>
      </c>
      <c r="P978" t="s">
        <v>3427</v>
      </c>
      <c r="Q978" t="s">
        <v>268</v>
      </c>
      <c r="R978">
        <v>9</v>
      </c>
      <c r="S978">
        <v>70</v>
      </c>
      <c r="T978">
        <v>100</v>
      </c>
      <c r="U978">
        <v>70</v>
      </c>
      <c r="V978">
        <v>45</v>
      </c>
      <c r="W978">
        <v>55</v>
      </c>
      <c r="X978">
        <v>45</v>
      </c>
      <c r="Y978">
        <f t="shared" si="450"/>
        <v>177</v>
      </c>
      <c r="Z978">
        <f t="shared" si="451"/>
        <v>177</v>
      </c>
      <c r="AA978">
        <f t="shared" si="452"/>
        <v>145</v>
      </c>
      <c r="AB978">
        <f t="shared" si="453"/>
        <v>145</v>
      </c>
      <c r="AC978">
        <f t="shared" si="454"/>
        <v>130</v>
      </c>
      <c r="AD978">
        <f t="shared" si="455"/>
        <v>167</v>
      </c>
      <c r="AE978">
        <f t="shared" si="456"/>
        <v>152</v>
      </c>
      <c r="AF978">
        <f t="shared" si="457"/>
        <v>120</v>
      </c>
      <c r="AG978">
        <f t="shared" si="458"/>
        <v>108</v>
      </c>
      <c r="AH978">
        <f t="shared" si="459"/>
        <v>94</v>
      </c>
      <c r="AI978">
        <f t="shared" si="460"/>
        <v>134</v>
      </c>
      <c r="AJ978">
        <f t="shared" si="461"/>
        <v>122</v>
      </c>
      <c r="AK978">
        <f t="shared" si="462"/>
        <v>90</v>
      </c>
      <c r="AL978">
        <f t="shared" si="463"/>
        <v>81</v>
      </c>
      <c r="AM978">
        <f t="shared" si="464"/>
        <v>67</v>
      </c>
      <c r="AN978">
        <f t="shared" si="465"/>
        <v>106</v>
      </c>
      <c r="AO978">
        <f t="shared" si="466"/>
        <v>97</v>
      </c>
      <c r="AP978">
        <f t="shared" si="467"/>
        <v>65</v>
      </c>
      <c r="AQ978">
        <f t="shared" si="468"/>
        <v>58</v>
      </c>
      <c r="AR978">
        <f t="shared" si="469"/>
        <v>45</v>
      </c>
      <c r="AS978">
        <f t="shared" si="470"/>
        <v>117</v>
      </c>
      <c r="AT978">
        <f t="shared" si="471"/>
        <v>107</v>
      </c>
      <c r="AU978">
        <f t="shared" si="472"/>
        <v>75</v>
      </c>
      <c r="AV978">
        <f t="shared" si="473"/>
        <v>67</v>
      </c>
      <c r="AW978">
        <f t="shared" si="474"/>
        <v>54</v>
      </c>
      <c r="AX978">
        <f t="shared" si="475"/>
        <v>106</v>
      </c>
      <c r="AY978">
        <f t="shared" si="476"/>
        <v>97</v>
      </c>
      <c r="AZ978">
        <f t="shared" si="477"/>
        <v>65</v>
      </c>
      <c r="BA978">
        <f t="shared" si="478"/>
        <v>58</v>
      </c>
      <c r="BB978">
        <f t="shared" si="479"/>
        <v>45</v>
      </c>
    </row>
    <row r="979" spans="1:54" x14ac:dyDescent="0.15">
      <c r="A979">
        <v>674</v>
      </c>
      <c r="B979" t="s">
        <v>3428</v>
      </c>
      <c r="C979">
        <v>750</v>
      </c>
      <c r="D979">
        <v>0</v>
      </c>
      <c r="E979" t="s">
        <v>3429</v>
      </c>
      <c r="G979" t="s">
        <v>3429</v>
      </c>
      <c r="H979" t="s">
        <v>3430</v>
      </c>
      <c r="J979" t="s">
        <v>3431</v>
      </c>
      <c r="K979">
        <v>920</v>
      </c>
      <c r="L979">
        <v>2.5</v>
      </c>
      <c r="M979" t="s">
        <v>196</v>
      </c>
      <c r="O979" t="s">
        <v>470</v>
      </c>
      <c r="P979" t="s">
        <v>3427</v>
      </c>
      <c r="Q979" t="s">
        <v>268</v>
      </c>
      <c r="R979">
        <v>9</v>
      </c>
      <c r="S979">
        <v>100</v>
      </c>
      <c r="T979">
        <v>125</v>
      </c>
      <c r="U979">
        <v>100</v>
      </c>
      <c r="V979">
        <v>55</v>
      </c>
      <c r="W979">
        <v>85</v>
      </c>
      <c r="X979">
        <v>35</v>
      </c>
      <c r="Y979">
        <f t="shared" si="450"/>
        <v>207</v>
      </c>
      <c r="Z979">
        <f t="shared" si="451"/>
        <v>207</v>
      </c>
      <c r="AA979">
        <f t="shared" si="452"/>
        <v>175</v>
      </c>
      <c r="AB979">
        <f t="shared" si="453"/>
        <v>175</v>
      </c>
      <c r="AC979">
        <f t="shared" si="454"/>
        <v>160</v>
      </c>
      <c r="AD979">
        <f t="shared" si="455"/>
        <v>194</v>
      </c>
      <c r="AE979">
        <f t="shared" si="456"/>
        <v>177</v>
      </c>
      <c r="AF979">
        <f t="shared" si="457"/>
        <v>145</v>
      </c>
      <c r="AG979">
        <f t="shared" si="458"/>
        <v>130</v>
      </c>
      <c r="AH979">
        <f t="shared" si="459"/>
        <v>117</v>
      </c>
      <c r="AI979">
        <f t="shared" si="460"/>
        <v>167</v>
      </c>
      <c r="AJ979">
        <f t="shared" si="461"/>
        <v>152</v>
      </c>
      <c r="AK979">
        <f t="shared" si="462"/>
        <v>120</v>
      </c>
      <c r="AL979">
        <f t="shared" si="463"/>
        <v>108</v>
      </c>
      <c r="AM979">
        <f t="shared" si="464"/>
        <v>94</v>
      </c>
      <c r="AN979">
        <f t="shared" si="465"/>
        <v>117</v>
      </c>
      <c r="AO979">
        <f t="shared" si="466"/>
        <v>107</v>
      </c>
      <c r="AP979">
        <f t="shared" si="467"/>
        <v>75</v>
      </c>
      <c r="AQ979">
        <f t="shared" si="468"/>
        <v>67</v>
      </c>
      <c r="AR979">
        <f t="shared" si="469"/>
        <v>54</v>
      </c>
      <c r="AS979">
        <f t="shared" si="470"/>
        <v>150</v>
      </c>
      <c r="AT979">
        <f t="shared" si="471"/>
        <v>137</v>
      </c>
      <c r="AU979">
        <f t="shared" si="472"/>
        <v>105</v>
      </c>
      <c r="AV979">
        <f t="shared" si="473"/>
        <v>94</v>
      </c>
      <c r="AW979">
        <f t="shared" si="474"/>
        <v>81</v>
      </c>
      <c r="AX979">
        <f t="shared" si="475"/>
        <v>95</v>
      </c>
      <c r="AY979">
        <f t="shared" si="476"/>
        <v>87</v>
      </c>
      <c r="AZ979">
        <f t="shared" si="477"/>
        <v>55</v>
      </c>
      <c r="BA979">
        <f t="shared" si="478"/>
        <v>49</v>
      </c>
      <c r="BB979">
        <f t="shared" si="479"/>
        <v>36</v>
      </c>
    </row>
    <row r="980" spans="1:54" x14ac:dyDescent="0.15">
      <c r="A980">
        <v>685</v>
      </c>
      <c r="B980" t="s">
        <v>3432</v>
      </c>
      <c r="C980">
        <v>751</v>
      </c>
      <c r="D980">
        <v>0</v>
      </c>
      <c r="E980" t="s">
        <v>3433</v>
      </c>
      <c r="G980" t="s">
        <v>3433</v>
      </c>
      <c r="H980" t="s">
        <v>3434</v>
      </c>
      <c r="J980" t="s">
        <v>3435</v>
      </c>
      <c r="K980">
        <v>4</v>
      </c>
      <c r="L980">
        <v>0.3</v>
      </c>
      <c r="M980" t="s">
        <v>71</v>
      </c>
      <c r="N980" t="s">
        <v>90</v>
      </c>
      <c r="O980" t="s">
        <v>3436</v>
      </c>
      <c r="P980" t="s">
        <v>383</v>
      </c>
      <c r="R980">
        <v>9</v>
      </c>
      <c r="S980">
        <v>38</v>
      </c>
      <c r="T980">
        <v>40</v>
      </c>
      <c r="U980">
        <v>52</v>
      </c>
      <c r="V980">
        <v>40</v>
      </c>
      <c r="W980">
        <v>72</v>
      </c>
      <c r="X980">
        <v>27</v>
      </c>
      <c r="Y980">
        <f t="shared" si="450"/>
        <v>145</v>
      </c>
      <c r="Z980">
        <f t="shared" si="451"/>
        <v>145</v>
      </c>
      <c r="AA980">
        <f t="shared" si="452"/>
        <v>113</v>
      </c>
      <c r="AB980">
        <f t="shared" si="453"/>
        <v>113</v>
      </c>
      <c r="AC980">
        <f t="shared" si="454"/>
        <v>98</v>
      </c>
      <c r="AD980">
        <f t="shared" si="455"/>
        <v>101</v>
      </c>
      <c r="AE980">
        <f t="shared" si="456"/>
        <v>92</v>
      </c>
      <c r="AF980">
        <f t="shared" si="457"/>
        <v>60</v>
      </c>
      <c r="AG980">
        <f t="shared" si="458"/>
        <v>54</v>
      </c>
      <c r="AH980">
        <f t="shared" si="459"/>
        <v>40</v>
      </c>
      <c r="AI980">
        <f t="shared" si="460"/>
        <v>114</v>
      </c>
      <c r="AJ980">
        <f t="shared" si="461"/>
        <v>104</v>
      </c>
      <c r="AK980">
        <f t="shared" si="462"/>
        <v>72</v>
      </c>
      <c r="AL980">
        <f t="shared" si="463"/>
        <v>64</v>
      </c>
      <c r="AM980">
        <f t="shared" si="464"/>
        <v>51</v>
      </c>
      <c r="AN980">
        <f t="shared" si="465"/>
        <v>101</v>
      </c>
      <c r="AO980">
        <f t="shared" si="466"/>
        <v>92</v>
      </c>
      <c r="AP980">
        <f t="shared" si="467"/>
        <v>60</v>
      </c>
      <c r="AQ980">
        <f t="shared" si="468"/>
        <v>54</v>
      </c>
      <c r="AR980">
        <f t="shared" si="469"/>
        <v>40</v>
      </c>
      <c r="AS980">
        <f t="shared" si="470"/>
        <v>136</v>
      </c>
      <c r="AT980">
        <f t="shared" si="471"/>
        <v>124</v>
      </c>
      <c r="AU980">
        <f t="shared" si="472"/>
        <v>92</v>
      </c>
      <c r="AV980">
        <f t="shared" si="473"/>
        <v>82</v>
      </c>
      <c r="AW980">
        <f t="shared" si="474"/>
        <v>69</v>
      </c>
      <c r="AX980">
        <f t="shared" si="475"/>
        <v>86</v>
      </c>
      <c r="AY980">
        <f t="shared" si="476"/>
        <v>79</v>
      </c>
      <c r="AZ980">
        <f t="shared" si="477"/>
        <v>47</v>
      </c>
      <c r="BA980">
        <f t="shared" si="478"/>
        <v>42</v>
      </c>
      <c r="BB980">
        <f t="shared" si="479"/>
        <v>28</v>
      </c>
    </row>
    <row r="981" spans="1:54" x14ac:dyDescent="0.15">
      <c r="A981">
        <v>686</v>
      </c>
      <c r="B981" t="s">
        <v>3437</v>
      </c>
      <c r="C981">
        <v>752</v>
      </c>
      <c r="D981">
        <v>0</v>
      </c>
      <c r="E981" t="s">
        <v>3438</v>
      </c>
      <c r="G981" t="s">
        <v>3438</v>
      </c>
      <c r="H981" t="s">
        <v>3439</v>
      </c>
      <c r="J981" t="s">
        <v>3435</v>
      </c>
      <c r="K981">
        <v>82</v>
      </c>
      <c r="L981">
        <v>1.8</v>
      </c>
      <c r="M981" t="s">
        <v>71</v>
      </c>
      <c r="N981" t="s">
        <v>90</v>
      </c>
      <c r="O981" t="s">
        <v>3436</v>
      </c>
      <c r="P981" t="s">
        <v>383</v>
      </c>
      <c r="R981">
        <v>9</v>
      </c>
      <c r="S981">
        <v>68</v>
      </c>
      <c r="T981">
        <v>70</v>
      </c>
      <c r="U981">
        <v>92</v>
      </c>
      <c r="V981">
        <v>50</v>
      </c>
      <c r="W981">
        <v>132</v>
      </c>
      <c r="X981">
        <v>42</v>
      </c>
      <c r="Y981">
        <f t="shared" si="450"/>
        <v>175</v>
      </c>
      <c r="Z981">
        <f t="shared" si="451"/>
        <v>175</v>
      </c>
      <c r="AA981">
        <f t="shared" si="452"/>
        <v>143</v>
      </c>
      <c r="AB981">
        <f t="shared" si="453"/>
        <v>143</v>
      </c>
      <c r="AC981">
        <f t="shared" si="454"/>
        <v>128</v>
      </c>
      <c r="AD981">
        <f t="shared" si="455"/>
        <v>134</v>
      </c>
      <c r="AE981">
        <f t="shared" si="456"/>
        <v>122</v>
      </c>
      <c r="AF981">
        <f t="shared" si="457"/>
        <v>90</v>
      </c>
      <c r="AG981">
        <f t="shared" si="458"/>
        <v>81</v>
      </c>
      <c r="AH981">
        <f t="shared" si="459"/>
        <v>67</v>
      </c>
      <c r="AI981">
        <f t="shared" si="460"/>
        <v>158</v>
      </c>
      <c r="AJ981">
        <f t="shared" si="461"/>
        <v>144</v>
      </c>
      <c r="AK981">
        <f t="shared" si="462"/>
        <v>112</v>
      </c>
      <c r="AL981">
        <f t="shared" si="463"/>
        <v>100</v>
      </c>
      <c r="AM981">
        <f t="shared" si="464"/>
        <v>87</v>
      </c>
      <c r="AN981">
        <f t="shared" si="465"/>
        <v>112</v>
      </c>
      <c r="AO981">
        <f t="shared" si="466"/>
        <v>102</v>
      </c>
      <c r="AP981">
        <f t="shared" si="467"/>
        <v>70</v>
      </c>
      <c r="AQ981">
        <f t="shared" si="468"/>
        <v>63</v>
      </c>
      <c r="AR981">
        <f t="shared" si="469"/>
        <v>49</v>
      </c>
      <c r="AS981">
        <f t="shared" si="470"/>
        <v>202</v>
      </c>
      <c r="AT981">
        <f t="shared" si="471"/>
        <v>184</v>
      </c>
      <c r="AU981">
        <f t="shared" si="472"/>
        <v>152</v>
      </c>
      <c r="AV981">
        <f t="shared" si="473"/>
        <v>136</v>
      </c>
      <c r="AW981">
        <f t="shared" si="474"/>
        <v>123</v>
      </c>
      <c r="AX981">
        <f t="shared" si="475"/>
        <v>103</v>
      </c>
      <c r="AY981">
        <f t="shared" si="476"/>
        <v>94</v>
      </c>
      <c r="AZ981">
        <f t="shared" si="477"/>
        <v>62</v>
      </c>
      <c r="BA981">
        <f t="shared" si="478"/>
        <v>55</v>
      </c>
      <c r="BB981">
        <f t="shared" si="479"/>
        <v>42</v>
      </c>
    </row>
    <row r="982" spans="1:54" x14ac:dyDescent="0.15">
      <c r="A982">
        <v>694</v>
      </c>
      <c r="B982" t="s">
        <v>3440</v>
      </c>
      <c r="C982">
        <v>753</v>
      </c>
      <c r="D982">
        <v>0</v>
      </c>
      <c r="E982" t="s">
        <v>3441</v>
      </c>
      <c r="G982" t="s">
        <v>3441</v>
      </c>
      <c r="H982" t="s">
        <v>3442</v>
      </c>
      <c r="J982" t="s">
        <v>3443</v>
      </c>
      <c r="K982">
        <v>1.5</v>
      </c>
      <c r="L982">
        <v>0.3</v>
      </c>
      <c r="M982" t="s">
        <v>26</v>
      </c>
      <c r="O982" t="s">
        <v>660</v>
      </c>
      <c r="P982" t="s">
        <v>1094</v>
      </c>
      <c r="R982">
        <v>9</v>
      </c>
      <c r="S982">
        <v>40</v>
      </c>
      <c r="T982">
        <v>55</v>
      </c>
      <c r="U982">
        <v>35</v>
      </c>
      <c r="V982">
        <v>50</v>
      </c>
      <c r="W982">
        <v>35</v>
      </c>
      <c r="X982">
        <v>35</v>
      </c>
      <c r="Y982">
        <f t="shared" si="450"/>
        <v>147</v>
      </c>
      <c r="Z982">
        <f t="shared" si="451"/>
        <v>147</v>
      </c>
      <c r="AA982">
        <f t="shared" si="452"/>
        <v>115</v>
      </c>
      <c r="AB982">
        <f t="shared" si="453"/>
        <v>115</v>
      </c>
      <c r="AC982">
        <f t="shared" si="454"/>
        <v>100</v>
      </c>
      <c r="AD982">
        <f t="shared" si="455"/>
        <v>117</v>
      </c>
      <c r="AE982">
        <f t="shared" si="456"/>
        <v>107</v>
      </c>
      <c r="AF982">
        <f t="shared" si="457"/>
        <v>75</v>
      </c>
      <c r="AG982">
        <f t="shared" si="458"/>
        <v>67</v>
      </c>
      <c r="AH982">
        <f t="shared" si="459"/>
        <v>54</v>
      </c>
      <c r="AI982">
        <f t="shared" si="460"/>
        <v>95</v>
      </c>
      <c r="AJ982">
        <f t="shared" si="461"/>
        <v>87</v>
      </c>
      <c r="AK982">
        <f t="shared" si="462"/>
        <v>55</v>
      </c>
      <c r="AL982">
        <f t="shared" si="463"/>
        <v>49</v>
      </c>
      <c r="AM982">
        <f t="shared" si="464"/>
        <v>36</v>
      </c>
      <c r="AN982">
        <f t="shared" si="465"/>
        <v>112</v>
      </c>
      <c r="AO982">
        <f t="shared" si="466"/>
        <v>102</v>
      </c>
      <c r="AP982">
        <f t="shared" si="467"/>
        <v>70</v>
      </c>
      <c r="AQ982">
        <f t="shared" si="468"/>
        <v>63</v>
      </c>
      <c r="AR982">
        <f t="shared" si="469"/>
        <v>49</v>
      </c>
      <c r="AS982">
        <f t="shared" si="470"/>
        <v>95</v>
      </c>
      <c r="AT982">
        <f t="shared" si="471"/>
        <v>87</v>
      </c>
      <c r="AU982">
        <f t="shared" si="472"/>
        <v>55</v>
      </c>
      <c r="AV982">
        <f t="shared" si="473"/>
        <v>49</v>
      </c>
      <c r="AW982">
        <f t="shared" si="474"/>
        <v>36</v>
      </c>
      <c r="AX982">
        <f t="shared" si="475"/>
        <v>95</v>
      </c>
      <c r="AY982">
        <f t="shared" si="476"/>
        <v>87</v>
      </c>
      <c r="AZ982">
        <f t="shared" si="477"/>
        <v>55</v>
      </c>
      <c r="BA982">
        <f t="shared" si="478"/>
        <v>49</v>
      </c>
      <c r="BB982">
        <f t="shared" si="479"/>
        <v>36</v>
      </c>
    </row>
    <row r="983" spans="1:54" x14ac:dyDescent="0.15">
      <c r="A983">
        <v>695</v>
      </c>
      <c r="B983" t="s">
        <v>3444</v>
      </c>
      <c r="C983">
        <v>754</v>
      </c>
      <c r="D983">
        <v>0</v>
      </c>
      <c r="E983" t="s">
        <v>3445</v>
      </c>
      <c r="G983" t="s">
        <v>3445</v>
      </c>
      <c r="H983" t="s">
        <v>3446</v>
      </c>
      <c r="J983" t="s">
        <v>3447</v>
      </c>
      <c r="K983">
        <v>18.5</v>
      </c>
      <c r="L983">
        <v>0.9</v>
      </c>
      <c r="M983" t="s">
        <v>26</v>
      </c>
      <c r="O983" t="s">
        <v>660</v>
      </c>
      <c r="P983" t="s">
        <v>1094</v>
      </c>
      <c r="R983">
        <v>9</v>
      </c>
      <c r="S983">
        <v>70</v>
      </c>
      <c r="T983">
        <v>105</v>
      </c>
      <c r="U983">
        <v>90</v>
      </c>
      <c r="V983">
        <v>80</v>
      </c>
      <c r="W983">
        <v>90</v>
      </c>
      <c r="X983">
        <v>45</v>
      </c>
      <c r="Y983">
        <f t="shared" si="450"/>
        <v>177</v>
      </c>
      <c r="Z983">
        <f t="shared" si="451"/>
        <v>177</v>
      </c>
      <c r="AA983">
        <f t="shared" si="452"/>
        <v>145</v>
      </c>
      <c r="AB983">
        <f t="shared" si="453"/>
        <v>145</v>
      </c>
      <c r="AC983">
        <f t="shared" si="454"/>
        <v>130</v>
      </c>
      <c r="AD983">
        <f t="shared" si="455"/>
        <v>172</v>
      </c>
      <c r="AE983">
        <f t="shared" si="456"/>
        <v>157</v>
      </c>
      <c r="AF983">
        <f t="shared" si="457"/>
        <v>125</v>
      </c>
      <c r="AG983">
        <f t="shared" si="458"/>
        <v>112</v>
      </c>
      <c r="AH983">
        <f t="shared" si="459"/>
        <v>99</v>
      </c>
      <c r="AI983">
        <f t="shared" si="460"/>
        <v>156</v>
      </c>
      <c r="AJ983">
        <f t="shared" si="461"/>
        <v>142</v>
      </c>
      <c r="AK983">
        <f t="shared" si="462"/>
        <v>110</v>
      </c>
      <c r="AL983">
        <f t="shared" si="463"/>
        <v>99</v>
      </c>
      <c r="AM983">
        <f t="shared" si="464"/>
        <v>85</v>
      </c>
      <c r="AN983">
        <f t="shared" si="465"/>
        <v>145</v>
      </c>
      <c r="AO983">
        <f t="shared" si="466"/>
        <v>132</v>
      </c>
      <c r="AP983">
        <f t="shared" si="467"/>
        <v>100</v>
      </c>
      <c r="AQ983">
        <f t="shared" si="468"/>
        <v>90</v>
      </c>
      <c r="AR983">
        <f t="shared" si="469"/>
        <v>76</v>
      </c>
      <c r="AS983">
        <f t="shared" si="470"/>
        <v>156</v>
      </c>
      <c r="AT983">
        <f t="shared" si="471"/>
        <v>142</v>
      </c>
      <c r="AU983">
        <f t="shared" si="472"/>
        <v>110</v>
      </c>
      <c r="AV983">
        <f t="shared" si="473"/>
        <v>99</v>
      </c>
      <c r="AW983">
        <f t="shared" si="474"/>
        <v>85</v>
      </c>
      <c r="AX983">
        <f t="shared" si="475"/>
        <v>106</v>
      </c>
      <c r="AY983">
        <f t="shared" si="476"/>
        <v>97</v>
      </c>
      <c r="AZ983">
        <f t="shared" si="477"/>
        <v>65</v>
      </c>
      <c r="BA983">
        <f t="shared" si="478"/>
        <v>58</v>
      </c>
      <c r="BB983">
        <f t="shared" si="479"/>
        <v>45</v>
      </c>
    </row>
    <row r="984" spans="1:54" x14ac:dyDescent="0.15">
      <c r="B984" t="s">
        <v>3448</v>
      </c>
      <c r="C984">
        <v>755</v>
      </c>
      <c r="D984">
        <v>0</v>
      </c>
      <c r="E984" t="s">
        <v>3449</v>
      </c>
      <c r="G984" t="s">
        <v>3449</v>
      </c>
      <c r="J984" t="s">
        <v>1093</v>
      </c>
      <c r="K984">
        <v>1.5</v>
      </c>
      <c r="L984">
        <v>0.2</v>
      </c>
      <c r="M984" t="s">
        <v>26</v>
      </c>
      <c r="N984" t="s">
        <v>233</v>
      </c>
      <c r="O984" t="s">
        <v>683</v>
      </c>
      <c r="P984" t="s">
        <v>284</v>
      </c>
      <c r="Q984" t="s">
        <v>73</v>
      </c>
      <c r="R984">
        <v>8</v>
      </c>
      <c r="S984">
        <v>40</v>
      </c>
      <c r="T984">
        <v>35</v>
      </c>
      <c r="U984">
        <v>55</v>
      </c>
      <c r="V984">
        <v>65</v>
      </c>
      <c r="W984">
        <v>75</v>
      </c>
      <c r="X984">
        <v>15</v>
      </c>
      <c r="Y984">
        <f t="shared" si="450"/>
        <v>147</v>
      </c>
      <c r="Z984">
        <f t="shared" si="451"/>
        <v>147</v>
      </c>
      <c r="AA984">
        <f t="shared" si="452"/>
        <v>115</v>
      </c>
      <c r="AB984">
        <f t="shared" si="453"/>
        <v>115</v>
      </c>
      <c r="AC984">
        <f t="shared" si="454"/>
        <v>100</v>
      </c>
      <c r="AD984">
        <f t="shared" si="455"/>
        <v>95</v>
      </c>
      <c r="AE984">
        <f t="shared" si="456"/>
        <v>87</v>
      </c>
      <c r="AF984">
        <f t="shared" si="457"/>
        <v>55</v>
      </c>
      <c r="AG984">
        <f t="shared" si="458"/>
        <v>49</v>
      </c>
      <c r="AH984">
        <f t="shared" si="459"/>
        <v>36</v>
      </c>
      <c r="AI984">
        <f t="shared" si="460"/>
        <v>117</v>
      </c>
      <c r="AJ984">
        <f t="shared" si="461"/>
        <v>107</v>
      </c>
      <c r="AK984">
        <f t="shared" si="462"/>
        <v>75</v>
      </c>
      <c r="AL984">
        <f t="shared" si="463"/>
        <v>67</v>
      </c>
      <c r="AM984">
        <f t="shared" si="464"/>
        <v>54</v>
      </c>
      <c r="AN984">
        <f t="shared" si="465"/>
        <v>128</v>
      </c>
      <c r="AO984">
        <f t="shared" si="466"/>
        <v>117</v>
      </c>
      <c r="AP984">
        <f t="shared" si="467"/>
        <v>85</v>
      </c>
      <c r="AQ984">
        <f t="shared" si="468"/>
        <v>76</v>
      </c>
      <c r="AR984">
        <f t="shared" si="469"/>
        <v>63</v>
      </c>
      <c r="AS984">
        <f t="shared" si="470"/>
        <v>139</v>
      </c>
      <c r="AT984">
        <f t="shared" si="471"/>
        <v>127</v>
      </c>
      <c r="AU984">
        <f t="shared" si="472"/>
        <v>95</v>
      </c>
      <c r="AV984">
        <f t="shared" si="473"/>
        <v>85</v>
      </c>
      <c r="AW984">
        <f t="shared" si="474"/>
        <v>72</v>
      </c>
      <c r="AX984">
        <f t="shared" si="475"/>
        <v>73</v>
      </c>
      <c r="AY984">
        <f t="shared" si="476"/>
        <v>67</v>
      </c>
      <c r="AZ984">
        <f t="shared" si="477"/>
        <v>35</v>
      </c>
      <c r="BA984">
        <f t="shared" si="478"/>
        <v>31</v>
      </c>
      <c r="BB984">
        <f t="shared" si="479"/>
        <v>18</v>
      </c>
    </row>
    <row r="985" spans="1:54" x14ac:dyDescent="0.15">
      <c r="B985" t="s">
        <v>3450</v>
      </c>
      <c r="C985">
        <v>756</v>
      </c>
      <c r="D985">
        <v>0</v>
      </c>
      <c r="E985" t="s">
        <v>3451</v>
      </c>
      <c r="G985" t="s">
        <v>3451</v>
      </c>
      <c r="J985" t="s">
        <v>1093</v>
      </c>
      <c r="K985">
        <v>11.5</v>
      </c>
      <c r="L985">
        <v>1</v>
      </c>
      <c r="M985" t="s">
        <v>26</v>
      </c>
      <c r="N985" t="s">
        <v>233</v>
      </c>
      <c r="O985" t="s">
        <v>683</v>
      </c>
      <c r="P985" t="s">
        <v>284</v>
      </c>
      <c r="Q985" t="s">
        <v>73</v>
      </c>
      <c r="R985">
        <v>8</v>
      </c>
      <c r="S985">
        <v>60</v>
      </c>
      <c r="T985">
        <v>45</v>
      </c>
      <c r="U985">
        <v>80</v>
      </c>
      <c r="V985">
        <v>90</v>
      </c>
      <c r="W985">
        <v>100</v>
      </c>
      <c r="X985">
        <v>30</v>
      </c>
      <c r="Y985">
        <f t="shared" si="450"/>
        <v>167</v>
      </c>
      <c r="Z985">
        <f t="shared" si="451"/>
        <v>167</v>
      </c>
      <c r="AA985">
        <f t="shared" si="452"/>
        <v>135</v>
      </c>
      <c r="AB985">
        <f t="shared" si="453"/>
        <v>135</v>
      </c>
      <c r="AC985">
        <f t="shared" si="454"/>
        <v>120</v>
      </c>
      <c r="AD985">
        <f t="shared" si="455"/>
        <v>106</v>
      </c>
      <c r="AE985">
        <f t="shared" si="456"/>
        <v>97</v>
      </c>
      <c r="AF985">
        <f t="shared" si="457"/>
        <v>65</v>
      </c>
      <c r="AG985">
        <f t="shared" si="458"/>
        <v>58</v>
      </c>
      <c r="AH985">
        <f t="shared" si="459"/>
        <v>45</v>
      </c>
      <c r="AI985">
        <f t="shared" si="460"/>
        <v>145</v>
      </c>
      <c r="AJ985">
        <f t="shared" si="461"/>
        <v>132</v>
      </c>
      <c r="AK985">
        <f t="shared" si="462"/>
        <v>100</v>
      </c>
      <c r="AL985">
        <f t="shared" si="463"/>
        <v>90</v>
      </c>
      <c r="AM985">
        <f t="shared" si="464"/>
        <v>76</v>
      </c>
      <c r="AN985">
        <f t="shared" si="465"/>
        <v>156</v>
      </c>
      <c r="AO985">
        <f t="shared" si="466"/>
        <v>142</v>
      </c>
      <c r="AP985">
        <f t="shared" si="467"/>
        <v>110</v>
      </c>
      <c r="AQ985">
        <f t="shared" si="468"/>
        <v>99</v>
      </c>
      <c r="AR985">
        <f t="shared" si="469"/>
        <v>85</v>
      </c>
      <c r="AS985">
        <f t="shared" si="470"/>
        <v>167</v>
      </c>
      <c r="AT985">
        <f t="shared" si="471"/>
        <v>152</v>
      </c>
      <c r="AU985">
        <f t="shared" si="472"/>
        <v>120</v>
      </c>
      <c r="AV985">
        <f t="shared" si="473"/>
        <v>108</v>
      </c>
      <c r="AW985">
        <f t="shared" si="474"/>
        <v>94</v>
      </c>
      <c r="AX985">
        <f t="shared" si="475"/>
        <v>90</v>
      </c>
      <c r="AY985">
        <f t="shared" si="476"/>
        <v>82</v>
      </c>
      <c r="AZ985">
        <f t="shared" si="477"/>
        <v>50</v>
      </c>
      <c r="BA985">
        <f t="shared" si="478"/>
        <v>45</v>
      </c>
      <c r="BB985">
        <f t="shared" si="479"/>
        <v>31</v>
      </c>
    </row>
    <row r="986" spans="1:54" x14ac:dyDescent="0.15">
      <c r="A986">
        <v>631</v>
      </c>
      <c r="B986" t="s">
        <v>3452</v>
      </c>
      <c r="C986">
        <v>757</v>
      </c>
      <c r="D986">
        <v>0</v>
      </c>
      <c r="E986" t="s">
        <v>3453</v>
      </c>
      <c r="G986" t="s">
        <v>3453</v>
      </c>
      <c r="H986" t="s">
        <v>3454</v>
      </c>
      <c r="J986" t="s">
        <v>3455</v>
      </c>
      <c r="K986">
        <v>4.8</v>
      </c>
      <c r="L986">
        <v>0.6</v>
      </c>
      <c r="M986" t="s">
        <v>27</v>
      </c>
      <c r="N986" t="s">
        <v>47</v>
      </c>
      <c r="O986" t="s">
        <v>3456</v>
      </c>
      <c r="P986" t="s">
        <v>469</v>
      </c>
      <c r="R986">
        <v>9</v>
      </c>
      <c r="S986">
        <v>48</v>
      </c>
      <c r="T986">
        <v>44</v>
      </c>
      <c r="U986">
        <v>40</v>
      </c>
      <c r="V986">
        <v>71</v>
      </c>
      <c r="W986">
        <v>40</v>
      </c>
      <c r="X986">
        <v>77</v>
      </c>
      <c r="Y986">
        <f t="shared" si="450"/>
        <v>155</v>
      </c>
      <c r="Z986">
        <f t="shared" si="451"/>
        <v>155</v>
      </c>
      <c r="AA986">
        <f t="shared" si="452"/>
        <v>123</v>
      </c>
      <c r="AB986">
        <f t="shared" si="453"/>
        <v>123</v>
      </c>
      <c r="AC986">
        <f t="shared" si="454"/>
        <v>108</v>
      </c>
      <c r="AD986">
        <f t="shared" si="455"/>
        <v>105</v>
      </c>
      <c r="AE986">
        <f t="shared" si="456"/>
        <v>96</v>
      </c>
      <c r="AF986">
        <f t="shared" si="457"/>
        <v>64</v>
      </c>
      <c r="AG986">
        <f t="shared" si="458"/>
        <v>57</v>
      </c>
      <c r="AH986">
        <f t="shared" si="459"/>
        <v>44</v>
      </c>
      <c r="AI986">
        <f t="shared" si="460"/>
        <v>101</v>
      </c>
      <c r="AJ986">
        <f t="shared" si="461"/>
        <v>92</v>
      </c>
      <c r="AK986">
        <f t="shared" si="462"/>
        <v>60</v>
      </c>
      <c r="AL986">
        <f t="shared" si="463"/>
        <v>54</v>
      </c>
      <c r="AM986">
        <f t="shared" si="464"/>
        <v>40</v>
      </c>
      <c r="AN986">
        <f t="shared" si="465"/>
        <v>135</v>
      </c>
      <c r="AO986">
        <f t="shared" si="466"/>
        <v>123</v>
      </c>
      <c r="AP986">
        <f t="shared" si="467"/>
        <v>91</v>
      </c>
      <c r="AQ986">
        <f t="shared" si="468"/>
        <v>81</v>
      </c>
      <c r="AR986">
        <f t="shared" si="469"/>
        <v>68</v>
      </c>
      <c r="AS986">
        <f t="shared" si="470"/>
        <v>101</v>
      </c>
      <c r="AT986">
        <f t="shared" si="471"/>
        <v>92</v>
      </c>
      <c r="AU986">
        <f t="shared" si="472"/>
        <v>60</v>
      </c>
      <c r="AV986">
        <f t="shared" si="473"/>
        <v>54</v>
      </c>
      <c r="AW986">
        <f t="shared" si="474"/>
        <v>40</v>
      </c>
      <c r="AX986">
        <f t="shared" si="475"/>
        <v>141</v>
      </c>
      <c r="AY986">
        <f t="shared" si="476"/>
        <v>129</v>
      </c>
      <c r="AZ986">
        <f t="shared" si="477"/>
        <v>97</v>
      </c>
      <c r="BA986">
        <f t="shared" si="478"/>
        <v>87</v>
      </c>
      <c r="BB986">
        <f t="shared" si="479"/>
        <v>73</v>
      </c>
    </row>
    <row r="987" spans="1:54" x14ac:dyDescent="0.15">
      <c r="A987">
        <v>632</v>
      </c>
      <c r="B987" t="s">
        <v>3457</v>
      </c>
      <c r="C987">
        <v>758</v>
      </c>
      <c r="D987">
        <v>0</v>
      </c>
      <c r="E987" t="s">
        <v>3458</v>
      </c>
      <c r="G987" t="s">
        <v>3458</v>
      </c>
      <c r="H987" t="s">
        <v>3459</v>
      </c>
      <c r="J987" t="s">
        <v>3455</v>
      </c>
      <c r="K987">
        <v>22.2</v>
      </c>
      <c r="L987">
        <v>1.2</v>
      </c>
      <c r="M987" t="s">
        <v>27</v>
      </c>
      <c r="N987" t="s">
        <v>47</v>
      </c>
      <c r="O987" t="s">
        <v>3456</v>
      </c>
      <c r="P987" t="s">
        <v>469</v>
      </c>
      <c r="R987">
        <v>9</v>
      </c>
      <c r="S987">
        <v>68</v>
      </c>
      <c r="T987">
        <v>64</v>
      </c>
      <c r="U987">
        <v>60</v>
      </c>
      <c r="V987">
        <v>111</v>
      </c>
      <c r="W987">
        <v>60</v>
      </c>
      <c r="X987">
        <v>117</v>
      </c>
      <c r="Y987">
        <f t="shared" si="450"/>
        <v>175</v>
      </c>
      <c r="Z987">
        <f t="shared" si="451"/>
        <v>175</v>
      </c>
      <c r="AA987">
        <f t="shared" si="452"/>
        <v>143</v>
      </c>
      <c r="AB987">
        <f t="shared" si="453"/>
        <v>143</v>
      </c>
      <c r="AC987">
        <f t="shared" si="454"/>
        <v>128</v>
      </c>
      <c r="AD987">
        <f t="shared" si="455"/>
        <v>127</v>
      </c>
      <c r="AE987">
        <f t="shared" si="456"/>
        <v>116</v>
      </c>
      <c r="AF987">
        <f t="shared" si="457"/>
        <v>84</v>
      </c>
      <c r="AG987">
        <f t="shared" si="458"/>
        <v>75</v>
      </c>
      <c r="AH987">
        <f t="shared" si="459"/>
        <v>62</v>
      </c>
      <c r="AI987">
        <f t="shared" si="460"/>
        <v>123</v>
      </c>
      <c r="AJ987">
        <f t="shared" si="461"/>
        <v>112</v>
      </c>
      <c r="AK987">
        <f t="shared" si="462"/>
        <v>80</v>
      </c>
      <c r="AL987">
        <f t="shared" si="463"/>
        <v>72</v>
      </c>
      <c r="AM987">
        <f t="shared" si="464"/>
        <v>58</v>
      </c>
      <c r="AN987">
        <f t="shared" si="465"/>
        <v>179</v>
      </c>
      <c r="AO987">
        <f t="shared" si="466"/>
        <v>163</v>
      </c>
      <c r="AP987">
        <f t="shared" si="467"/>
        <v>131</v>
      </c>
      <c r="AQ987">
        <f t="shared" si="468"/>
        <v>117</v>
      </c>
      <c r="AR987">
        <f t="shared" si="469"/>
        <v>104</v>
      </c>
      <c r="AS987">
        <f t="shared" si="470"/>
        <v>123</v>
      </c>
      <c r="AT987">
        <f t="shared" si="471"/>
        <v>112</v>
      </c>
      <c r="AU987">
        <f t="shared" si="472"/>
        <v>80</v>
      </c>
      <c r="AV987">
        <f t="shared" si="473"/>
        <v>72</v>
      </c>
      <c r="AW987">
        <f t="shared" si="474"/>
        <v>58</v>
      </c>
      <c r="AX987">
        <f t="shared" si="475"/>
        <v>185</v>
      </c>
      <c r="AY987">
        <f t="shared" si="476"/>
        <v>169</v>
      </c>
      <c r="AZ987">
        <f t="shared" si="477"/>
        <v>137</v>
      </c>
      <c r="BA987">
        <f t="shared" si="478"/>
        <v>123</v>
      </c>
      <c r="BB987">
        <f t="shared" si="479"/>
        <v>109</v>
      </c>
    </row>
    <row r="988" spans="1:54" x14ac:dyDescent="0.15">
      <c r="B988" t="s">
        <v>3460</v>
      </c>
      <c r="C988">
        <v>759</v>
      </c>
      <c r="D988">
        <v>0</v>
      </c>
      <c r="E988" t="s">
        <v>3461</v>
      </c>
      <c r="G988" t="s">
        <v>3461</v>
      </c>
      <c r="J988" t="s">
        <v>3462</v>
      </c>
      <c r="K988">
        <v>6.8</v>
      </c>
      <c r="L988">
        <v>0.5</v>
      </c>
      <c r="M988" t="s">
        <v>120</v>
      </c>
      <c r="N988" t="s">
        <v>354</v>
      </c>
      <c r="O988" t="s">
        <v>3463</v>
      </c>
      <c r="P988" t="s">
        <v>1968</v>
      </c>
      <c r="Q988" t="s">
        <v>234</v>
      </c>
      <c r="R988">
        <v>8</v>
      </c>
      <c r="S988">
        <v>70</v>
      </c>
      <c r="T988">
        <v>75</v>
      </c>
      <c r="U988">
        <v>50</v>
      </c>
      <c r="V988">
        <v>45</v>
      </c>
      <c r="W988">
        <v>50</v>
      </c>
      <c r="X988">
        <v>50</v>
      </c>
      <c r="Y988">
        <f t="shared" si="450"/>
        <v>177</v>
      </c>
      <c r="Z988">
        <f t="shared" si="451"/>
        <v>177</v>
      </c>
      <c r="AA988">
        <f t="shared" si="452"/>
        <v>145</v>
      </c>
      <c r="AB988">
        <f t="shared" si="453"/>
        <v>145</v>
      </c>
      <c r="AC988">
        <f t="shared" si="454"/>
        <v>130</v>
      </c>
      <c r="AD988">
        <f t="shared" si="455"/>
        <v>139</v>
      </c>
      <c r="AE988">
        <f t="shared" si="456"/>
        <v>127</v>
      </c>
      <c r="AF988">
        <f t="shared" si="457"/>
        <v>95</v>
      </c>
      <c r="AG988">
        <f t="shared" si="458"/>
        <v>85</v>
      </c>
      <c r="AH988">
        <f t="shared" si="459"/>
        <v>72</v>
      </c>
      <c r="AI988">
        <f t="shared" si="460"/>
        <v>112</v>
      </c>
      <c r="AJ988">
        <f t="shared" si="461"/>
        <v>102</v>
      </c>
      <c r="AK988">
        <f t="shared" si="462"/>
        <v>70</v>
      </c>
      <c r="AL988">
        <f t="shared" si="463"/>
        <v>63</v>
      </c>
      <c r="AM988">
        <f t="shared" si="464"/>
        <v>49</v>
      </c>
      <c r="AN988">
        <f t="shared" si="465"/>
        <v>106</v>
      </c>
      <c r="AO988">
        <f t="shared" si="466"/>
        <v>97</v>
      </c>
      <c r="AP988">
        <f t="shared" si="467"/>
        <v>65</v>
      </c>
      <c r="AQ988">
        <f t="shared" si="468"/>
        <v>58</v>
      </c>
      <c r="AR988">
        <f t="shared" si="469"/>
        <v>45</v>
      </c>
      <c r="AS988">
        <f t="shared" si="470"/>
        <v>112</v>
      </c>
      <c r="AT988">
        <f t="shared" si="471"/>
        <v>102</v>
      </c>
      <c r="AU988">
        <f t="shared" si="472"/>
        <v>70</v>
      </c>
      <c r="AV988">
        <f t="shared" si="473"/>
        <v>63</v>
      </c>
      <c r="AW988">
        <f t="shared" si="474"/>
        <v>49</v>
      </c>
      <c r="AX988">
        <f t="shared" si="475"/>
        <v>112</v>
      </c>
      <c r="AY988">
        <f t="shared" si="476"/>
        <v>102</v>
      </c>
      <c r="AZ988">
        <f t="shared" si="477"/>
        <v>70</v>
      </c>
      <c r="BA988">
        <f t="shared" si="478"/>
        <v>63</v>
      </c>
      <c r="BB988">
        <f t="shared" si="479"/>
        <v>49</v>
      </c>
    </row>
    <row r="989" spans="1:54" x14ac:dyDescent="0.15">
      <c r="B989" t="s">
        <v>3464</v>
      </c>
      <c r="C989">
        <v>760</v>
      </c>
      <c r="D989">
        <v>0</v>
      </c>
      <c r="E989" t="s">
        <v>3465</v>
      </c>
      <c r="G989" t="s">
        <v>3465</v>
      </c>
      <c r="J989" t="s">
        <v>3466</v>
      </c>
      <c r="K989">
        <v>135</v>
      </c>
      <c r="L989">
        <v>2.1</v>
      </c>
      <c r="M989" t="s">
        <v>120</v>
      </c>
      <c r="N989" t="s">
        <v>354</v>
      </c>
      <c r="O989" t="s">
        <v>3463</v>
      </c>
      <c r="P989" t="s">
        <v>1968</v>
      </c>
      <c r="Q989" t="s">
        <v>156</v>
      </c>
      <c r="R989">
        <v>8</v>
      </c>
      <c r="S989">
        <v>120</v>
      </c>
      <c r="T989">
        <v>125</v>
      </c>
      <c r="U989">
        <v>80</v>
      </c>
      <c r="V989">
        <v>55</v>
      </c>
      <c r="W989">
        <v>60</v>
      </c>
      <c r="X989">
        <v>60</v>
      </c>
      <c r="Y989">
        <f t="shared" si="450"/>
        <v>227</v>
      </c>
      <c r="Z989">
        <f t="shared" si="451"/>
        <v>227</v>
      </c>
      <c r="AA989">
        <f t="shared" si="452"/>
        <v>195</v>
      </c>
      <c r="AB989">
        <f t="shared" si="453"/>
        <v>195</v>
      </c>
      <c r="AC989">
        <f t="shared" si="454"/>
        <v>180</v>
      </c>
      <c r="AD989">
        <f t="shared" si="455"/>
        <v>194</v>
      </c>
      <c r="AE989">
        <f t="shared" si="456"/>
        <v>177</v>
      </c>
      <c r="AF989">
        <f t="shared" si="457"/>
        <v>145</v>
      </c>
      <c r="AG989">
        <f t="shared" si="458"/>
        <v>130</v>
      </c>
      <c r="AH989">
        <f t="shared" si="459"/>
        <v>117</v>
      </c>
      <c r="AI989">
        <f t="shared" si="460"/>
        <v>145</v>
      </c>
      <c r="AJ989">
        <f t="shared" si="461"/>
        <v>132</v>
      </c>
      <c r="AK989">
        <f t="shared" si="462"/>
        <v>100</v>
      </c>
      <c r="AL989">
        <f t="shared" si="463"/>
        <v>90</v>
      </c>
      <c r="AM989">
        <f t="shared" si="464"/>
        <v>76</v>
      </c>
      <c r="AN989">
        <f t="shared" si="465"/>
        <v>117</v>
      </c>
      <c r="AO989">
        <f t="shared" si="466"/>
        <v>107</v>
      </c>
      <c r="AP989">
        <f t="shared" si="467"/>
        <v>75</v>
      </c>
      <c r="AQ989">
        <f t="shared" si="468"/>
        <v>67</v>
      </c>
      <c r="AR989">
        <f t="shared" si="469"/>
        <v>54</v>
      </c>
      <c r="AS989">
        <f t="shared" si="470"/>
        <v>123</v>
      </c>
      <c r="AT989">
        <f t="shared" si="471"/>
        <v>112</v>
      </c>
      <c r="AU989">
        <f t="shared" si="472"/>
        <v>80</v>
      </c>
      <c r="AV989">
        <f t="shared" si="473"/>
        <v>72</v>
      </c>
      <c r="AW989">
        <f t="shared" si="474"/>
        <v>58</v>
      </c>
      <c r="AX989">
        <f t="shared" si="475"/>
        <v>123</v>
      </c>
      <c r="AY989">
        <f t="shared" si="476"/>
        <v>112</v>
      </c>
      <c r="AZ989">
        <f t="shared" si="477"/>
        <v>80</v>
      </c>
      <c r="BA989">
        <f t="shared" si="478"/>
        <v>72</v>
      </c>
      <c r="BB989">
        <f t="shared" si="479"/>
        <v>58</v>
      </c>
    </row>
    <row r="990" spans="1:54" x14ac:dyDescent="0.15">
      <c r="A990">
        <v>638</v>
      </c>
      <c r="B990" t="s">
        <v>3467</v>
      </c>
      <c r="C990">
        <v>761</v>
      </c>
      <c r="D990">
        <v>0</v>
      </c>
      <c r="E990" t="s">
        <v>3468</v>
      </c>
      <c r="G990" t="s">
        <v>3468</v>
      </c>
      <c r="H990" t="s">
        <v>3469</v>
      </c>
      <c r="J990" t="s">
        <v>1662</v>
      </c>
      <c r="K990">
        <v>3.2</v>
      </c>
      <c r="L990">
        <v>0.3</v>
      </c>
      <c r="M990" t="s">
        <v>26</v>
      </c>
      <c r="O990" t="s">
        <v>660</v>
      </c>
      <c r="P990" t="s">
        <v>469</v>
      </c>
      <c r="Q990" t="s">
        <v>3107</v>
      </c>
      <c r="R990">
        <v>9</v>
      </c>
      <c r="S990">
        <v>42</v>
      </c>
      <c r="T990">
        <v>30</v>
      </c>
      <c r="U990">
        <v>38</v>
      </c>
      <c r="V990">
        <v>30</v>
      </c>
      <c r="W990">
        <v>38</v>
      </c>
      <c r="X990">
        <v>32</v>
      </c>
      <c r="Y990">
        <f t="shared" si="450"/>
        <v>149</v>
      </c>
      <c r="Z990">
        <f t="shared" si="451"/>
        <v>149</v>
      </c>
      <c r="AA990">
        <f t="shared" si="452"/>
        <v>117</v>
      </c>
      <c r="AB990">
        <f t="shared" si="453"/>
        <v>117</v>
      </c>
      <c r="AC990">
        <f t="shared" si="454"/>
        <v>102</v>
      </c>
      <c r="AD990">
        <f t="shared" si="455"/>
        <v>90</v>
      </c>
      <c r="AE990">
        <f t="shared" si="456"/>
        <v>82</v>
      </c>
      <c r="AF990">
        <f t="shared" si="457"/>
        <v>50</v>
      </c>
      <c r="AG990">
        <f t="shared" si="458"/>
        <v>45</v>
      </c>
      <c r="AH990">
        <f t="shared" si="459"/>
        <v>31</v>
      </c>
      <c r="AI990">
        <f t="shared" si="460"/>
        <v>99</v>
      </c>
      <c r="AJ990">
        <f t="shared" si="461"/>
        <v>90</v>
      </c>
      <c r="AK990">
        <f t="shared" si="462"/>
        <v>58</v>
      </c>
      <c r="AL990">
        <f t="shared" si="463"/>
        <v>52</v>
      </c>
      <c r="AM990">
        <f t="shared" si="464"/>
        <v>38</v>
      </c>
      <c r="AN990">
        <f t="shared" si="465"/>
        <v>90</v>
      </c>
      <c r="AO990">
        <f t="shared" si="466"/>
        <v>82</v>
      </c>
      <c r="AP990">
        <f t="shared" si="467"/>
        <v>50</v>
      </c>
      <c r="AQ990">
        <f t="shared" si="468"/>
        <v>45</v>
      </c>
      <c r="AR990">
        <f t="shared" si="469"/>
        <v>31</v>
      </c>
      <c r="AS990">
        <f t="shared" si="470"/>
        <v>99</v>
      </c>
      <c r="AT990">
        <f t="shared" si="471"/>
        <v>90</v>
      </c>
      <c r="AU990">
        <f t="shared" si="472"/>
        <v>58</v>
      </c>
      <c r="AV990">
        <f t="shared" si="473"/>
        <v>52</v>
      </c>
      <c r="AW990">
        <f t="shared" si="474"/>
        <v>38</v>
      </c>
      <c r="AX990">
        <f t="shared" si="475"/>
        <v>92</v>
      </c>
      <c r="AY990">
        <f t="shared" si="476"/>
        <v>84</v>
      </c>
      <c r="AZ990">
        <f t="shared" si="477"/>
        <v>52</v>
      </c>
      <c r="BA990">
        <f t="shared" si="478"/>
        <v>46</v>
      </c>
      <c r="BB990">
        <f t="shared" si="479"/>
        <v>33</v>
      </c>
    </row>
    <row r="991" spans="1:54" x14ac:dyDescent="0.15">
      <c r="A991">
        <v>639</v>
      </c>
      <c r="B991" t="s">
        <v>3470</v>
      </c>
      <c r="C991">
        <v>762</v>
      </c>
      <c r="D991">
        <v>0</v>
      </c>
      <c r="E991" t="s">
        <v>3471</v>
      </c>
      <c r="G991" t="s">
        <v>3471</v>
      </c>
      <c r="H991" t="s">
        <v>3472</v>
      </c>
      <c r="J991" t="s">
        <v>1662</v>
      </c>
      <c r="K991">
        <v>8.1999999999999993</v>
      </c>
      <c r="L991">
        <v>0.7</v>
      </c>
      <c r="M991" t="s">
        <v>26</v>
      </c>
      <c r="O991" t="s">
        <v>660</v>
      </c>
      <c r="P991" t="s">
        <v>469</v>
      </c>
      <c r="Q991" t="s">
        <v>3107</v>
      </c>
      <c r="R991">
        <v>9</v>
      </c>
      <c r="S991">
        <v>52</v>
      </c>
      <c r="T991">
        <v>40</v>
      </c>
      <c r="U991">
        <v>48</v>
      </c>
      <c r="V991">
        <v>40</v>
      </c>
      <c r="W991">
        <v>48</v>
      </c>
      <c r="X991">
        <v>62</v>
      </c>
      <c r="Y991">
        <f t="shared" si="450"/>
        <v>159</v>
      </c>
      <c r="Z991">
        <f t="shared" si="451"/>
        <v>159</v>
      </c>
      <c r="AA991">
        <f t="shared" si="452"/>
        <v>127</v>
      </c>
      <c r="AB991">
        <f t="shared" si="453"/>
        <v>127</v>
      </c>
      <c r="AC991">
        <f t="shared" si="454"/>
        <v>112</v>
      </c>
      <c r="AD991">
        <f t="shared" si="455"/>
        <v>101</v>
      </c>
      <c r="AE991">
        <f t="shared" si="456"/>
        <v>92</v>
      </c>
      <c r="AF991">
        <f t="shared" si="457"/>
        <v>60</v>
      </c>
      <c r="AG991">
        <f t="shared" si="458"/>
        <v>54</v>
      </c>
      <c r="AH991">
        <f t="shared" si="459"/>
        <v>40</v>
      </c>
      <c r="AI991">
        <f t="shared" si="460"/>
        <v>110</v>
      </c>
      <c r="AJ991">
        <f t="shared" si="461"/>
        <v>100</v>
      </c>
      <c r="AK991">
        <f t="shared" si="462"/>
        <v>68</v>
      </c>
      <c r="AL991">
        <f t="shared" si="463"/>
        <v>61</v>
      </c>
      <c r="AM991">
        <f t="shared" si="464"/>
        <v>47</v>
      </c>
      <c r="AN991">
        <f t="shared" si="465"/>
        <v>101</v>
      </c>
      <c r="AO991">
        <f t="shared" si="466"/>
        <v>92</v>
      </c>
      <c r="AP991">
        <f t="shared" si="467"/>
        <v>60</v>
      </c>
      <c r="AQ991">
        <f t="shared" si="468"/>
        <v>54</v>
      </c>
      <c r="AR991">
        <f t="shared" si="469"/>
        <v>40</v>
      </c>
      <c r="AS991">
        <f t="shared" si="470"/>
        <v>110</v>
      </c>
      <c r="AT991">
        <f t="shared" si="471"/>
        <v>100</v>
      </c>
      <c r="AU991">
        <f t="shared" si="472"/>
        <v>68</v>
      </c>
      <c r="AV991">
        <f t="shared" si="473"/>
        <v>61</v>
      </c>
      <c r="AW991">
        <f t="shared" si="474"/>
        <v>47</v>
      </c>
      <c r="AX991">
        <f t="shared" si="475"/>
        <v>125</v>
      </c>
      <c r="AY991">
        <f t="shared" si="476"/>
        <v>114</v>
      </c>
      <c r="AZ991">
        <f t="shared" si="477"/>
        <v>82</v>
      </c>
      <c r="BA991">
        <f t="shared" si="478"/>
        <v>73</v>
      </c>
      <c r="BB991">
        <f t="shared" si="479"/>
        <v>60</v>
      </c>
    </row>
    <row r="992" spans="1:54" x14ac:dyDescent="0.15">
      <c r="A992">
        <v>640</v>
      </c>
      <c r="B992" t="s">
        <v>3473</v>
      </c>
      <c r="C992">
        <v>763</v>
      </c>
      <c r="D992">
        <v>0</v>
      </c>
      <c r="E992" t="s">
        <v>3474</v>
      </c>
      <c r="G992" t="s">
        <v>3474</v>
      </c>
      <c r="H992" t="s">
        <v>3475</v>
      </c>
      <c r="J992" t="s">
        <v>1662</v>
      </c>
      <c r="K992">
        <v>21.4</v>
      </c>
      <c r="L992">
        <v>1.2</v>
      </c>
      <c r="M992" t="s">
        <v>26</v>
      </c>
      <c r="O992" t="s">
        <v>660</v>
      </c>
      <c r="P992" t="s">
        <v>3476</v>
      </c>
      <c r="Q992" t="s">
        <v>3107</v>
      </c>
      <c r="R992">
        <v>9</v>
      </c>
      <c r="S992">
        <v>72</v>
      </c>
      <c r="T992">
        <v>120</v>
      </c>
      <c r="U992">
        <v>98</v>
      </c>
      <c r="V992">
        <v>50</v>
      </c>
      <c r="W992">
        <v>98</v>
      </c>
      <c r="X992">
        <v>72</v>
      </c>
      <c r="Y992">
        <f t="shared" si="450"/>
        <v>179</v>
      </c>
      <c r="Z992">
        <f t="shared" si="451"/>
        <v>179</v>
      </c>
      <c r="AA992">
        <f t="shared" si="452"/>
        <v>147</v>
      </c>
      <c r="AB992">
        <f t="shared" si="453"/>
        <v>147</v>
      </c>
      <c r="AC992">
        <f t="shared" si="454"/>
        <v>132</v>
      </c>
      <c r="AD992">
        <f t="shared" si="455"/>
        <v>189</v>
      </c>
      <c r="AE992">
        <f t="shared" si="456"/>
        <v>172</v>
      </c>
      <c r="AF992">
        <f t="shared" si="457"/>
        <v>140</v>
      </c>
      <c r="AG992">
        <f t="shared" si="458"/>
        <v>126</v>
      </c>
      <c r="AH992">
        <f t="shared" si="459"/>
        <v>112</v>
      </c>
      <c r="AI992">
        <f t="shared" si="460"/>
        <v>165</v>
      </c>
      <c r="AJ992">
        <f t="shared" si="461"/>
        <v>150</v>
      </c>
      <c r="AK992">
        <f t="shared" si="462"/>
        <v>118</v>
      </c>
      <c r="AL992">
        <f t="shared" si="463"/>
        <v>106</v>
      </c>
      <c r="AM992">
        <f t="shared" si="464"/>
        <v>92</v>
      </c>
      <c r="AN992">
        <f t="shared" si="465"/>
        <v>112</v>
      </c>
      <c r="AO992">
        <f t="shared" si="466"/>
        <v>102</v>
      </c>
      <c r="AP992">
        <f t="shared" si="467"/>
        <v>70</v>
      </c>
      <c r="AQ992">
        <f t="shared" si="468"/>
        <v>63</v>
      </c>
      <c r="AR992">
        <f t="shared" si="469"/>
        <v>49</v>
      </c>
      <c r="AS992">
        <f t="shared" si="470"/>
        <v>165</v>
      </c>
      <c r="AT992">
        <f t="shared" si="471"/>
        <v>150</v>
      </c>
      <c r="AU992">
        <f t="shared" si="472"/>
        <v>118</v>
      </c>
      <c r="AV992">
        <f t="shared" si="473"/>
        <v>106</v>
      </c>
      <c r="AW992">
        <f t="shared" si="474"/>
        <v>92</v>
      </c>
      <c r="AX992">
        <f t="shared" si="475"/>
        <v>136</v>
      </c>
      <c r="AY992">
        <f t="shared" si="476"/>
        <v>124</v>
      </c>
      <c r="AZ992">
        <f t="shared" si="477"/>
        <v>92</v>
      </c>
      <c r="BA992">
        <f t="shared" si="478"/>
        <v>82</v>
      </c>
      <c r="BB992">
        <f t="shared" si="479"/>
        <v>69</v>
      </c>
    </row>
    <row r="993" spans="1:54" x14ac:dyDescent="0.15">
      <c r="A993">
        <v>690</v>
      </c>
      <c r="B993" t="s">
        <v>3477</v>
      </c>
      <c r="C993">
        <v>764</v>
      </c>
      <c r="D993">
        <v>0</v>
      </c>
      <c r="E993" t="s">
        <v>3478</v>
      </c>
      <c r="G993" t="s">
        <v>3478</v>
      </c>
      <c r="H993" t="s">
        <v>3479</v>
      </c>
      <c r="J993" t="s">
        <v>3480</v>
      </c>
      <c r="K993">
        <v>0.3</v>
      </c>
      <c r="L993">
        <v>0.1</v>
      </c>
      <c r="M993" t="s">
        <v>233</v>
      </c>
      <c r="O993" t="s">
        <v>3027</v>
      </c>
      <c r="P993" t="s">
        <v>3481</v>
      </c>
      <c r="Q993" t="s">
        <v>654</v>
      </c>
      <c r="R993">
        <v>9</v>
      </c>
      <c r="S993">
        <v>51</v>
      </c>
      <c r="T993">
        <v>52</v>
      </c>
      <c r="U993">
        <v>90</v>
      </c>
      <c r="V993">
        <v>82</v>
      </c>
      <c r="W993">
        <v>110</v>
      </c>
      <c r="X993">
        <v>100</v>
      </c>
      <c r="Y993">
        <f t="shared" si="450"/>
        <v>158</v>
      </c>
      <c r="Z993">
        <f t="shared" si="451"/>
        <v>158</v>
      </c>
      <c r="AA993">
        <f t="shared" si="452"/>
        <v>126</v>
      </c>
      <c r="AB993">
        <f t="shared" si="453"/>
        <v>126</v>
      </c>
      <c r="AC993">
        <f t="shared" si="454"/>
        <v>111</v>
      </c>
      <c r="AD993">
        <f t="shared" si="455"/>
        <v>114</v>
      </c>
      <c r="AE993">
        <f t="shared" si="456"/>
        <v>104</v>
      </c>
      <c r="AF993">
        <f t="shared" si="457"/>
        <v>72</v>
      </c>
      <c r="AG993">
        <f t="shared" si="458"/>
        <v>64</v>
      </c>
      <c r="AH993">
        <f t="shared" si="459"/>
        <v>51</v>
      </c>
      <c r="AI993">
        <f t="shared" si="460"/>
        <v>156</v>
      </c>
      <c r="AJ993">
        <f t="shared" si="461"/>
        <v>142</v>
      </c>
      <c r="AK993">
        <f t="shared" si="462"/>
        <v>110</v>
      </c>
      <c r="AL993">
        <f t="shared" si="463"/>
        <v>99</v>
      </c>
      <c r="AM993">
        <f t="shared" si="464"/>
        <v>85</v>
      </c>
      <c r="AN993">
        <f t="shared" si="465"/>
        <v>147</v>
      </c>
      <c r="AO993">
        <f t="shared" si="466"/>
        <v>134</v>
      </c>
      <c r="AP993">
        <f t="shared" si="467"/>
        <v>102</v>
      </c>
      <c r="AQ993">
        <f t="shared" si="468"/>
        <v>91</v>
      </c>
      <c r="AR993">
        <f t="shared" si="469"/>
        <v>78</v>
      </c>
      <c r="AS993">
        <f t="shared" si="470"/>
        <v>178</v>
      </c>
      <c r="AT993">
        <f t="shared" si="471"/>
        <v>162</v>
      </c>
      <c r="AU993">
        <f t="shared" si="472"/>
        <v>130</v>
      </c>
      <c r="AV993">
        <f t="shared" si="473"/>
        <v>117</v>
      </c>
      <c r="AW993">
        <f t="shared" si="474"/>
        <v>103</v>
      </c>
      <c r="AX993">
        <f t="shared" si="475"/>
        <v>167</v>
      </c>
      <c r="AY993">
        <f t="shared" si="476"/>
        <v>152</v>
      </c>
      <c r="AZ993">
        <f t="shared" si="477"/>
        <v>120</v>
      </c>
      <c r="BA993">
        <f t="shared" si="478"/>
        <v>108</v>
      </c>
      <c r="BB993">
        <f t="shared" si="479"/>
        <v>94</v>
      </c>
    </row>
    <row r="994" spans="1:54" x14ac:dyDescent="0.15">
      <c r="A994">
        <v>636</v>
      </c>
      <c r="B994" t="s">
        <v>3482</v>
      </c>
      <c r="C994">
        <v>765</v>
      </c>
      <c r="D994">
        <v>0</v>
      </c>
      <c r="E994" t="s">
        <v>3483</v>
      </c>
      <c r="G994" t="s">
        <v>3483</v>
      </c>
      <c r="H994" t="s">
        <v>3484</v>
      </c>
      <c r="J994" t="s">
        <v>3485</v>
      </c>
      <c r="K994">
        <v>76</v>
      </c>
      <c r="L994">
        <v>1.5</v>
      </c>
      <c r="M994" t="s">
        <v>120</v>
      </c>
      <c r="N994" t="s">
        <v>191</v>
      </c>
      <c r="O994" t="s">
        <v>268</v>
      </c>
      <c r="P994" t="s">
        <v>1048</v>
      </c>
      <c r="Q994" t="s">
        <v>3028</v>
      </c>
      <c r="R994">
        <v>9</v>
      </c>
      <c r="S994">
        <v>90</v>
      </c>
      <c r="T994">
        <v>60</v>
      </c>
      <c r="U994">
        <v>80</v>
      </c>
      <c r="V994">
        <v>90</v>
      </c>
      <c r="W994">
        <v>110</v>
      </c>
      <c r="X994">
        <v>60</v>
      </c>
      <c r="Y994">
        <f t="shared" si="450"/>
        <v>197</v>
      </c>
      <c r="Z994">
        <f t="shared" si="451"/>
        <v>197</v>
      </c>
      <c r="AA994">
        <f t="shared" si="452"/>
        <v>165</v>
      </c>
      <c r="AB994">
        <f t="shared" si="453"/>
        <v>165</v>
      </c>
      <c r="AC994">
        <f t="shared" si="454"/>
        <v>150</v>
      </c>
      <c r="AD994">
        <f t="shared" si="455"/>
        <v>123</v>
      </c>
      <c r="AE994">
        <f t="shared" si="456"/>
        <v>112</v>
      </c>
      <c r="AF994">
        <f t="shared" si="457"/>
        <v>80</v>
      </c>
      <c r="AG994">
        <f t="shared" si="458"/>
        <v>72</v>
      </c>
      <c r="AH994">
        <f t="shared" si="459"/>
        <v>58</v>
      </c>
      <c r="AI994">
        <f t="shared" si="460"/>
        <v>145</v>
      </c>
      <c r="AJ994">
        <f t="shared" si="461"/>
        <v>132</v>
      </c>
      <c r="AK994">
        <f t="shared" si="462"/>
        <v>100</v>
      </c>
      <c r="AL994">
        <f t="shared" si="463"/>
        <v>90</v>
      </c>
      <c r="AM994">
        <f t="shared" si="464"/>
        <v>76</v>
      </c>
      <c r="AN994">
        <f t="shared" si="465"/>
        <v>156</v>
      </c>
      <c r="AO994">
        <f t="shared" si="466"/>
        <v>142</v>
      </c>
      <c r="AP994">
        <f t="shared" si="467"/>
        <v>110</v>
      </c>
      <c r="AQ994">
        <f t="shared" si="468"/>
        <v>99</v>
      </c>
      <c r="AR994">
        <f t="shared" si="469"/>
        <v>85</v>
      </c>
      <c r="AS994">
        <f t="shared" si="470"/>
        <v>178</v>
      </c>
      <c r="AT994">
        <f t="shared" si="471"/>
        <v>162</v>
      </c>
      <c r="AU994">
        <f t="shared" si="472"/>
        <v>130</v>
      </c>
      <c r="AV994">
        <f t="shared" si="473"/>
        <v>117</v>
      </c>
      <c r="AW994">
        <f t="shared" si="474"/>
        <v>103</v>
      </c>
      <c r="AX994">
        <f t="shared" si="475"/>
        <v>123</v>
      </c>
      <c r="AY994">
        <f t="shared" si="476"/>
        <v>112</v>
      </c>
      <c r="AZ994">
        <f t="shared" si="477"/>
        <v>80</v>
      </c>
      <c r="BA994">
        <f t="shared" si="478"/>
        <v>72</v>
      </c>
      <c r="BB994">
        <f t="shared" si="479"/>
        <v>58</v>
      </c>
    </row>
    <row r="995" spans="1:54" x14ac:dyDescent="0.15">
      <c r="A995">
        <v>641</v>
      </c>
      <c r="B995" t="s">
        <v>3486</v>
      </c>
      <c r="C995">
        <v>766</v>
      </c>
      <c r="D995">
        <v>0</v>
      </c>
      <c r="E995" t="s">
        <v>3487</v>
      </c>
      <c r="G995" t="s">
        <v>3487</v>
      </c>
      <c r="H995" t="s">
        <v>3488</v>
      </c>
      <c r="J995" t="s">
        <v>3489</v>
      </c>
      <c r="K995">
        <v>82.8</v>
      </c>
      <c r="L995">
        <v>2</v>
      </c>
      <c r="M995" t="s">
        <v>354</v>
      </c>
      <c r="O995" t="s">
        <v>3490</v>
      </c>
      <c r="P995" t="s">
        <v>357</v>
      </c>
      <c r="R995">
        <v>9</v>
      </c>
      <c r="S995">
        <v>100</v>
      </c>
      <c r="T995">
        <v>120</v>
      </c>
      <c r="U995">
        <v>90</v>
      </c>
      <c r="V995">
        <v>40</v>
      </c>
      <c r="W995">
        <v>60</v>
      </c>
      <c r="X995">
        <v>80</v>
      </c>
      <c r="Y995">
        <f t="shared" si="450"/>
        <v>207</v>
      </c>
      <c r="Z995">
        <f t="shared" si="451"/>
        <v>207</v>
      </c>
      <c r="AA995">
        <f t="shared" si="452"/>
        <v>175</v>
      </c>
      <c r="AB995">
        <f t="shared" si="453"/>
        <v>175</v>
      </c>
      <c r="AC995">
        <f t="shared" si="454"/>
        <v>160</v>
      </c>
      <c r="AD995">
        <f t="shared" si="455"/>
        <v>189</v>
      </c>
      <c r="AE995">
        <f t="shared" si="456"/>
        <v>172</v>
      </c>
      <c r="AF995">
        <f t="shared" si="457"/>
        <v>140</v>
      </c>
      <c r="AG995">
        <f t="shared" si="458"/>
        <v>126</v>
      </c>
      <c r="AH995">
        <f t="shared" si="459"/>
        <v>112</v>
      </c>
      <c r="AI995">
        <f t="shared" si="460"/>
        <v>156</v>
      </c>
      <c r="AJ995">
        <f t="shared" si="461"/>
        <v>142</v>
      </c>
      <c r="AK995">
        <f t="shared" si="462"/>
        <v>110</v>
      </c>
      <c r="AL995">
        <f t="shared" si="463"/>
        <v>99</v>
      </c>
      <c r="AM995">
        <f t="shared" si="464"/>
        <v>85</v>
      </c>
      <c r="AN995">
        <f t="shared" si="465"/>
        <v>101</v>
      </c>
      <c r="AO995">
        <f t="shared" si="466"/>
        <v>92</v>
      </c>
      <c r="AP995">
        <f t="shared" si="467"/>
        <v>60</v>
      </c>
      <c r="AQ995">
        <f t="shared" si="468"/>
        <v>54</v>
      </c>
      <c r="AR995">
        <f t="shared" si="469"/>
        <v>40</v>
      </c>
      <c r="AS995">
        <f t="shared" si="470"/>
        <v>123</v>
      </c>
      <c r="AT995">
        <f t="shared" si="471"/>
        <v>112</v>
      </c>
      <c r="AU995">
        <f t="shared" si="472"/>
        <v>80</v>
      </c>
      <c r="AV995">
        <f t="shared" si="473"/>
        <v>72</v>
      </c>
      <c r="AW995">
        <f t="shared" si="474"/>
        <v>58</v>
      </c>
      <c r="AX995">
        <f t="shared" si="475"/>
        <v>145</v>
      </c>
      <c r="AY995">
        <f t="shared" si="476"/>
        <v>132</v>
      </c>
      <c r="AZ995">
        <f t="shared" si="477"/>
        <v>100</v>
      </c>
      <c r="BA995">
        <f t="shared" si="478"/>
        <v>90</v>
      </c>
      <c r="BB995">
        <f t="shared" si="479"/>
        <v>76</v>
      </c>
    </row>
    <row r="996" spans="1:54" x14ac:dyDescent="0.15">
      <c r="B996" t="s">
        <v>3491</v>
      </c>
      <c r="C996">
        <v>767</v>
      </c>
      <c r="D996">
        <v>0</v>
      </c>
      <c r="E996" t="s">
        <v>3492</v>
      </c>
      <c r="G996" t="s">
        <v>3492</v>
      </c>
      <c r="J996" t="s">
        <v>3493</v>
      </c>
      <c r="K996">
        <v>12</v>
      </c>
      <c r="L996">
        <v>0.5</v>
      </c>
      <c r="M996" t="s">
        <v>90</v>
      </c>
      <c r="N996" t="s">
        <v>71</v>
      </c>
      <c r="O996" t="s">
        <v>3494</v>
      </c>
      <c r="R996">
        <v>8</v>
      </c>
      <c r="S996">
        <v>25</v>
      </c>
      <c r="T996">
        <v>35</v>
      </c>
      <c r="U996">
        <v>40</v>
      </c>
      <c r="V996">
        <v>20</v>
      </c>
      <c r="W996">
        <v>30</v>
      </c>
      <c r="X996">
        <v>80</v>
      </c>
      <c r="Y996">
        <f t="shared" si="450"/>
        <v>132</v>
      </c>
      <c r="Z996">
        <f t="shared" si="451"/>
        <v>132</v>
      </c>
      <c r="AA996">
        <f t="shared" si="452"/>
        <v>100</v>
      </c>
      <c r="AB996">
        <f t="shared" si="453"/>
        <v>100</v>
      </c>
      <c r="AC996">
        <f t="shared" si="454"/>
        <v>85</v>
      </c>
      <c r="AD996">
        <f t="shared" si="455"/>
        <v>95</v>
      </c>
      <c r="AE996">
        <f t="shared" si="456"/>
        <v>87</v>
      </c>
      <c r="AF996">
        <f t="shared" si="457"/>
        <v>55</v>
      </c>
      <c r="AG996">
        <f t="shared" si="458"/>
        <v>49</v>
      </c>
      <c r="AH996">
        <f t="shared" si="459"/>
        <v>36</v>
      </c>
      <c r="AI996">
        <f t="shared" si="460"/>
        <v>101</v>
      </c>
      <c r="AJ996">
        <f t="shared" si="461"/>
        <v>92</v>
      </c>
      <c r="AK996">
        <f t="shared" si="462"/>
        <v>60</v>
      </c>
      <c r="AL996">
        <f t="shared" si="463"/>
        <v>54</v>
      </c>
      <c r="AM996">
        <f t="shared" si="464"/>
        <v>40</v>
      </c>
      <c r="AN996">
        <f t="shared" si="465"/>
        <v>79</v>
      </c>
      <c r="AO996">
        <f t="shared" si="466"/>
        <v>72</v>
      </c>
      <c r="AP996">
        <f t="shared" si="467"/>
        <v>40</v>
      </c>
      <c r="AQ996">
        <f t="shared" si="468"/>
        <v>36</v>
      </c>
      <c r="AR996">
        <f t="shared" si="469"/>
        <v>22</v>
      </c>
      <c r="AS996">
        <f t="shared" si="470"/>
        <v>90</v>
      </c>
      <c r="AT996">
        <f t="shared" si="471"/>
        <v>82</v>
      </c>
      <c r="AU996">
        <f t="shared" si="472"/>
        <v>50</v>
      </c>
      <c r="AV996">
        <f t="shared" si="473"/>
        <v>45</v>
      </c>
      <c r="AW996">
        <f t="shared" si="474"/>
        <v>31</v>
      </c>
      <c r="AX996">
        <f t="shared" si="475"/>
        <v>145</v>
      </c>
      <c r="AY996">
        <f t="shared" si="476"/>
        <v>132</v>
      </c>
      <c r="AZ996">
        <f t="shared" si="477"/>
        <v>100</v>
      </c>
      <c r="BA996">
        <f t="shared" si="478"/>
        <v>90</v>
      </c>
      <c r="BB996">
        <f t="shared" si="479"/>
        <v>76</v>
      </c>
    </row>
    <row r="997" spans="1:54" x14ac:dyDescent="0.15">
      <c r="B997" t="s">
        <v>3495</v>
      </c>
      <c r="C997">
        <v>768</v>
      </c>
      <c r="D997">
        <v>0</v>
      </c>
      <c r="E997" t="s">
        <v>3496</v>
      </c>
      <c r="G997" t="s">
        <v>3496</v>
      </c>
      <c r="J997" t="s">
        <v>3493</v>
      </c>
      <c r="K997">
        <v>108</v>
      </c>
      <c r="L997">
        <v>2</v>
      </c>
      <c r="M997" t="s">
        <v>90</v>
      </c>
      <c r="N997" t="s">
        <v>71</v>
      </c>
      <c r="O997" t="s">
        <v>3497</v>
      </c>
      <c r="R997">
        <v>8</v>
      </c>
      <c r="S997">
        <v>75</v>
      </c>
      <c r="T997">
        <v>125</v>
      </c>
      <c r="U997">
        <v>140</v>
      </c>
      <c r="V997">
        <v>60</v>
      </c>
      <c r="W997">
        <v>90</v>
      </c>
      <c r="X997">
        <v>40</v>
      </c>
      <c r="Y997">
        <f t="shared" si="450"/>
        <v>182</v>
      </c>
      <c r="Z997">
        <f t="shared" si="451"/>
        <v>182</v>
      </c>
      <c r="AA997">
        <f t="shared" si="452"/>
        <v>150</v>
      </c>
      <c r="AB997">
        <f t="shared" si="453"/>
        <v>150</v>
      </c>
      <c r="AC997">
        <f t="shared" si="454"/>
        <v>135</v>
      </c>
      <c r="AD997">
        <f t="shared" si="455"/>
        <v>194</v>
      </c>
      <c r="AE997">
        <f t="shared" si="456"/>
        <v>177</v>
      </c>
      <c r="AF997">
        <f t="shared" si="457"/>
        <v>145</v>
      </c>
      <c r="AG997">
        <f t="shared" si="458"/>
        <v>130</v>
      </c>
      <c r="AH997">
        <f t="shared" si="459"/>
        <v>117</v>
      </c>
      <c r="AI997">
        <f t="shared" si="460"/>
        <v>211</v>
      </c>
      <c r="AJ997">
        <f t="shared" si="461"/>
        <v>192</v>
      </c>
      <c r="AK997">
        <f t="shared" si="462"/>
        <v>160</v>
      </c>
      <c r="AL997">
        <f t="shared" si="463"/>
        <v>144</v>
      </c>
      <c r="AM997">
        <f t="shared" si="464"/>
        <v>130</v>
      </c>
      <c r="AN997">
        <f t="shared" si="465"/>
        <v>123</v>
      </c>
      <c r="AO997">
        <f t="shared" si="466"/>
        <v>112</v>
      </c>
      <c r="AP997">
        <f t="shared" si="467"/>
        <v>80</v>
      </c>
      <c r="AQ997">
        <f t="shared" si="468"/>
        <v>72</v>
      </c>
      <c r="AR997">
        <f t="shared" si="469"/>
        <v>58</v>
      </c>
      <c r="AS997">
        <f t="shared" si="470"/>
        <v>156</v>
      </c>
      <c r="AT997">
        <f t="shared" si="471"/>
        <v>142</v>
      </c>
      <c r="AU997">
        <f t="shared" si="472"/>
        <v>110</v>
      </c>
      <c r="AV997">
        <f t="shared" si="473"/>
        <v>99</v>
      </c>
      <c r="AW997">
        <f t="shared" si="474"/>
        <v>85</v>
      </c>
      <c r="AX997">
        <f t="shared" si="475"/>
        <v>101</v>
      </c>
      <c r="AY997">
        <f t="shared" si="476"/>
        <v>92</v>
      </c>
      <c r="AZ997">
        <f t="shared" si="477"/>
        <v>60</v>
      </c>
      <c r="BA997">
        <f t="shared" si="478"/>
        <v>54</v>
      </c>
      <c r="BB997">
        <f t="shared" si="479"/>
        <v>40</v>
      </c>
    </row>
    <row r="998" spans="1:54" x14ac:dyDescent="0.15">
      <c r="A998">
        <v>646</v>
      </c>
      <c r="B998" t="s">
        <v>3498</v>
      </c>
      <c r="C998">
        <v>769</v>
      </c>
      <c r="D998">
        <v>0</v>
      </c>
      <c r="E998" t="s">
        <v>3499</v>
      </c>
      <c r="G998" t="s">
        <v>3499</v>
      </c>
      <c r="H998" t="s">
        <v>3500</v>
      </c>
      <c r="J998" t="s">
        <v>3501</v>
      </c>
      <c r="K998">
        <v>70</v>
      </c>
      <c r="L998">
        <v>0.5</v>
      </c>
      <c r="M998" t="s">
        <v>546</v>
      </c>
      <c r="N998" t="s">
        <v>196</v>
      </c>
      <c r="O998" t="s">
        <v>3502</v>
      </c>
      <c r="P998" t="s">
        <v>197</v>
      </c>
      <c r="R998">
        <v>9</v>
      </c>
      <c r="S998">
        <v>55</v>
      </c>
      <c r="T998">
        <v>55</v>
      </c>
      <c r="U998">
        <v>80</v>
      </c>
      <c r="V998">
        <v>70</v>
      </c>
      <c r="W998">
        <v>45</v>
      </c>
      <c r="X998">
        <v>15</v>
      </c>
      <c r="Y998">
        <f t="shared" si="450"/>
        <v>162</v>
      </c>
      <c r="Z998">
        <f t="shared" si="451"/>
        <v>162</v>
      </c>
      <c r="AA998">
        <f t="shared" si="452"/>
        <v>130</v>
      </c>
      <c r="AB998">
        <f t="shared" si="453"/>
        <v>130</v>
      </c>
      <c r="AC998">
        <f t="shared" si="454"/>
        <v>115</v>
      </c>
      <c r="AD998">
        <f t="shared" si="455"/>
        <v>117</v>
      </c>
      <c r="AE998">
        <f t="shared" si="456"/>
        <v>107</v>
      </c>
      <c r="AF998">
        <f t="shared" si="457"/>
        <v>75</v>
      </c>
      <c r="AG998">
        <f t="shared" si="458"/>
        <v>67</v>
      </c>
      <c r="AH998">
        <f t="shared" si="459"/>
        <v>54</v>
      </c>
      <c r="AI998">
        <f t="shared" si="460"/>
        <v>145</v>
      </c>
      <c r="AJ998">
        <f t="shared" si="461"/>
        <v>132</v>
      </c>
      <c r="AK998">
        <f t="shared" si="462"/>
        <v>100</v>
      </c>
      <c r="AL998">
        <f t="shared" si="463"/>
        <v>90</v>
      </c>
      <c r="AM998">
        <f t="shared" si="464"/>
        <v>76</v>
      </c>
      <c r="AN998">
        <f t="shared" si="465"/>
        <v>134</v>
      </c>
      <c r="AO998">
        <f t="shared" si="466"/>
        <v>122</v>
      </c>
      <c r="AP998">
        <f t="shared" si="467"/>
        <v>90</v>
      </c>
      <c r="AQ998">
        <f t="shared" si="468"/>
        <v>81</v>
      </c>
      <c r="AR998">
        <f t="shared" si="469"/>
        <v>67</v>
      </c>
      <c r="AS998">
        <f t="shared" si="470"/>
        <v>106</v>
      </c>
      <c r="AT998">
        <f t="shared" si="471"/>
        <v>97</v>
      </c>
      <c r="AU998">
        <f t="shared" si="472"/>
        <v>65</v>
      </c>
      <c r="AV998">
        <f t="shared" si="473"/>
        <v>58</v>
      </c>
      <c r="AW998">
        <f t="shared" si="474"/>
        <v>45</v>
      </c>
      <c r="AX998">
        <f t="shared" si="475"/>
        <v>73</v>
      </c>
      <c r="AY998">
        <f t="shared" si="476"/>
        <v>67</v>
      </c>
      <c r="AZ998">
        <f t="shared" si="477"/>
        <v>35</v>
      </c>
      <c r="BA998">
        <f t="shared" si="478"/>
        <v>31</v>
      </c>
      <c r="BB998">
        <f t="shared" si="479"/>
        <v>18</v>
      </c>
    </row>
    <row r="999" spans="1:54" x14ac:dyDescent="0.15">
      <c r="A999">
        <v>647</v>
      </c>
      <c r="B999" t="s">
        <v>3503</v>
      </c>
      <c r="C999">
        <v>770</v>
      </c>
      <c r="D999">
        <v>0</v>
      </c>
      <c r="E999" t="s">
        <v>3504</v>
      </c>
      <c r="G999" t="s">
        <v>3504</v>
      </c>
      <c r="H999" t="s">
        <v>3505</v>
      </c>
      <c r="J999" t="s">
        <v>3506</v>
      </c>
      <c r="K999">
        <v>250</v>
      </c>
      <c r="L999">
        <v>1.3</v>
      </c>
      <c r="M999" t="s">
        <v>546</v>
      </c>
      <c r="N999" t="s">
        <v>196</v>
      </c>
      <c r="O999" t="s">
        <v>3502</v>
      </c>
      <c r="P999" t="s">
        <v>197</v>
      </c>
      <c r="R999">
        <v>9</v>
      </c>
      <c r="S999">
        <v>85</v>
      </c>
      <c r="T999">
        <v>75</v>
      </c>
      <c r="U999">
        <v>110</v>
      </c>
      <c r="V999">
        <v>100</v>
      </c>
      <c r="W999">
        <v>75</v>
      </c>
      <c r="X999">
        <v>35</v>
      </c>
      <c r="Y999">
        <f t="shared" si="450"/>
        <v>192</v>
      </c>
      <c r="Z999">
        <f t="shared" si="451"/>
        <v>192</v>
      </c>
      <c r="AA999">
        <f t="shared" si="452"/>
        <v>160</v>
      </c>
      <c r="AB999">
        <f t="shared" si="453"/>
        <v>160</v>
      </c>
      <c r="AC999">
        <f t="shared" si="454"/>
        <v>145</v>
      </c>
      <c r="AD999">
        <f t="shared" si="455"/>
        <v>139</v>
      </c>
      <c r="AE999">
        <f t="shared" si="456"/>
        <v>127</v>
      </c>
      <c r="AF999">
        <f t="shared" si="457"/>
        <v>95</v>
      </c>
      <c r="AG999">
        <f t="shared" si="458"/>
        <v>85</v>
      </c>
      <c r="AH999">
        <f t="shared" si="459"/>
        <v>72</v>
      </c>
      <c r="AI999">
        <f t="shared" si="460"/>
        <v>178</v>
      </c>
      <c r="AJ999">
        <f t="shared" si="461"/>
        <v>162</v>
      </c>
      <c r="AK999">
        <f t="shared" si="462"/>
        <v>130</v>
      </c>
      <c r="AL999">
        <f t="shared" si="463"/>
        <v>117</v>
      </c>
      <c r="AM999">
        <f t="shared" si="464"/>
        <v>103</v>
      </c>
      <c r="AN999">
        <f t="shared" si="465"/>
        <v>167</v>
      </c>
      <c r="AO999">
        <f t="shared" si="466"/>
        <v>152</v>
      </c>
      <c r="AP999">
        <f t="shared" si="467"/>
        <v>120</v>
      </c>
      <c r="AQ999">
        <f t="shared" si="468"/>
        <v>108</v>
      </c>
      <c r="AR999">
        <f t="shared" si="469"/>
        <v>94</v>
      </c>
      <c r="AS999">
        <f t="shared" si="470"/>
        <v>139</v>
      </c>
      <c r="AT999">
        <f t="shared" si="471"/>
        <v>127</v>
      </c>
      <c r="AU999">
        <f t="shared" si="472"/>
        <v>95</v>
      </c>
      <c r="AV999">
        <f t="shared" si="473"/>
        <v>85</v>
      </c>
      <c r="AW999">
        <f t="shared" si="474"/>
        <v>72</v>
      </c>
      <c r="AX999">
        <f t="shared" si="475"/>
        <v>95</v>
      </c>
      <c r="AY999">
        <f t="shared" si="476"/>
        <v>87</v>
      </c>
      <c r="AZ999">
        <f t="shared" si="477"/>
        <v>55</v>
      </c>
      <c r="BA999">
        <f t="shared" si="478"/>
        <v>49</v>
      </c>
      <c r="BB999">
        <f t="shared" si="479"/>
        <v>36</v>
      </c>
    </row>
    <row r="1000" spans="1:54" x14ac:dyDescent="0.15">
      <c r="B1000" t="s">
        <v>3507</v>
      </c>
      <c r="C1000">
        <v>771</v>
      </c>
      <c r="D1000">
        <v>0</v>
      </c>
      <c r="E1000" t="s">
        <v>3508</v>
      </c>
      <c r="G1000" t="s">
        <v>3508</v>
      </c>
      <c r="J1000" t="s">
        <v>3509</v>
      </c>
      <c r="K1000">
        <v>1.2</v>
      </c>
      <c r="L1000">
        <v>0.3</v>
      </c>
      <c r="M1000" t="s">
        <v>71</v>
      </c>
      <c r="O1000" t="s">
        <v>3510</v>
      </c>
      <c r="P1000" t="s">
        <v>240</v>
      </c>
      <c r="R1000">
        <v>8</v>
      </c>
      <c r="S1000">
        <v>55</v>
      </c>
      <c r="T1000">
        <v>60</v>
      </c>
      <c r="U1000">
        <v>130</v>
      </c>
      <c r="V1000">
        <v>30</v>
      </c>
      <c r="W1000">
        <v>130</v>
      </c>
      <c r="X1000">
        <v>5</v>
      </c>
      <c r="Y1000">
        <f t="shared" si="450"/>
        <v>162</v>
      </c>
      <c r="Z1000">
        <f t="shared" si="451"/>
        <v>162</v>
      </c>
      <c r="AA1000">
        <f t="shared" si="452"/>
        <v>130</v>
      </c>
      <c r="AB1000">
        <f t="shared" si="453"/>
        <v>130</v>
      </c>
      <c r="AC1000">
        <f t="shared" si="454"/>
        <v>115</v>
      </c>
      <c r="AD1000">
        <f t="shared" si="455"/>
        <v>123</v>
      </c>
      <c r="AE1000">
        <f t="shared" si="456"/>
        <v>112</v>
      </c>
      <c r="AF1000">
        <f t="shared" si="457"/>
        <v>80</v>
      </c>
      <c r="AG1000">
        <f t="shared" si="458"/>
        <v>72</v>
      </c>
      <c r="AH1000">
        <f t="shared" si="459"/>
        <v>58</v>
      </c>
      <c r="AI1000">
        <f t="shared" si="460"/>
        <v>200</v>
      </c>
      <c r="AJ1000">
        <f t="shared" si="461"/>
        <v>182</v>
      </c>
      <c r="AK1000">
        <f t="shared" si="462"/>
        <v>150</v>
      </c>
      <c r="AL1000">
        <f t="shared" si="463"/>
        <v>135</v>
      </c>
      <c r="AM1000">
        <f t="shared" si="464"/>
        <v>121</v>
      </c>
      <c r="AN1000">
        <f t="shared" si="465"/>
        <v>90</v>
      </c>
      <c r="AO1000">
        <f t="shared" si="466"/>
        <v>82</v>
      </c>
      <c r="AP1000">
        <f t="shared" si="467"/>
        <v>50</v>
      </c>
      <c r="AQ1000">
        <f t="shared" si="468"/>
        <v>45</v>
      </c>
      <c r="AR1000">
        <f t="shared" si="469"/>
        <v>31</v>
      </c>
      <c r="AS1000">
        <f t="shared" si="470"/>
        <v>200</v>
      </c>
      <c r="AT1000">
        <f t="shared" si="471"/>
        <v>182</v>
      </c>
      <c r="AU1000">
        <f t="shared" si="472"/>
        <v>150</v>
      </c>
      <c r="AV1000">
        <f t="shared" si="473"/>
        <v>135</v>
      </c>
      <c r="AW1000">
        <f t="shared" si="474"/>
        <v>121</v>
      </c>
      <c r="AX1000">
        <f t="shared" si="475"/>
        <v>62</v>
      </c>
      <c r="AY1000">
        <f t="shared" si="476"/>
        <v>57</v>
      </c>
      <c r="AZ1000">
        <f t="shared" si="477"/>
        <v>25</v>
      </c>
      <c r="BA1000">
        <f t="shared" si="478"/>
        <v>22</v>
      </c>
      <c r="BB1000">
        <f t="shared" si="479"/>
        <v>9</v>
      </c>
    </row>
    <row r="1001" spans="1:54" x14ac:dyDescent="0.15">
      <c r="B1001" t="s">
        <v>3511</v>
      </c>
      <c r="C1001">
        <v>772</v>
      </c>
      <c r="D1001">
        <v>0</v>
      </c>
      <c r="E1001" t="s">
        <v>3512</v>
      </c>
      <c r="G1001" t="s">
        <v>3512</v>
      </c>
      <c r="J1001" t="s">
        <v>3513</v>
      </c>
      <c r="K1001">
        <v>120.5</v>
      </c>
      <c r="L1001">
        <v>1.9</v>
      </c>
      <c r="M1001" t="s">
        <v>120</v>
      </c>
      <c r="O1001" t="s">
        <v>613</v>
      </c>
      <c r="R1001">
        <v>8</v>
      </c>
      <c r="S1001">
        <v>95</v>
      </c>
      <c r="T1001">
        <v>95</v>
      </c>
      <c r="U1001">
        <v>95</v>
      </c>
      <c r="V1001">
        <v>95</v>
      </c>
      <c r="W1001">
        <v>95</v>
      </c>
      <c r="X1001">
        <v>59</v>
      </c>
      <c r="Y1001">
        <f t="shared" si="450"/>
        <v>202</v>
      </c>
      <c r="Z1001">
        <f t="shared" si="451"/>
        <v>202</v>
      </c>
      <c r="AA1001">
        <f t="shared" si="452"/>
        <v>170</v>
      </c>
      <c r="AB1001">
        <f t="shared" si="453"/>
        <v>170</v>
      </c>
      <c r="AC1001">
        <f t="shared" si="454"/>
        <v>155</v>
      </c>
      <c r="AD1001">
        <f t="shared" si="455"/>
        <v>161</v>
      </c>
      <c r="AE1001">
        <f t="shared" si="456"/>
        <v>147</v>
      </c>
      <c r="AF1001">
        <f t="shared" si="457"/>
        <v>115</v>
      </c>
      <c r="AG1001">
        <f t="shared" si="458"/>
        <v>103</v>
      </c>
      <c r="AH1001">
        <f t="shared" si="459"/>
        <v>90</v>
      </c>
      <c r="AI1001">
        <f t="shared" si="460"/>
        <v>161</v>
      </c>
      <c r="AJ1001">
        <f t="shared" si="461"/>
        <v>147</v>
      </c>
      <c r="AK1001">
        <f t="shared" si="462"/>
        <v>115</v>
      </c>
      <c r="AL1001">
        <f t="shared" si="463"/>
        <v>103</v>
      </c>
      <c r="AM1001">
        <f t="shared" si="464"/>
        <v>90</v>
      </c>
      <c r="AN1001">
        <f t="shared" si="465"/>
        <v>161</v>
      </c>
      <c r="AO1001">
        <f t="shared" si="466"/>
        <v>147</v>
      </c>
      <c r="AP1001">
        <f t="shared" si="467"/>
        <v>115</v>
      </c>
      <c r="AQ1001">
        <f t="shared" si="468"/>
        <v>103</v>
      </c>
      <c r="AR1001">
        <f t="shared" si="469"/>
        <v>90</v>
      </c>
      <c r="AS1001">
        <f t="shared" si="470"/>
        <v>161</v>
      </c>
      <c r="AT1001">
        <f t="shared" si="471"/>
        <v>147</v>
      </c>
      <c r="AU1001">
        <f t="shared" si="472"/>
        <v>115</v>
      </c>
      <c r="AV1001">
        <f t="shared" si="473"/>
        <v>103</v>
      </c>
      <c r="AW1001">
        <f t="shared" si="474"/>
        <v>90</v>
      </c>
      <c r="AX1001">
        <f t="shared" si="475"/>
        <v>122</v>
      </c>
      <c r="AY1001">
        <f t="shared" si="476"/>
        <v>111</v>
      </c>
      <c r="AZ1001">
        <f t="shared" si="477"/>
        <v>79</v>
      </c>
      <c r="BA1001">
        <f t="shared" si="478"/>
        <v>71</v>
      </c>
      <c r="BB1001">
        <f t="shared" si="479"/>
        <v>57</v>
      </c>
    </row>
    <row r="1002" spans="1:54" x14ac:dyDescent="0.15">
      <c r="B1002" t="s">
        <v>3514</v>
      </c>
      <c r="C1002">
        <v>773</v>
      </c>
      <c r="D1002">
        <v>0</v>
      </c>
      <c r="E1002" t="s">
        <v>3515</v>
      </c>
      <c r="F1002" t="s">
        <v>3516</v>
      </c>
      <c r="G1002" t="s">
        <v>3515</v>
      </c>
      <c r="J1002" t="s">
        <v>3513</v>
      </c>
      <c r="K1002">
        <v>100.5</v>
      </c>
      <c r="L1002">
        <v>2.2999999999999998</v>
      </c>
      <c r="M1002" t="s">
        <v>120</v>
      </c>
      <c r="O1002" t="s">
        <v>3517</v>
      </c>
      <c r="P1002" t="s">
        <v>3518</v>
      </c>
      <c r="R1002">
        <v>8</v>
      </c>
      <c r="S1002">
        <v>95</v>
      </c>
      <c r="T1002">
        <v>95</v>
      </c>
      <c r="U1002">
        <v>95</v>
      </c>
      <c r="V1002">
        <v>95</v>
      </c>
      <c r="W1002">
        <v>95</v>
      </c>
      <c r="X1002">
        <v>95</v>
      </c>
      <c r="Y1002">
        <f t="shared" si="450"/>
        <v>202</v>
      </c>
      <c r="Z1002">
        <f t="shared" si="451"/>
        <v>202</v>
      </c>
      <c r="AA1002">
        <f t="shared" si="452"/>
        <v>170</v>
      </c>
      <c r="AB1002">
        <f t="shared" si="453"/>
        <v>170</v>
      </c>
      <c r="AC1002">
        <f t="shared" si="454"/>
        <v>155</v>
      </c>
      <c r="AD1002">
        <f t="shared" si="455"/>
        <v>161</v>
      </c>
      <c r="AE1002">
        <f t="shared" si="456"/>
        <v>147</v>
      </c>
      <c r="AF1002">
        <f t="shared" si="457"/>
        <v>115</v>
      </c>
      <c r="AG1002">
        <f t="shared" si="458"/>
        <v>103</v>
      </c>
      <c r="AH1002">
        <f t="shared" si="459"/>
        <v>90</v>
      </c>
      <c r="AI1002">
        <f t="shared" si="460"/>
        <v>161</v>
      </c>
      <c r="AJ1002">
        <f t="shared" si="461"/>
        <v>147</v>
      </c>
      <c r="AK1002">
        <f t="shared" si="462"/>
        <v>115</v>
      </c>
      <c r="AL1002">
        <f t="shared" si="463"/>
        <v>103</v>
      </c>
      <c r="AM1002">
        <f t="shared" si="464"/>
        <v>90</v>
      </c>
      <c r="AN1002">
        <f t="shared" si="465"/>
        <v>161</v>
      </c>
      <c r="AO1002">
        <f t="shared" si="466"/>
        <v>147</v>
      </c>
      <c r="AP1002">
        <f t="shared" si="467"/>
        <v>115</v>
      </c>
      <c r="AQ1002">
        <f t="shared" si="468"/>
        <v>103</v>
      </c>
      <c r="AR1002">
        <f t="shared" si="469"/>
        <v>90</v>
      </c>
      <c r="AS1002">
        <f t="shared" si="470"/>
        <v>161</v>
      </c>
      <c r="AT1002">
        <f t="shared" si="471"/>
        <v>147</v>
      </c>
      <c r="AU1002">
        <f t="shared" si="472"/>
        <v>115</v>
      </c>
      <c r="AV1002">
        <f t="shared" si="473"/>
        <v>103</v>
      </c>
      <c r="AW1002">
        <f t="shared" si="474"/>
        <v>90</v>
      </c>
      <c r="AX1002">
        <f t="shared" si="475"/>
        <v>161</v>
      </c>
      <c r="AY1002">
        <f t="shared" si="476"/>
        <v>147</v>
      </c>
      <c r="AZ1002">
        <f t="shared" si="477"/>
        <v>115</v>
      </c>
      <c r="BA1002">
        <f t="shared" si="478"/>
        <v>103</v>
      </c>
      <c r="BB1002">
        <f t="shared" si="479"/>
        <v>90</v>
      </c>
    </row>
    <row r="1003" spans="1:54" x14ac:dyDescent="0.15">
      <c r="A1003">
        <v>649</v>
      </c>
      <c r="B1003" t="s">
        <v>3519</v>
      </c>
      <c r="C1003">
        <v>774</v>
      </c>
      <c r="D1003">
        <v>0</v>
      </c>
      <c r="E1003" t="s">
        <v>3520</v>
      </c>
      <c r="F1003" t="s">
        <v>3521</v>
      </c>
      <c r="G1003" t="s">
        <v>3522</v>
      </c>
      <c r="H1003" t="s">
        <v>3523</v>
      </c>
      <c r="J1003" t="s">
        <v>3524</v>
      </c>
      <c r="K1003">
        <v>40</v>
      </c>
      <c r="L1003">
        <v>0.3</v>
      </c>
      <c r="M1003" t="s">
        <v>371</v>
      </c>
      <c r="N1003" t="s">
        <v>57</v>
      </c>
      <c r="O1003" t="s">
        <v>3525</v>
      </c>
      <c r="R1003">
        <v>9</v>
      </c>
      <c r="S1003">
        <v>60</v>
      </c>
      <c r="T1003">
        <v>60</v>
      </c>
      <c r="U1003">
        <v>100</v>
      </c>
      <c r="V1003">
        <v>60</v>
      </c>
      <c r="W1003">
        <v>100</v>
      </c>
      <c r="X1003">
        <v>60</v>
      </c>
      <c r="Y1003">
        <f t="shared" si="450"/>
        <v>167</v>
      </c>
      <c r="Z1003">
        <f t="shared" si="451"/>
        <v>167</v>
      </c>
      <c r="AA1003">
        <f t="shared" si="452"/>
        <v>135</v>
      </c>
      <c r="AB1003">
        <f t="shared" si="453"/>
        <v>135</v>
      </c>
      <c r="AC1003">
        <f t="shared" si="454"/>
        <v>120</v>
      </c>
      <c r="AD1003">
        <f t="shared" si="455"/>
        <v>123</v>
      </c>
      <c r="AE1003">
        <f t="shared" si="456"/>
        <v>112</v>
      </c>
      <c r="AF1003">
        <f t="shared" si="457"/>
        <v>80</v>
      </c>
      <c r="AG1003">
        <f t="shared" si="458"/>
        <v>72</v>
      </c>
      <c r="AH1003">
        <f t="shared" si="459"/>
        <v>58</v>
      </c>
      <c r="AI1003">
        <f t="shared" si="460"/>
        <v>167</v>
      </c>
      <c r="AJ1003">
        <f t="shared" si="461"/>
        <v>152</v>
      </c>
      <c r="AK1003">
        <f t="shared" si="462"/>
        <v>120</v>
      </c>
      <c r="AL1003">
        <f t="shared" si="463"/>
        <v>108</v>
      </c>
      <c r="AM1003">
        <f t="shared" si="464"/>
        <v>94</v>
      </c>
      <c r="AN1003">
        <f t="shared" si="465"/>
        <v>123</v>
      </c>
      <c r="AO1003">
        <f t="shared" si="466"/>
        <v>112</v>
      </c>
      <c r="AP1003">
        <f t="shared" si="467"/>
        <v>80</v>
      </c>
      <c r="AQ1003">
        <f t="shared" si="468"/>
        <v>72</v>
      </c>
      <c r="AR1003">
        <f t="shared" si="469"/>
        <v>58</v>
      </c>
      <c r="AS1003">
        <f t="shared" si="470"/>
        <v>167</v>
      </c>
      <c r="AT1003">
        <f t="shared" si="471"/>
        <v>152</v>
      </c>
      <c r="AU1003">
        <f t="shared" si="472"/>
        <v>120</v>
      </c>
      <c r="AV1003">
        <f t="shared" si="473"/>
        <v>108</v>
      </c>
      <c r="AW1003">
        <f t="shared" si="474"/>
        <v>94</v>
      </c>
      <c r="AX1003">
        <f t="shared" si="475"/>
        <v>123</v>
      </c>
      <c r="AY1003">
        <f t="shared" si="476"/>
        <v>112</v>
      </c>
      <c r="AZ1003">
        <f t="shared" si="477"/>
        <v>80</v>
      </c>
      <c r="BA1003">
        <f t="shared" si="478"/>
        <v>72</v>
      </c>
      <c r="BB1003">
        <f t="shared" si="479"/>
        <v>58</v>
      </c>
    </row>
    <row r="1004" spans="1:54" x14ac:dyDescent="0.15">
      <c r="A1004">
        <v>650</v>
      </c>
      <c r="B1004" t="s">
        <v>3526</v>
      </c>
      <c r="C1004">
        <v>774</v>
      </c>
      <c r="D1004">
        <v>7</v>
      </c>
      <c r="E1004" t="s">
        <v>3520</v>
      </c>
      <c r="F1004" t="s">
        <v>3527</v>
      </c>
      <c r="G1004" t="s">
        <v>3528</v>
      </c>
      <c r="H1004" t="s">
        <v>3529</v>
      </c>
      <c r="J1004" t="s">
        <v>3524</v>
      </c>
      <c r="K1004">
        <v>0.3</v>
      </c>
      <c r="L1004">
        <v>0.3</v>
      </c>
      <c r="M1004" t="s">
        <v>371</v>
      </c>
      <c r="N1004" t="s">
        <v>57</v>
      </c>
      <c r="O1004" t="s">
        <v>3525</v>
      </c>
      <c r="R1004">
        <v>9</v>
      </c>
      <c r="S1004">
        <v>60</v>
      </c>
      <c r="T1004">
        <v>100</v>
      </c>
      <c r="U1004">
        <v>60</v>
      </c>
      <c r="V1004">
        <v>100</v>
      </c>
      <c r="W1004">
        <v>60</v>
      </c>
      <c r="X1004">
        <v>120</v>
      </c>
      <c r="Y1004">
        <f t="shared" si="450"/>
        <v>167</v>
      </c>
      <c r="Z1004">
        <f t="shared" si="451"/>
        <v>167</v>
      </c>
      <c r="AA1004">
        <f t="shared" si="452"/>
        <v>135</v>
      </c>
      <c r="AB1004">
        <f t="shared" si="453"/>
        <v>135</v>
      </c>
      <c r="AC1004">
        <f t="shared" si="454"/>
        <v>120</v>
      </c>
      <c r="AD1004">
        <f t="shared" si="455"/>
        <v>167</v>
      </c>
      <c r="AE1004">
        <f t="shared" si="456"/>
        <v>152</v>
      </c>
      <c r="AF1004">
        <f t="shared" si="457"/>
        <v>120</v>
      </c>
      <c r="AG1004">
        <f t="shared" si="458"/>
        <v>108</v>
      </c>
      <c r="AH1004">
        <f t="shared" si="459"/>
        <v>94</v>
      </c>
      <c r="AI1004">
        <f t="shared" si="460"/>
        <v>123</v>
      </c>
      <c r="AJ1004">
        <f t="shared" si="461"/>
        <v>112</v>
      </c>
      <c r="AK1004">
        <f t="shared" si="462"/>
        <v>80</v>
      </c>
      <c r="AL1004">
        <f t="shared" si="463"/>
        <v>72</v>
      </c>
      <c r="AM1004">
        <f t="shared" si="464"/>
        <v>58</v>
      </c>
      <c r="AN1004">
        <f t="shared" si="465"/>
        <v>167</v>
      </c>
      <c r="AO1004">
        <f t="shared" si="466"/>
        <v>152</v>
      </c>
      <c r="AP1004">
        <f t="shared" si="467"/>
        <v>120</v>
      </c>
      <c r="AQ1004">
        <f t="shared" si="468"/>
        <v>108</v>
      </c>
      <c r="AR1004">
        <f t="shared" si="469"/>
        <v>94</v>
      </c>
      <c r="AS1004">
        <f t="shared" si="470"/>
        <v>123</v>
      </c>
      <c r="AT1004">
        <f t="shared" si="471"/>
        <v>112</v>
      </c>
      <c r="AU1004">
        <f t="shared" si="472"/>
        <v>80</v>
      </c>
      <c r="AV1004">
        <f t="shared" si="473"/>
        <v>72</v>
      </c>
      <c r="AW1004">
        <f t="shared" si="474"/>
        <v>58</v>
      </c>
      <c r="AX1004">
        <f t="shared" si="475"/>
        <v>189</v>
      </c>
      <c r="AY1004">
        <f t="shared" si="476"/>
        <v>172</v>
      </c>
      <c r="AZ1004">
        <f t="shared" si="477"/>
        <v>140</v>
      </c>
      <c r="BA1004">
        <f t="shared" si="478"/>
        <v>126</v>
      </c>
      <c r="BB1004">
        <f t="shared" si="479"/>
        <v>112</v>
      </c>
    </row>
    <row r="1005" spans="1:54" x14ac:dyDescent="0.15">
      <c r="A1005">
        <v>651</v>
      </c>
      <c r="B1005" t="s">
        <v>3526</v>
      </c>
      <c r="C1005">
        <v>774</v>
      </c>
      <c r="D1005">
        <v>7</v>
      </c>
      <c r="E1005" t="s">
        <v>3520</v>
      </c>
      <c r="F1005" t="s">
        <v>3530</v>
      </c>
      <c r="G1005" t="s">
        <v>3528</v>
      </c>
      <c r="H1005" t="s">
        <v>3531</v>
      </c>
      <c r="J1005" t="s">
        <v>3524</v>
      </c>
      <c r="K1005">
        <v>0.3</v>
      </c>
      <c r="L1005">
        <v>0.3</v>
      </c>
      <c r="M1005" t="s">
        <v>371</v>
      </c>
      <c r="N1005" t="s">
        <v>57</v>
      </c>
      <c r="O1005" t="s">
        <v>3525</v>
      </c>
      <c r="R1005">
        <v>9</v>
      </c>
      <c r="S1005">
        <v>60</v>
      </c>
      <c r="T1005">
        <v>100</v>
      </c>
      <c r="U1005">
        <v>60</v>
      </c>
      <c r="V1005">
        <v>100</v>
      </c>
      <c r="W1005">
        <v>60</v>
      </c>
      <c r="X1005">
        <v>120</v>
      </c>
      <c r="Y1005">
        <f t="shared" si="450"/>
        <v>167</v>
      </c>
      <c r="Z1005">
        <f t="shared" si="451"/>
        <v>167</v>
      </c>
      <c r="AA1005">
        <f t="shared" si="452"/>
        <v>135</v>
      </c>
      <c r="AB1005">
        <f t="shared" si="453"/>
        <v>135</v>
      </c>
      <c r="AC1005">
        <f t="shared" si="454"/>
        <v>120</v>
      </c>
      <c r="AD1005">
        <f t="shared" si="455"/>
        <v>167</v>
      </c>
      <c r="AE1005">
        <f t="shared" si="456"/>
        <v>152</v>
      </c>
      <c r="AF1005">
        <f t="shared" si="457"/>
        <v>120</v>
      </c>
      <c r="AG1005">
        <f t="shared" si="458"/>
        <v>108</v>
      </c>
      <c r="AH1005">
        <f t="shared" si="459"/>
        <v>94</v>
      </c>
      <c r="AI1005">
        <f t="shared" si="460"/>
        <v>123</v>
      </c>
      <c r="AJ1005">
        <f t="shared" si="461"/>
        <v>112</v>
      </c>
      <c r="AK1005">
        <f t="shared" si="462"/>
        <v>80</v>
      </c>
      <c r="AL1005">
        <f t="shared" si="463"/>
        <v>72</v>
      </c>
      <c r="AM1005">
        <f t="shared" si="464"/>
        <v>58</v>
      </c>
      <c r="AN1005">
        <f t="shared" si="465"/>
        <v>167</v>
      </c>
      <c r="AO1005">
        <f t="shared" si="466"/>
        <v>152</v>
      </c>
      <c r="AP1005">
        <f t="shared" si="467"/>
        <v>120</v>
      </c>
      <c r="AQ1005">
        <f t="shared" si="468"/>
        <v>108</v>
      </c>
      <c r="AR1005">
        <f t="shared" si="469"/>
        <v>94</v>
      </c>
      <c r="AS1005">
        <f t="shared" si="470"/>
        <v>123</v>
      </c>
      <c r="AT1005">
        <f t="shared" si="471"/>
        <v>112</v>
      </c>
      <c r="AU1005">
        <f t="shared" si="472"/>
        <v>80</v>
      </c>
      <c r="AV1005">
        <f t="shared" si="473"/>
        <v>72</v>
      </c>
      <c r="AW1005">
        <f t="shared" si="474"/>
        <v>58</v>
      </c>
      <c r="AX1005">
        <f t="shared" si="475"/>
        <v>189</v>
      </c>
      <c r="AY1005">
        <f t="shared" si="476"/>
        <v>172</v>
      </c>
      <c r="AZ1005">
        <f t="shared" si="477"/>
        <v>140</v>
      </c>
      <c r="BA1005">
        <f t="shared" si="478"/>
        <v>126</v>
      </c>
      <c r="BB1005">
        <f t="shared" si="479"/>
        <v>112</v>
      </c>
    </row>
    <row r="1006" spans="1:54" x14ac:dyDescent="0.15">
      <c r="A1006">
        <v>652</v>
      </c>
      <c r="B1006" t="s">
        <v>3526</v>
      </c>
      <c r="C1006">
        <v>774</v>
      </c>
      <c r="D1006">
        <v>7</v>
      </c>
      <c r="E1006" t="s">
        <v>3520</v>
      </c>
      <c r="F1006" t="s">
        <v>3532</v>
      </c>
      <c r="G1006" t="s">
        <v>3528</v>
      </c>
      <c r="H1006" t="s">
        <v>3533</v>
      </c>
      <c r="J1006" t="s">
        <v>3524</v>
      </c>
      <c r="K1006">
        <v>0.3</v>
      </c>
      <c r="L1006">
        <v>0.3</v>
      </c>
      <c r="M1006" t="s">
        <v>371</v>
      </c>
      <c r="N1006" t="s">
        <v>57</v>
      </c>
      <c r="O1006" t="s">
        <v>3525</v>
      </c>
      <c r="R1006">
        <v>9</v>
      </c>
      <c r="S1006">
        <v>60</v>
      </c>
      <c r="T1006">
        <v>100</v>
      </c>
      <c r="U1006">
        <v>60</v>
      </c>
      <c r="V1006">
        <v>100</v>
      </c>
      <c r="W1006">
        <v>60</v>
      </c>
      <c r="X1006">
        <v>120</v>
      </c>
      <c r="Y1006">
        <f t="shared" si="450"/>
        <v>167</v>
      </c>
      <c r="Z1006">
        <f t="shared" si="451"/>
        <v>167</v>
      </c>
      <c r="AA1006">
        <f t="shared" si="452"/>
        <v>135</v>
      </c>
      <c r="AB1006">
        <f t="shared" si="453"/>
        <v>135</v>
      </c>
      <c r="AC1006">
        <f t="shared" si="454"/>
        <v>120</v>
      </c>
      <c r="AD1006">
        <f t="shared" si="455"/>
        <v>167</v>
      </c>
      <c r="AE1006">
        <f t="shared" si="456"/>
        <v>152</v>
      </c>
      <c r="AF1006">
        <f t="shared" si="457"/>
        <v>120</v>
      </c>
      <c r="AG1006">
        <f t="shared" si="458"/>
        <v>108</v>
      </c>
      <c r="AH1006">
        <f t="shared" si="459"/>
        <v>94</v>
      </c>
      <c r="AI1006">
        <f t="shared" si="460"/>
        <v>123</v>
      </c>
      <c r="AJ1006">
        <f t="shared" si="461"/>
        <v>112</v>
      </c>
      <c r="AK1006">
        <f t="shared" si="462"/>
        <v>80</v>
      </c>
      <c r="AL1006">
        <f t="shared" si="463"/>
        <v>72</v>
      </c>
      <c r="AM1006">
        <f t="shared" si="464"/>
        <v>58</v>
      </c>
      <c r="AN1006">
        <f t="shared" si="465"/>
        <v>167</v>
      </c>
      <c r="AO1006">
        <f t="shared" si="466"/>
        <v>152</v>
      </c>
      <c r="AP1006">
        <f t="shared" si="467"/>
        <v>120</v>
      </c>
      <c r="AQ1006">
        <f t="shared" si="468"/>
        <v>108</v>
      </c>
      <c r="AR1006">
        <f t="shared" si="469"/>
        <v>94</v>
      </c>
      <c r="AS1006">
        <f t="shared" si="470"/>
        <v>123</v>
      </c>
      <c r="AT1006">
        <f t="shared" si="471"/>
        <v>112</v>
      </c>
      <c r="AU1006">
        <f t="shared" si="472"/>
        <v>80</v>
      </c>
      <c r="AV1006">
        <f t="shared" si="473"/>
        <v>72</v>
      </c>
      <c r="AW1006">
        <f t="shared" si="474"/>
        <v>58</v>
      </c>
      <c r="AX1006">
        <f t="shared" si="475"/>
        <v>189</v>
      </c>
      <c r="AY1006">
        <f t="shared" si="476"/>
        <v>172</v>
      </c>
      <c r="AZ1006">
        <f t="shared" si="477"/>
        <v>140</v>
      </c>
      <c r="BA1006">
        <f t="shared" si="478"/>
        <v>126</v>
      </c>
      <c r="BB1006">
        <f t="shared" si="479"/>
        <v>112</v>
      </c>
    </row>
    <row r="1007" spans="1:54" x14ac:dyDescent="0.15">
      <c r="A1007">
        <v>653</v>
      </c>
      <c r="B1007" t="s">
        <v>3526</v>
      </c>
      <c r="C1007">
        <v>774</v>
      </c>
      <c r="D1007">
        <v>7</v>
      </c>
      <c r="E1007" t="s">
        <v>3520</v>
      </c>
      <c r="F1007" t="s">
        <v>3534</v>
      </c>
      <c r="G1007" t="s">
        <v>3528</v>
      </c>
      <c r="H1007" t="s">
        <v>3535</v>
      </c>
      <c r="J1007" t="s">
        <v>3524</v>
      </c>
      <c r="K1007">
        <v>0.3</v>
      </c>
      <c r="L1007">
        <v>0.3</v>
      </c>
      <c r="M1007" t="s">
        <v>371</v>
      </c>
      <c r="N1007" t="s">
        <v>57</v>
      </c>
      <c r="O1007" t="s">
        <v>3525</v>
      </c>
      <c r="R1007">
        <v>9</v>
      </c>
      <c r="S1007">
        <v>60</v>
      </c>
      <c r="T1007">
        <v>100</v>
      </c>
      <c r="U1007">
        <v>60</v>
      </c>
      <c r="V1007">
        <v>100</v>
      </c>
      <c r="W1007">
        <v>60</v>
      </c>
      <c r="X1007">
        <v>120</v>
      </c>
      <c r="Y1007">
        <f t="shared" si="450"/>
        <v>167</v>
      </c>
      <c r="Z1007">
        <f t="shared" si="451"/>
        <v>167</v>
      </c>
      <c r="AA1007">
        <f t="shared" si="452"/>
        <v>135</v>
      </c>
      <c r="AB1007">
        <f t="shared" si="453"/>
        <v>135</v>
      </c>
      <c r="AC1007">
        <f t="shared" si="454"/>
        <v>120</v>
      </c>
      <c r="AD1007">
        <f t="shared" si="455"/>
        <v>167</v>
      </c>
      <c r="AE1007">
        <f t="shared" si="456"/>
        <v>152</v>
      </c>
      <c r="AF1007">
        <f t="shared" si="457"/>
        <v>120</v>
      </c>
      <c r="AG1007">
        <f t="shared" si="458"/>
        <v>108</v>
      </c>
      <c r="AH1007">
        <f t="shared" si="459"/>
        <v>94</v>
      </c>
      <c r="AI1007">
        <f t="shared" si="460"/>
        <v>123</v>
      </c>
      <c r="AJ1007">
        <f t="shared" si="461"/>
        <v>112</v>
      </c>
      <c r="AK1007">
        <f t="shared" si="462"/>
        <v>80</v>
      </c>
      <c r="AL1007">
        <f t="shared" si="463"/>
        <v>72</v>
      </c>
      <c r="AM1007">
        <f t="shared" si="464"/>
        <v>58</v>
      </c>
      <c r="AN1007">
        <f t="shared" si="465"/>
        <v>167</v>
      </c>
      <c r="AO1007">
        <f t="shared" si="466"/>
        <v>152</v>
      </c>
      <c r="AP1007">
        <f t="shared" si="467"/>
        <v>120</v>
      </c>
      <c r="AQ1007">
        <f t="shared" si="468"/>
        <v>108</v>
      </c>
      <c r="AR1007">
        <f t="shared" si="469"/>
        <v>94</v>
      </c>
      <c r="AS1007">
        <f t="shared" si="470"/>
        <v>123</v>
      </c>
      <c r="AT1007">
        <f t="shared" si="471"/>
        <v>112</v>
      </c>
      <c r="AU1007">
        <f t="shared" si="472"/>
        <v>80</v>
      </c>
      <c r="AV1007">
        <f t="shared" si="473"/>
        <v>72</v>
      </c>
      <c r="AW1007">
        <f t="shared" si="474"/>
        <v>58</v>
      </c>
      <c r="AX1007">
        <f t="shared" si="475"/>
        <v>189</v>
      </c>
      <c r="AY1007">
        <f t="shared" si="476"/>
        <v>172</v>
      </c>
      <c r="AZ1007">
        <f t="shared" si="477"/>
        <v>140</v>
      </c>
      <c r="BA1007">
        <f t="shared" si="478"/>
        <v>126</v>
      </c>
      <c r="BB1007">
        <f t="shared" si="479"/>
        <v>112</v>
      </c>
    </row>
    <row r="1008" spans="1:54" x14ac:dyDescent="0.15">
      <c r="A1008">
        <v>654</v>
      </c>
      <c r="B1008" t="s">
        <v>3526</v>
      </c>
      <c r="C1008">
        <v>774</v>
      </c>
      <c r="D1008">
        <v>7</v>
      </c>
      <c r="E1008" t="s">
        <v>3520</v>
      </c>
      <c r="F1008" t="s">
        <v>3536</v>
      </c>
      <c r="G1008" t="s">
        <v>3528</v>
      </c>
      <c r="H1008" t="s">
        <v>3537</v>
      </c>
      <c r="J1008" t="s">
        <v>3524</v>
      </c>
      <c r="K1008">
        <v>0.3</v>
      </c>
      <c r="L1008">
        <v>0.3</v>
      </c>
      <c r="M1008" t="s">
        <v>371</v>
      </c>
      <c r="N1008" t="s">
        <v>57</v>
      </c>
      <c r="O1008" t="s">
        <v>3525</v>
      </c>
      <c r="R1008">
        <v>9</v>
      </c>
      <c r="S1008">
        <v>60</v>
      </c>
      <c r="T1008">
        <v>100</v>
      </c>
      <c r="U1008">
        <v>60</v>
      </c>
      <c r="V1008">
        <v>100</v>
      </c>
      <c r="W1008">
        <v>60</v>
      </c>
      <c r="X1008">
        <v>120</v>
      </c>
      <c r="Y1008">
        <f t="shared" si="450"/>
        <v>167</v>
      </c>
      <c r="Z1008">
        <f t="shared" si="451"/>
        <v>167</v>
      </c>
      <c r="AA1008">
        <f t="shared" si="452"/>
        <v>135</v>
      </c>
      <c r="AB1008">
        <f t="shared" si="453"/>
        <v>135</v>
      </c>
      <c r="AC1008">
        <f t="shared" si="454"/>
        <v>120</v>
      </c>
      <c r="AD1008">
        <f t="shared" si="455"/>
        <v>167</v>
      </c>
      <c r="AE1008">
        <f t="shared" si="456"/>
        <v>152</v>
      </c>
      <c r="AF1008">
        <f t="shared" si="457"/>
        <v>120</v>
      </c>
      <c r="AG1008">
        <f t="shared" si="458"/>
        <v>108</v>
      </c>
      <c r="AH1008">
        <f t="shared" si="459"/>
        <v>94</v>
      </c>
      <c r="AI1008">
        <f t="shared" si="460"/>
        <v>123</v>
      </c>
      <c r="AJ1008">
        <f t="shared" si="461"/>
        <v>112</v>
      </c>
      <c r="AK1008">
        <f t="shared" si="462"/>
        <v>80</v>
      </c>
      <c r="AL1008">
        <f t="shared" si="463"/>
        <v>72</v>
      </c>
      <c r="AM1008">
        <f t="shared" si="464"/>
        <v>58</v>
      </c>
      <c r="AN1008">
        <f t="shared" si="465"/>
        <v>167</v>
      </c>
      <c r="AO1008">
        <f t="shared" si="466"/>
        <v>152</v>
      </c>
      <c r="AP1008">
        <f t="shared" si="467"/>
        <v>120</v>
      </c>
      <c r="AQ1008">
        <f t="shared" si="468"/>
        <v>108</v>
      </c>
      <c r="AR1008">
        <f t="shared" si="469"/>
        <v>94</v>
      </c>
      <c r="AS1008">
        <f t="shared" si="470"/>
        <v>123</v>
      </c>
      <c r="AT1008">
        <f t="shared" si="471"/>
        <v>112</v>
      </c>
      <c r="AU1008">
        <f t="shared" si="472"/>
        <v>80</v>
      </c>
      <c r="AV1008">
        <f t="shared" si="473"/>
        <v>72</v>
      </c>
      <c r="AW1008">
        <f t="shared" si="474"/>
        <v>58</v>
      </c>
      <c r="AX1008">
        <f t="shared" si="475"/>
        <v>189</v>
      </c>
      <c r="AY1008">
        <f t="shared" si="476"/>
        <v>172</v>
      </c>
      <c r="AZ1008">
        <f t="shared" si="477"/>
        <v>140</v>
      </c>
      <c r="BA1008">
        <f t="shared" si="478"/>
        <v>126</v>
      </c>
      <c r="BB1008">
        <f t="shared" si="479"/>
        <v>112</v>
      </c>
    </row>
    <row r="1009" spans="1:54" x14ac:dyDescent="0.15">
      <c r="A1009">
        <v>655</v>
      </c>
      <c r="B1009" t="s">
        <v>3526</v>
      </c>
      <c r="C1009">
        <v>774</v>
      </c>
      <c r="D1009">
        <v>7</v>
      </c>
      <c r="E1009" t="s">
        <v>3520</v>
      </c>
      <c r="F1009" t="s">
        <v>3538</v>
      </c>
      <c r="G1009" t="s">
        <v>3528</v>
      </c>
      <c r="H1009" t="s">
        <v>3539</v>
      </c>
      <c r="J1009" t="s">
        <v>3524</v>
      </c>
      <c r="K1009">
        <v>0.3</v>
      </c>
      <c r="L1009">
        <v>0.3</v>
      </c>
      <c r="M1009" t="s">
        <v>371</v>
      </c>
      <c r="N1009" t="s">
        <v>57</v>
      </c>
      <c r="O1009" t="s">
        <v>3525</v>
      </c>
      <c r="R1009">
        <v>9</v>
      </c>
      <c r="S1009">
        <v>60</v>
      </c>
      <c r="T1009">
        <v>100</v>
      </c>
      <c r="U1009">
        <v>60</v>
      </c>
      <c r="V1009">
        <v>100</v>
      </c>
      <c r="W1009">
        <v>60</v>
      </c>
      <c r="X1009">
        <v>120</v>
      </c>
      <c r="Y1009">
        <f t="shared" si="450"/>
        <v>167</v>
      </c>
      <c r="Z1009">
        <f t="shared" si="451"/>
        <v>167</v>
      </c>
      <c r="AA1009">
        <f t="shared" si="452"/>
        <v>135</v>
      </c>
      <c r="AB1009">
        <f t="shared" si="453"/>
        <v>135</v>
      </c>
      <c r="AC1009">
        <f t="shared" si="454"/>
        <v>120</v>
      </c>
      <c r="AD1009">
        <f t="shared" si="455"/>
        <v>167</v>
      </c>
      <c r="AE1009">
        <f t="shared" si="456"/>
        <v>152</v>
      </c>
      <c r="AF1009">
        <f t="shared" si="457"/>
        <v>120</v>
      </c>
      <c r="AG1009">
        <f t="shared" si="458"/>
        <v>108</v>
      </c>
      <c r="AH1009">
        <f t="shared" si="459"/>
        <v>94</v>
      </c>
      <c r="AI1009">
        <f t="shared" si="460"/>
        <v>123</v>
      </c>
      <c r="AJ1009">
        <f t="shared" si="461"/>
        <v>112</v>
      </c>
      <c r="AK1009">
        <f t="shared" si="462"/>
        <v>80</v>
      </c>
      <c r="AL1009">
        <f t="shared" si="463"/>
        <v>72</v>
      </c>
      <c r="AM1009">
        <f t="shared" si="464"/>
        <v>58</v>
      </c>
      <c r="AN1009">
        <f t="shared" si="465"/>
        <v>167</v>
      </c>
      <c r="AO1009">
        <f t="shared" si="466"/>
        <v>152</v>
      </c>
      <c r="AP1009">
        <f t="shared" si="467"/>
        <v>120</v>
      </c>
      <c r="AQ1009">
        <f t="shared" si="468"/>
        <v>108</v>
      </c>
      <c r="AR1009">
        <f t="shared" si="469"/>
        <v>94</v>
      </c>
      <c r="AS1009">
        <f t="shared" si="470"/>
        <v>123</v>
      </c>
      <c r="AT1009">
        <f t="shared" si="471"/>
        <v>112</v>
      </c>
      <c r="AU1009">
        <f t="shared" si="472"/>
        <v>80</v>
      </c>
      <c r="AV1009">
        <f t="shared" si="473"/>
        <v>72</v>
      </c>
      <c r="AW1009">
        <f t="shared" si="474"/>
        <v>58</v>
      </c>
      <c r="AX1009">
        <f t="shared" si="475"/>
        <v>189</v>
      </c>
      <c r="AY1009">
        <f t="shared" si="476"/>
        <v>172</v>
      </c>
      <c r="AZ1009">
        <f t="shared" si="477"/>
        <v>140</v>
      </c>
      <c r="BA1009">
        <f t="shared" si="478"/>
        <v>126</v>
      </c>
      <c r="BB1009">
        <f t="shared" si="479"/>
        <v>112</v>
      </c>
    </row>
    <row r="1010" spans="1:54" x14ac:dyDescent="0.15">
      <c r="A1010">
        <v>656</v>
      </c>
      <c r="B1010" t="s">
        <v>3526</v>
      </c>
      <c r="C1010">
        <v>774</v>
      </c>
      <c r="D1010">
        <v>7</v>
      </c>
      <c r="E1010" t="s">
        <v>3520</v>
      </c>
      <c r="F1010" t="s">
        <v>3540</v>
      </c>
      <c r="G1010" t="s">
        <v>3528</v>
      </c>
      <c r="H1010" t="s">
        <v>3541</v>
      </c>
      <c r="J1010" t="s">
        <v>3524</v>
      </c>
      <c r="K1010">
        <v>0.3</v>
      </c>
      <c r="L1010">
        <v>0.3</v>
      </c>
      <c r="M1010" t="s">
        <v>371</v>
      </c>
      <c r="N1010" t="s">
        <v>57</v>
      </c>
      <c r="O1010" t="s">
        <v>3525</v>
      </c>
      <c r="R1010">
        <v>9</v>
      </c>
      <c r="S1010">
        <v>60</v>
      </c>
      <c r="T1010">
        <v>100</v>
      </c>
      <c r="U1010">
        <v>60</v>
      </c>
      <c r="V1010">
        <v>100</v>
      </c>
      <c r="W1010">
        <v>60</v>
      </c>
      <c r="X1010">
        <v>120</v>
      </c>
      <c r="Y1010">
        <f t="shared" si="450"/>
        <v>167</v>
      </c>
      <c r="Z1010">
        <f t="shared" si="451"/>
        <v>167</v>
      </c>
      <c r="AA1010">
        <f t="shared" si="452"/>
        <v>135</v>
      </c>
      <c r="AB1010">
        <f t="shared" si="453"/>
        <v>135</v>
      </c>
      <c r="AC1010">
        <f t="shared" si="454"/>
        <v>120</v>
      </c>
      <c r="AD1010">
        <f t="shared" si="455"/>
        <v>167</v>
      </c>
      <c r="AE1010">
        <f t="shared" si="456"/>
        <v>152</v>
      </c>
      <c r="AF1010">
        <f t="shared" si="457"/>
        <v>120</v>
      </c>
      <c r="AG1010">
        <f t="shared" si="458"/>
        <v>108</v>
      </c>
      <c r="AH1010">
        <f t="shared" si="459"/>
        <v>94</v>
      </c>
      <c r="AI1010">
        <f t="shared" si="460"/>
        <v>123</v>
      </c>
      <c r="AJ1010">
        <f t="shared" si="461"/>
        <v>112</v>
      </c>
      <c r="AK1010">
        <f t="shared" si="462"/>
        <v>80</v>
      </c>
      <c r="AL1010">
        <f t="shared" si="463"/>
        <v>72</v>
      </c>
      <c r="AM1010">
        <f t="shared" si="464"/>
        <v>58</v>
      </c>
      <c r="AN1010">
        <f t="shared" si="465"/>
        <v>167</v>
      </c>
      <c r="AO1010">
        <f t="shared" si="466"/>
        <v>152</v>
      </c>
      <c r="AP1010">
        <f t="shared" si="467"/>
        <v>120</v>
      </c>
      <c r="AQ1010">
        <f t="shared" si="468"/>
        <v>108</v>
      </c>
      <c r="AR1010">
        <f t="shared" si="469"/>
        <v>94</v>
      </c>
      <c r="AS1010">
        <f t="shared" si="470"/>
        <v>123</v>
      </c>
      <c r="AT1010">
        <f t="shared" si="471"/>
        <v>112</v>
      </c>
      <c r="AU1010">
        <f t="shared" si="472"/>
        <v>80</v>
      </c>
      <c r="AV1010">
        <f t="shared" si="473"/>
        <v>72</v>
      </c>
      <c r="AW1010">
        <f t="shared" si="474"/>
        <v>58</v>
      </c>
      <c r="AX1010">
        <f t="shared" si="475"/>
        <v>189</v>
      </c>
      <c r="AY1010">
        <f t="shared" si="476"/>
        <v>172</v>
      </c>
      <c r="AZ1010">
        <f t="shared" si="477"/>
        <v>140</v>
      </c>
      <c r="BA1010">
        <f t="shared" si="478"/>
        <v>126</v>
      </c>
      <c r="BB1010">
        <f t="shared" si="479"/>
        <v>112</v>
      </c>
    </row>
    <row r="1011" spans="1:54" x14ac:dyDescent="0.15">
      <c r="A1011">
        <v>637</v>
      </c>
      <c r="B1011" t="s">
        <v>3542</v>
      </c>
      <c r="C1011">
        <v>775</v>
      </c>
      <c r="D1011">
        <v>0</v>
      </c>
      <c r="E1011" t="s">
        <v>3543</v>
      </c>
      <c r="G1011" t="s">
        <v>3543</v>
      </c>
      <c r="H1011" t="s">
        <v>3544</v>
      </c>
      <c r="J1011" t="s">
        <v>2376</v>
      </c>
      <c r="K1011">
        <v>19.899999999999999</v>
      </c>
      <c r="L1011">
        <v>0.4</v>
      </c>
      <c r="M1011" t="s">
        <v>120</v>
      </c>
      <c r="O1011" t="s">
        <v>3545</v>
      </c>
      <c r="R1011">
        <v>9</v>
      </c>
      <c r="S1011">
        <v>65</v>
      </c>
      <c r="T1011">
        <v>115</v>
      </c>
      <c r="U1011">
        <v>65</v>
      </c>
      <c r="V1011">
        <v>75</v>
      </c>
      <c r="W1011">
        <v>95</v>
      </c>
      <c r="X1011">
        <v>65</v>
      </c>
      <c r="Y1011">
        <f t="shared" si="450"/>
        <v>172</v>
      </c>
      <c r="Z1011">
        <f t="shared" si="451"/>
        <v>172</v>
      </c>
      <c r="AA1011">
        <f t="shared" si="452"/>
        <v>140</v>
      </c>
      <c r="AB1011">
        <f t="shared" si="453"/>
        <v>140</v>
      </c>
      <c r="AC1011">
        <f t="shared" si="454"/>
        <v>125</v>
      </c>
      <c r="AD1011">
        <f t="shared" si="455"/>
        <v>183</v>
      </c>
      <c r="AE1011">
        <f t="shared" si="456"/>
        <v>167</v>
      </c>
      <c r="AF1011">
        <f t="shared" si="457"/>
        <v>135</v>
      </c>
      <c r="AG1011">
        <f t="shared" si="458"/>
        <v>121</v>
      </c>
      <c r="AH1011">
        <f t="shared" si="459"/>
        <v>108</v>
      </c>
      <c r="AI1011">
        <f t="shared" si="460"/>
        <v>128</v>
      </c>
      <c r="AJ1011">
        <f t="shared" si="461"/>
        <v>117</v>
      </c>
      <c r="AK1011">
        <f t="shared" si="462"/>
        <v>85</v>
      </c>
      <c r="AL1011">
        <f t="shared" si="463"/>
        <v>76</v>
      </c>
      <c r="AM1011">
        <f t="shared" si="464"/>
        <v>63</v>
      </c>
      <c r="AN1011">
        <f t="shared" si="465"/>
        <v>139</v>
      </c>
      <c r="AO1011">
        <f t="shared" si="466"/>
        <v>127</v>
      </c>
      <c r="AP1011">
        <f t="shared" si="467"/>
        <v>95</v>
      </c>
      <c r="AQ1011">
        <f t="shared" si="468"/>
        <v>85</v>
      </c>
      <c r="AR1011">
        <f t="shared" si="469"/>
        <v>72</v>
      </c>
      <c r="AS1011">
        <f t="shared" si="470"/>
        <v>161</v>
      </c>
      <c r="AT1011">
        <f t="shared" si="471"/>
        <v>147</v>
      </c>
      <c r="AU1011">
        <f t="shared" si="472"/>
        <v>115</v>
      </c>
      <c r="AV1011">
        <f t="shared" si="473"/>
        <v>103</v>
      </c>
      <c r="AW1011">
        <f t="shared" si="474"/>
        <v>90</v>
      </c>
      <c r="AX1011">
        <f t="shared" si="475"/>
        <v>128</v>
      </c>
      <c r="AY1011">
        <f t="shared" si="476"/>
        <v>117</v>
      </c>
      <c r="AZ1011">
        <f t="shared" si="477"/>
        <v>85</v>
      </c>
      <c r="BA1011">
        <f t="shared" si="478"/>
        <v>76</v>
      </c>
      <c r="BB1011">
        <f t="shared" si="479"/>
        <v>63</v>
      </c>
    </row>
    <row r="1012" spans="1:54" x14ac:dyDescent="0.15">
      <c r="B1012" t="s">
        <v>3546</v>
      </c>
      <c r="C1012">
        <v>776</v>
      </c>
      <c r="D1012">
        <v>0</v>
      </c>
      <c r="E1012" t="s">
        <v>3547</v>
      </c>
      <c r="G1012" t="s">
        <v>3547</v>
      </c>
      <c r="J1012" t="s">
        <v>3548</v>
      </c>
      <c r="K1012">
        <v>212</v>
      </c>
      <c r="L1012">
        <v>2</v>
      </c>
      <c r="M1012" t="s">
        <v>47</v>
      </c>
      <c r="N1012" t="s">
        <v>60</v>
      </c>
      <c r="O1012" t="s">
        <v>481</v>
      </c>
      <c r="R1012">
        <v>8</v>
      </c>
      <c r="S1012">
        <v>60</v>
      </c>
      <c r="T1012">
        <v>78</v>
      </c>
      <c r="U1012">
        <v>135</v>
      </c>
      <c r="V1012">
        <v>91</v>
      </c>
      <c r="W1012">
        <v>85</v>
      </c>
      <c r="X1012">
        <v>36</v>
      </c>
      <c r="Y1012">
        <f t="shared" si="450"/>
        <v>167</v>
      </c>
      <c r="Z1012">
        <f t="shared" si="451"/>
        <v>167</v>
      </c>
      <c r="AA1012">
        <f t="shared" si="452"/>
        <v>135</v>
      </c>
      <c r="AB1012">
        <f t="shared" si="453"/>
        <v>135</v>
      </c>
      <c r="AC1012">
        <f t="shared" si="454"/>
        <v>120</v>
      </c>
      <c r="AD1012">
        <f t="shared" si="455"/>
        <v>143</v>
      </c>
      <c r="AE1012">
        <f t="shared" si="456"/>
        <v>130</v>
      </c>
      <c r="AF1012">
        <f t="shared" si="457"/>
        <v>98</v>
      </c>
      <c r="AG1012">
        <f t="shared" si="458"/>
        <v>88</v>
      </c>
      <c r="AH1012">
        <f t="shared" si="459"/>
        <v>74</v>
      </c>
      <c r="AI1012">
        <f t="shared" si="460"/>
        <v>205</v>
      </c>
      <c r="AJ1012">
        <f t="shared" si="461"/>
        <v>187</v>
      </c>
      <c r="AK1012">
        <f t="shared" si="462"/>
        <v>155</v>
      </c>
      <c r="AL1012">
        <f t="shared" si="463"/>
        <v>139</v>
      </c>
      <c r="AM1012">
        <f t="shared" si="464"/>
        <v>126</v>
      </c>
      <c r="AN1012">
        <f t="shared" si="465"/>
        <v>157</v>
      </c>
      <c r="AO1012">
        <f t="shared" si="466"/>
        <v>143</v>
      </c>
      <c r="AP1012">
        <f t="shared" si="467"/>
        <v>111</v>
      </c>
      <c r="AQ1012">
        <f t="shared" si="468"/>
        <v>99</v>
      </c>
      <c r="AR1012">
        <f t="shared" si="469"/>
        <v>86</v>
      </c>
      <c r="AS1012">
        <f t="shared" si="470"/>
        <v>150</v>
      </c>
      <c r="AT1012">
        <f t="shared" si="471"/>
        <v>137</v>
      </c>
      <c r="AU1012">
        <f t="shared" si="472"/>
        <v>105</v>
      </c>
      <c r="AV1012">
        <f t="shared" si="473"/>
        <v>94</v>
      </c>
      <c r="AW1012">
        <f t="shared" si="474"/>
        <v>81</v>
      </c>
      <c r="AX1012">
        <f t="shared" si="475"/>
        <v>96</v>
      </c>
      <c r="AY1012">
        <f t="shared" si="476"/>
        <v>88</v>
      </c>
      <c r="AZ1012">
        <f t="shared" si="477"/>
        <v>56</v>
      </c>
      <c r="BA1012">
        <f t="shared" si="478"/>
        <v>50</v>
      </c>
      <c r="BB1012">
        <f t="shared" si="479"/>
        <v>36</v>
      </c>
    </row>
    <row r="1013" spans="1:54" x14ac:dyDescent="0.15">
      <c r="B1013" t="s">
        <v>3549</v>
      </c>
      <c r="C1013">
        <v>777</v>
      </c>
      <c r="D1013">
        <v>0</v>
      </c>
      <c r="E1013" t="s">
        <v>3550</v>
      </c>
      <c r="G1013" t="s">
        <v>3550</v>
      </c>
      <c r="J1013" t="s">
        <v>3551</v>
      </c>
      <c r="K1013">
        <v>3.3</v>
      </c>
      <c r="L1013">
        <v>0.3</v>
      </c>
      <c r="M1013" t="s">
        <v>164</v>
      </c>
      <c r="N1013" t="s">
        <v>203</v>
      </c>
      <c r="O1013" t="s">
        <v>2687</v>
      </c>
      <c r="P1013" t="s">
        <v>166</v>
      </c>
      <c r="Q1013" t="s">
        <v>435</v>
      </c>
      <c r="R1013">
        <v>8</v>
      </c>
      <c r="S1013">
        <v>65</v>
      </c>
      <c r="T1013">
        <v>98</v>
      </c>
      <c r="U1013">
        <v>63</v>
      </c>
      <c r="V1013">
        <v>40</v>
      </c>
      <c r="W1013">
        <v>73</v>
      </c>
      <c r="X1013">
        <v>96</v>
      </c>
      <c r="Y1013">
        <f t="shared" si="450"/>
        <v>172</v>
      </c>
      <c r="Z1013">
        <f t="shared" si="451"/>
        <v>172</v>
      </c>
      <c r="AA1013">
        <f t="shared" si="452"/>
        <v>140</v>
      </c>
      <c r="AB1013">
        <f t="shared" si="453"/>
        <v>140</v>
      </c>
      <c r="AC1013">
        <f t="shared" si="454"/>
        <v>125</v>
      </c>
      <c r="AD1013">
        <f t="shared" si="455"/>
        <v>165</v>
      </c>
      <c r="AE1013">
        <f t="shared" si="456"/>
        <v>150</v>
      </c>
      <c r="AF1013">
        <f t="shared" si="457"/>
        <v>118</v>
      </c>
      <c r="AG1013">
        <f t="shared" si="458"/>
        <v>106</v>
      </c>
      <c r="AH1013">
        <f t="shared" si="459"/>
        <v>92</v>
      </c>
      <c r="AI1013">
        <f t="shared" si="460"/>
        <v>126</v>
      </c>
      <c r="AJ1013">
        <f t="shared" si="461"/>
        <v>115</v>
      </c>
      <c r="AK1013">
        <f t="shared" si="462"/>
        <v>83</v>
      </c>
      <c r="AL1013">
        <f t="shared" si="463"/>
        <v>74</v>
      </c>
      <c r="AM1013">
        <f t="shared" si="464"/>
        <v>61</v>
      </c>
      <c r="AN1013">
        <f t="shared" si="465"/>
        <v>101</v>
      </c>
      <c r="AO1013">
        <f t="shared" si="466"/>
        <v>92</v>
      </c>
      <c r="AP1013">
        <f t="shared" si="467"/>
        <v>60</v>
      </c>
      <c r="AQ1013">
        <f t="shared" si="468"/>
        <v>54</v>
      </c>
      <c r="AR1013">
        <f t="shared" si="469"/>
        <v>40</v>
      </c>
      <c r="AS1013">
        <f t="shared" si="470"/>
        <v>137</v>
      </c>
      <c r="AT1013">
        <f t="shared" si="471"/>
        <v>125</v>
      </c>
      <c r="AU1013">
        <f t="shared" si="472"/>
        <v>93</v>
      </c>
      <c r="AV1013">
        <f t="shared" si="473"/>
        <v>83</v>
      </c>
      <c r="AW1013">
        <f t="shared" si="474"/>
        <v>70</v>
      </c>
      <c r="AX1013">
        <f t="shared" si="475"/>
        <v>162</v>
      </c>
      <c r="AY1013">
        <f t="shared" si="476"/>
        <v>148</v>
      </c>
      <c r="AZ1013">
        <f t="shared" si="477"/>
        <v>116</v>
      </c>
      <c r="BA1013">
        <f t="shared" si="478"/>
        <v>104</v>
      </c>
      <c r="BB1013">
        <f t="shared" si="479"/>
        <v>90</v>
      </c>
    </row>
    <row r="1014" spans="1:54" x14ac:dyDescent="0.15">
      <c r="A1014">
        <v>645</v>
      </c>
      <c r="B1014" t="s">
        <v>3552</v>
      </c>
      <c r="C1014">
        <v>778</v>
      </c>
      <c r="D1014">
        <v>0</v>
      </c>
      <c r="E1014" t="s">
        <v>3553</v>
      </c>
      <c r="G1014" t="s">
        <v>3553</v>
      </c>
      <c r="H1014" t="s">
        <v>3554</v>
      </c>
      <c r="J1014" t="s">
        <v>3555</v>
      </c>
      <c r="K1014">
        <v>0.7</v>
      </c>
      <c r="L1014">
        <v>0.2</v>
      </c>
      <c r="M1014" t="s">
        <v>546</v>
      </c>
      <c r="N1014" t="s">
        <v>233</v>
      </c>
      <c r="O1014" t="s">
        <v>3556</v>
      </c>
      <c r="R1014">
        <v>9</v>
      </c>
      <c r="S1014">
        <v>55</v>
      </c>
      <c r="T1014">
        <v>90</v>
      </c>
      <c r="U1014">
        <v>80</v>
      </c>
      <c r="V1014">
        <v>50</v>
      </c>
      <c r="W1014">
        <v>105</v>
      </c>
      <c r="X1014">
        <v>96</v>
      </c>
      <c r="Y1014">
        <f t="shared" si="450"/>
        <v>162</v>
      </c>
      <c r="Z1014">
        <f t="shared" si="451"/>
        <v>162</v>
      </c>
      <c r="AA1014">
        <f t="shared" si="452"/>
        <v>130</v>
      </c>
      <c r="AB1014">
        <f t="shared" si="453"/>
        <v>130</v>
      </c>
      <c r="AC1014">
        <f t="shared" si="454"/>
        <v>115</v>
      </c>
      <c r="AD1014">
        <f t="shared" si="455"/>
        <v>156</v>
      </c>
      <c r="AE1014">
        <f t="shared" si="456"/>
        <v>142</v>
      </c>
      <c r="AF1014">
        <f t="shared" si="457"/>
        <v>110</v>
      </c>
      <c r="AG1014">
        <f t="shared" si="458"/>
        <v>99</v>
      </c>
      <c r="AH1014">
        <f t="shared" si="459"/>
        <v>85</v>
      </c>
      <c r="AI1014">
        <f t="shared" si="460"/>
        <v>145</v>
      </c>
      <c r="AJ1014">
        <f t="shared" si="461"/>
        <v>132</v>
      </c>
      <c r="AK1014">
        <f t="shared" si="462"/>
        <v>100</v>
      </c>
      <c r="AL1014">
        <f t="shared" si="463"/>
        <v>90</v>
      </c>
      <c r="AM1014">
        <f t="shared" si="464"/>
        <v>76</v>
      </c>
      <c r="AN1014">
        <f t="shared" si="465"/>
        <v>112</v>
      </c>
      <c r="AO1014">
        <f t="shared" si="466"/>
        <v>102</v>
      </c>
      <c r="AP1014">
        <f t="shared" si="467"/>
        <v>70</v>
      </c>
      <c r="AQ1014">
        <f t="shared" si="468"/>
        <v>63</v>
      </c>
      <c r="AR1014">
        <f t="shared" si="469"/>
        <v>49</v>
      </c>
      <c r="AS1014">
        <f t="shared" si="470"/>
        <v>172</v>
      </c>
      <c r="AT1014">
        <f t="shared" si="471"/>
        <v>157</v>
      </c>
      <c r="AU1014">
        <f t="shared" si="472"/>
        <v>125</v>
      </c>
      <c r="AV1014">
        <f t="shared" si="473"/>
        <v>112</v>
      </c>
      <c r="AW1014">
        <f t="shared" si="474"/>
        <v>99</v>
      </c>
      <c r="AX1014">
        <f t="shared" si="475"/>
        <v>162</v>
      </c>
      <c r="AY1014">
        <f t="shared" si="476"/>
        <v>148</v>
      </c>
      <c r="AZ1014">
        <f t="shared" si="477"/>
        <v>116</v>
      </c>
      <c r="BA1014">
        <f t="shared" si="478"/>
        <v>104</v>
      </c>
      <c r="BB1014">
        <f t="shared" si="479"/>
        <v>90</v>
      </c>
    </row>
    <row r="1015" spans="1:54" x14ac:dyDescent="0.15">
      <c r="A1015">
        <v>687</v>
      </c>
      <c r="B1015" t="s">
        <v>3557</v>
      </c>
      <c r="C1015">
        <v>779</v>
      </c>
      <c r="D1015">
        <v>0</v>
      </c>
      <c r="E1015" t="s">
        <v>3558</v>
      </c>
      <c r="G1015" t="s">
        <v>3558</v>
      </c>
      <c r="H1015" t="s">
        <v>3559</v>
      </c>
      <c r="J1015" t="s">
        <v>3560</v>
      </c>
      <c r="K1015">
        <v>19</v>
      </c>
      <c r="L1015">
        <v>0.9</v>
      </c>
      <c r="M1015" t="s">
        <v>71</v>
      </c>
      <c r="N1015" t="s">
        <v>191</v>
      </c>
      <c r="O1015" t="s">
        <v>3561</v>
      </c>
      <c r="P1015" t="s">
        <v>1513</v>
      </c>
      <c r="Q1015" t="s">
        <v>300</v>
      </c>
      <c r="R1015">
        <v>9</v>
      </c>
      <c r="S1015">
        <v>68</v>
      </c>
      <c r="T1015">
        <v>105</v>
      </c>
      <c r="U1015">
        <v>70</v>
      </c>
      <c r="V1015">
        <v>70</v>
      </c>
      <c r="W1015">
        <v>70</v>
      </c>
      <c r="X1015">
        <v>92</v>
      </c>
      <c r="Y1015">
        <f t="shared" si="450"/>
        <v>175</v>
      </c>
      <c r="Z1015">
        <f t="shared" si="451"/>
        <v>175</v>
      </c>
      <c r="AA1015">
        <f t="shared" si="452"/>
        <v>143</v>
      </c>
      <c r="AB1015">
        <f t="shared" si="453"/>
        <v>143</v>
      </c>
      <c r="AC1015">
        <f t="shared" si="454"/>
        <v>128</v>
      </c>
      <c r="AD1015">
        <f t="shared" si="455"/>
        <v>172</v>
      </c>
      <c r="AE1015">
        <f t="shared" si="456"/>
        <v>157</v>
      </c>
      <c r="AF1015">
        <f t="shared" si="457"/>
        <v>125</v>
      </c>
      <c r="AG1015">
        <f t="shared" si="458"/>
        <v>112</v>
      </c>
      <c r="AH1015">
        <f t="shared" si="459"/>
        <v>99</v>
      </c>
      <c r="AI1015">
        <f t="shared" si="460"/>
        <v>134</v>
      </c>
      <c r="AJ1015">
        <f t="shared" si="461"/>
        <v>122</v>
      </c>
      <c r="AK1015">
        <f t="shared" si="462"/>
        <v>90</v>
      </c>
      <c r="AL1015">
        <f t="shared" si="463"/>
        <v>81</v>
      </c>
      <c r="AM1015">
        <f t="shared" si="464"/>
        <v>67</v>
      </c>
      <c r="AN1015">
        <f t="shared" si="465"/>
        <v>134</v>
      </c>
      <c r="AO1015">
        <f t="shared" si="466"/>
        <v>122</v>
      </c>
      <c r="AP1015">
        <f t="shared" si="467"/>
        <v>90</v>
      </c>
      <c r="AQ1015">
        <f t="shared" si="468"/>
        <v>81</v>
      </c>
      <c r="AR1015">
        <f t="shared" si="469"/>
        <v>67</v>
      </c>
      <c r="AS1015">
        <f t="shared" si="470"/>
        <v>134</v>
      </c>
      <c r="AT1015">
        <f t="shared" si="471"/>
        <v>122</v>
      </c>
      <c r="AU1015">
        <f t="shared" si="472"/>
        <v>90</v>
      </c>
      <c r="AV1015">
        <f t="shared" si="473"/>
        <v>81</v>
      </c>
      <c r="AW1015">
        <f t="shared" si="474"/>
        <v>67</v>
      </c>
      <c r="AX1015">
        <f t="shared" si="475"/>
        <v>158</v>
      </c>
      <c r="AY1015">
        <f t="shared" si="476"/>
        <v>144</v>
      </c>
      <c r="AZ1015">
        <f t="shared" si="477"/>
        <v>112</v>
      </c>
      <c r="BA1015">
        <f t="shared" si="478"/>
        <v>100</v>
      </c>
      <c r="BB1015">
        <f t="shared" si="479"/>
        <v>87</v>
      </c>
    </row>
    <row r="1016" spans="1:54" x14ac:dyDescent="0.15">
      <c r="B1016" t="s">
        <v>3562</v>
      </c>
      <c r="C1016">
        <v>780</v>
      </c>
      <c r="D1016">
        <v>0</v>
      </c>
      <c r="E1016" t="s">
        <v>3563</v>
      </c>
      <c r="G1016" t="s">
        <v>3563</v>
      </c>
      <c r="J1016" t="s">
        <v>3564</v>
      </c>
      <c r="K1016">
        <v>185</v>
      </c>
      <c r="L1016">
        <v>3</v>
      </c>
      <c r="M1016" t="s">
        <v>120</v>
      </c>
      <c r="N1016" t="s">
        <v>60</v>
      </c>
      <c r="O1016" t="s">
        <v>824</v>
      </c>
      <c r="P1016" t="s">
        <v>965</v>
      </c>
      <c r="Q1016" t="s">
        <v>345</v>
      </c>
      <c r="R1016">
        <v>8</v>
      </c>
      <c r="S1016">
        <v>78</v>
      </c>
      <c r="T1016">
        <v>60</v>
      </c>
      <c r="U1016">
        <v>85</v>
      </c>
      <c r="V1016">
        <v>135</v>
      </c>
      <c r="W1016">
        <v>91</v>
      </c>
      <c r="X1016">
        <v>36</v>
      </c>
      <c r="Y1016">
        <f t="shared" si="450"/>
        <v>185</v>
      </c>
      <c r="Z1016">
        <f t="shared" si="451"/>
        <v>185</v>
      </c>
      <c r="AA1016">
        <f t="shared" si="452"/>
        <v>153</v>
      </c>
      <c r="AB1016">
        <f t="shared" si="453"/>
        <v>153</v>
      </c>
      <c r="AC1016">
        <f t="shared" si="454"/>
        <v>138</v>
      </c>
      <c r="AD1016">
        <f t="shared" si="455"/>
        <v>123</v>
      </c>
      <c r="AE1016">
        <f t="shared" si="456"/>
        <v>112</v>
      </c>
      <c r="AF1016">
        <f t="shared" si="457"/>
        <v>80</v>
      </c>
      <c r="AG1016">
        <f t="shared" si="458"/>
        <v>72</v>
      </c>
      <c r="AH1016">
        <f t="shared" si="459"/>
        <v>58</v>
      </c>
      <c r="AI1016">
        <f t="shared" si="460"/>
        <v>150</v>
      </c>
      <c r="AJ1016">
        <f t="shared" si="461"/>
        <v>137</v>
      </c>
      <c r="AK1016">
        <f t="shared" si="462"/>
        <v>105</v>
      </c>
      <c r="AL1016">
        <f t="shared" si="463"/>
        <v>94</v>
      </c>
      <c r="AM1016">
        <f t="shared" si="464"/>
        <v>81</v>
      </c>
      <c r="AN1016">
        <f t="shared" si="465"/>
        <v>205</v>
      </c>
      <c r="AO1016">
        <f t="shared" si="466"/>
        <v>187</v>
      </c>
      <c r="AP1016">
        <f t="shared" si="467"/>
        <v>155</v>
      </c>
      <c r="AQ1016">
        <f t="shared" si="468"/>
        <v>139</v>
      </c>
      <c r="AR1016">
        <f t="shared" si="469"/>
        <v>126</v>
      </c>
      <c r="AS1016">
        <f t="shared" si="470"/>
        <v>157</v>
      </c>
      <c r="AT1016">
        <f t="shared" si="471"/>
        <v>143</v>
      </c>
      <c r="AU1016">
        <f t="shared" si="472"/>
        <v>111</v>
      </c>
      <c r="AV1016">
        <f t="shared" si="473"/>
        <v>99</v>
      </c>
      <c r="AW1016">
        <f t="shared" si="474"/>
        <v>86</v>
      </c>
      <c r="AX1016">
        <f t="shared" si="475"/>
        <v>96</v>
      </c>
      <c r="AY1016">
        <f t="shared" si="476"/>
        <v>88</v>
      </c>
      <c r="AZ1016">
        <f t="shared" si="477"/>
        <v>56</v>
      </c>
      <c r="BA1016">
        <f t="shared" si="478"/>
        <v>50</v>
      </c>
      <c r="BB1016">
        <f t="shared" si="479"/>
        <v>36</v>
      </c>
    </row>
    <row r="1017" spans="1:54" x14ac:dyDescent="0.15">
      <c r="B1017" t="s">
        <v>3565</v>
      </c>
      <c r="C1017">
        <v>781</v>
      </c>
      <c r="D1017">
        <v>0</v>
      </c>
      <c r="E1017" t="s">
        <v>3566</v>
      </c>
      <c r="G1017" t="s">
        <v>3566</v>
      </c>
      <c r="J1017" t="s">
        <v>3567</v>
      </c>
      <c r="K1017">
        <v>210</v>
      </c>
      <c r="L1017">
        <v>3.9</v>
      </c>
      <c r="M1017" t="s">
        <v>546</v>
      </c>
      <c r="N1017" t="s">
        <v>26</v>
      </c>
      <c r="O1017" t="s">
        <v>3568</v>
      </c>
      <c r="R1017">
        <v>8</v>
      </c>
      <c r="S1017">
        <v>70</v>
      </c>
      <c r="T1017">
        <v>131</v>
      </c>
      <c r="U1017">
        <v>100</v>
      </c>
      <c r="V1017">
        <v>86</v>
      </c>
      <c r="W1017">
        <v>90</v>
      </c>
      <c r="X1017">
        <v>40</v>
      </c>
      <c r="Y1017">
        <f t="shared" si="450"/>
        <v>177</v>
      </c>
      <c r="Z1017">
        <f t="shared" si="451"/>
        <v>177</v>
      </c>
      <c r="AA1017">
        <f t="shared" si="452"/>
        <v>145</v>
      </c>
      <c r="AB1017">
        <f t="shared" si="453"/>
        <v>145</v>
      </c>
      <c r="AC1017">
        <f t="shared" si="454"/>
        <v>130</v>
      </c>
      <c r="AD1017">
        <f t="shared" si="455"/>
        <v>201</v>
      </c>
      <c r="AE1017">
        <f t="shared" si="456"/>
        <v>183</v>
      </c>
      <c r="AF1017">
        <f t="shared" si="457"/>
        <v>151</v>
      </c>
      <c r="AG1017">
        <f t="shared" si="458"/>
        <v>135</v>
      </c>
      <c r="AH1017">
        <f t="shared" si="459"/>
        <v>122</v>
      </c>
      <c r="AI1017">
        <f t="shared" si="460"/>
        <v>167</v>
      </c>
      <c r="AJ1017">
        <f t="shared" si="461"/>
        <v>152</v>
      </c>
      <c r="AK1017">
        <f t="shared" si="462"/>
        <v>120</v>
      </c>
      <c r="AL1017">
        <f t="shared" si="463"/>
        <v>108</v>
      </c>
      <c r="AM1017">
        <f t="shared" si="464"/>
        <v>94</v>
      </c>
      <c r="AN1017">
        <f t="shared" si="465"/>
        <v>151</v>
      </c>
      <c r="AO1017">
        <f t="shared" si="466"/>
        <v>138</v>
      </c>
      <c r="AP1017">
        <f t="shared" si="467"/>
        <v>106</v>
      </c>
      <c r="AQ1017">
        <f t="shared" si="468"/>
        <v>95</v>
      </c>
      <c r="AR1017">
        <f t="shared" si="469"/>
        <v>81</v>
      </c>
      <c r="AS1017">
        <f t="shared" si="470"/>
        <v>156</v>
      </c>
      <c r="AT1017">
        <f t="shared" si="471"/>
        <v>142</v>
      </c>
      <c r="AU1017">
        <f t="shared" si="472"/>
        <v>110</v>
      </c>
      <c r="AV1017">
        <f t="shared" si="473"/>
        <v>99</v>
      </c>
      <c r="AW1017">
        <f t="shared" si="474"/>
        <v>85</v>
      </c>
      <c r="AX1017">
        <f t="shared" si="475"/>
        <v>101</v>
      </c>
      <c r="AY1017">
        <f t="shared" si="476"/>
        <v>92</v>
      </c>
      <c r="AZ1017">
        <f t="shared" si="477"/>
        <v>60</v>
      </c>
      <c r="BA1017">
        <f t="shared" si="478"/>
        <v>54</v>
      </c>
      <c r="BB1017">
        <f t="shared" si="479"/>
        <v>40</v>
      </c>
    </row>
    <row r="1018" spans="1:54" x14ac:dyDescent="0.15">
      <c r="A1018">
        <v>642</v>
      </c>
      <c r="B1018" t="s">
        <v>3569</v>
      </c>
      <c r="C1018">
        <v>782</v>
      </c>
      <c r="D1018">
        <v>0</v>
      </c>
      <c r="E1018" t="s">
        <v>3570</v>
      </c>
      <c r="G1018" t="s">
        <v>3570</v>
      </c>
      <c r="H1018" t="s">
        <v>3571</v>
      </c>
      <c r="J1018" t="s">
        <v>3572</v>
      </c>
      <c r="K1018">
        <v>29.7</v>
      </c>
      <c r="L1018">
        <v>0.6</v>
      </c>
      <c r="M1018" t="s">
        <v>60</v>
      </c>
      <c r="O1018" t="s">
        <v>2917</v>
      </c>
      <c r="P1018" t="s">
        <v>586</v>
      </c>
      <c r="Q1018" t="s">
        <v>538</v>
      </c>
      <c r="R1018">
        <v>8</v>
      </c>
      <c r="S1018">
        <v>45</v>
      </c>
      <c r="T1018">
        <v>55</v>
      </c>
      <c r="U1018">
        <v>65</v>
      </c>
      <c r="V1018">
        <v>45</v>
      </c>
      <c r="W1018">
        <v>45</v>
      </c>
      <c r="X1018">
        <v>45</v>
      </c>
      <c r="Y1018">
        <f t="shared" si="450"/>
        <v>152</v>
      </c>
      <c r="Z1018">
        <f t="shared" si="451"/>
        <v>152</v>
      </c>
      <c r="AA1018">
        <f t="shared" si="452"/>
        <v>120</v>
      </c>
      <c r="AB1018">
        <f t="shared" si="453"/>
        <v>120</v>
      </c>
      <c r="AC1018">
        <f t="shared" si="454"/>
        <v>105</v>
      </c>
      <c r="AD1018">
        <f t="shared" si="455"/>
        <v>117</v>
      </c>
      <c r="AE1018">
        <f t="shared" si="456"/>
        <v>107</v>
      </c>
      <c r="AF1018">
        <f t="shared" si="457"/>
        <v>75</v>
      </c>
      <c r="AG1018">
        <f t="shared" si="458"/>
        <v>67</v>
      </c>
      <c r="AH1018">
        <f t="shared" si="459"/>
        <v>54</v>
      </c>
      <c r="AI1018">
        <f t="shared" si="460"/>
        <v>128</v>
      </c>
      <c r="AJ1018">
        <f t="shared" si="461"/>
        <v>117</v>
      </c>
      <c r="AK1018">
        <f t="shared" si="462"/>
        <v>85</v>
      </c>
      <c r="AL1018">
        <f t="shared" si="463"/>
        <v>76</v>
      </c>
      <c r="AM1018">
        <f t="shared" si="464"/>
        <v>63</v>
      </c>
      <c r="AN1018">
        <f t="shared" si="465"/>
        <v>106</v>
      </c>
      <c r="AO1018">
        <f t="shared" si="466"/>
        <v>97</v>
      </c>
      <c r="AP1018">
        <f t="shared" si="467"/>
        <v>65</v>
      </c>
      <c r="AQ1018">
        <f t="shared" si="468"/>
        <v>58</v>
      </c>
      <c r="AR1018">
        <f t="shared" si="469"/>
        <v>45</v>
      </c>
      <c r="AS1018">
        <f t="shared" si="470"/>
        <v>106</v>
      </c>
      <c r="AT1018">
        <f t="shared" si="471"/>
        <v>97</v>
      </c>
      <c r="AU1018">
        <f t="shared" si="472"/>
        <v>65</v>
      </c>
      <c r="AV1018">
        <f t="shared" si="473"/>
        <v>58</v>
      </c>
      <c r="AW1018">
        <f t="shared" si="474"/>
        <v>45</v>
      </c>
      <c r="AX1018">
        <f t="shared" si="475"/>
        <v>106</v>
      </c>
      <c r="AY1018">
        <f t="shared" si="476"/>
        <v>97</v>
      </c>
      <c r="AZ1018">
        <f t="shared" si="477"/>
        <v>65</v>
      </c>
      <c r="BA1018">
        <f t="shared" si="478"/>
        <v>58</v>
      </c>
      <c r="BB1018">
        <f t="shared" si="479"/>
        <v>45</v>
      </c>
    </row>
    <row r="1019" spans="1:54" x14ac:dyDescent="0.15">
      <c r="A1019">
        <v>643</v>
      </c>
      <c r="B1019" t="s">
        <v>3573</v>
      </c>
      <c r="C1019">
        <v>783</v>
      </c>
      <c r="D1019">
        <v>0</v>
      </c>
      <c r="E1019" t="s">
        <v>3574</v>
      </c>
      <c r="G1019" t="s">
        <v>3574</v>
      </c>
      <c r="H1019" t="s">
        <v>3575</v>
      </c>
      <c r="J1019" t="s">
        <v>3572</v>
      </c>
      <c r="K1019">
        <v>47</v>
      </c>
      <c r="L1019">
        <v>1.2</v>
      </c>
      <c r="M1019" t="s">
        <v>60</v>
      </c>
      <c r="N1019" t="s">
        <v>354</v>
      </c>
      <c r="O1019" t="s">
        <v>2917</v>
      </c>
      <c r="P1019" t="s">
        <v>586</v>
      </c>
      <c r="Q1019" t="s">
        <v>538</v>
      </c>
      <c r="R1019">
        <v>8</v>
      </c>
      <c r="S1019">
        <v>55</v>
      </c>
      <c r="T1019">
        <v>75</v>
      </c>
      <c r="U1019">
        <v>90</v>
      </c>
      <c r="V1019">
        <v>65</v>
      </c>
      <c r="W1019">
        <v>70</v>
      </c>
      <c r="X1019">
        <v>65</v>
      </c>
      <c r="Y1019">
        <f t="shared" si="450"/>
        <v>162</v>
      </c>
      <c r="Z1019">
        <f t="shared" si="451"/>
        <v>162</v>
      </c>
      <c r="AA1019">
        <f t="shared" si="452"/>
        <v>130</v>
      </c>
      <c r="AB1019">
        <f t="shared" si="453"/>
        <v>130</v>
      </c>
      <c r="AC1019">
        <f t="shared" si="454"/>
        <v>115</v>
      </c>
      <c r="AD1019">
        <f t="shared" si="455"/>
        <v>139</v>
      </c>
      <c r="AE1019">
        <f t="shared" si="456"/>
        <v>127</v>
      </c>
      <c r="AF1019">
        <f t="shared" si="457"/>
        <v>95</v>
      </c>
      <c r="AG1019">
        <f t="shared" si="458"/>
        <v>85</v>
      </c>
      <c r="AH1019">
        <f t="shared" si="459"/>
        <v>72</v>
      </c>
      <c r="AI1019">
        <f t="shared" si="460"/>
        <v>156</v>
      </c>
      <c r="AJ1019">
        <f t="shared" si="461"/>
        <v>142</v>
      </c>
      <c r="AK1019">
        <f t="shared" si="462"/>
        <v>110</v>
      </c>
      <c r="AL1019">
        <f t="shared" si="463"/>
        <v>99</v>
      </c>
      <c r="AM1019">
        <f t="shared" si="464"/>
        <v>85</v>
      </c>
      <c r="AN1019">
        <f t="shared" si="465"/>
        <v>128</v>
      </c>
      <c r="AO1019">
        <f t="shared" si="466"/>
        <v>117</v>
      </c>
      <c r="AP1019">
        <f t="shared" si="467"/>
        <v>85</v>
      </c>
      <c r="AQ1019">
        <f t="shared" si="468"/>
        <v>76</v>
      </c>
      <c r="AR1019">
        <f t="shared" si="469"/>
        <v>63</v>
      </c>
      <c r="AS1019">
        <f t="shared" si="470"/>
        <v>134</v>
      </c>
      <c r="AT1019">
        <f t="shared" si="471"/>
        <v>122</v>
      </c>
      <c r="AU1019">
        <f t="shared" si="472"/>
        <v>90</v>
      </c>
      <c r="AV1019">
        <f t="shared" si="473"/>
        <v>81</v>
      </c>
      <c r="AW1019">
        <f t="shared" si="474"/>
        <v>67</v>
      </c>
      <c r="AX1019">
        <f t="shared" si="475"/>
        <v>128</v>
      </c>
      <c r="AY1019">
        <f t="shared" si="476"/>
        <v>117</v>
      </c>
      <c r="AZ1019">
        <f t="shared" si="477"/>
        <v>85</v>
      </c>
      <c r="BA1019">
        <f t="shared" si="478"/>
        <v>76</v>
      </c>
      <c r="BB1019">
        <f t="shared" si="479"/>
        <v>63</v>
      </c>
    </row>
    <row r="1020" spans="1:54" x14ac:dyDescent="0.15">
      <c r="A1020">
        <v>644</v>
      </c>
      <c r="B1020" t="s">
        <v>3576</v>
      </c>
      <c r="C1020">
        <v>784</v>
      </c>
      <c r="D1020">
        <v>0</v>
      </c>
      <c r="E1020" t="s">
        <v>3577</v>
      </c>
      <c r="G1020" t="s">
        <v>3577</v>
      </c>
      <c r="H1020" t="s">
        <v>3578</v>
      </c>
      <c r="J1020" t="s">
        <v>3572</v>
      </c>
      <c r="K1020">
        <v>78.2</v>
      </c>
      <c r="L1020">
        <v>1.6</v>
      </c>
      <c r="M1020" t="s">
        <v>60</v>
      </c>
      <c r="N1020" t="s">
        <v>354</v>
      </c>
      <c r="O1020" t="s">
        <v>2917</v>
      </c>
      <c r="P1020" t="s">
        <v>586</v>
      </c>
      <c r="Q1020" t="s">
        <v>538</v>
      </c>
      <c r="R1020">
        <v>8</v>
      </c>
      <c r="S1020">
        <v>75</v>
      </c>
      <c r="T1020">
        <v>110</v>
      </c>
      <c r="U1020">
        <v>125</v>
      </c>
      <c r="V1020">
        <v>100</v>
      </c>
      <c r="W1020">
        <v>105</v>
      </c>
      <c r="X1020">
        <v>85</v>
      </c>
      <c r="Y1020">
        <f t="shared" si="450"/>
        <v>182</v>
      </c>
      <c r="Z1020">
        <f t="shared" si="451"/>
        <v>182</v>
      </c>
      <c r="AA1020">
        <f t="shared" si="452"/>
        <v>150</v>
      </c>
      <c r="AB1020">
        <f t="shared" si="453"/>
        <v>150</v>
      </c>
      <c r="AC1020">
        <f t="shared" si="454"/>
        <v>135</v>
      </c>
      <c r="AD1020">
        <f t="shared" si="455"/>
        <v>178</v>
      </c>
      <c r="AE1020">
        <f t="shared" si="456"/>
        <v>162</v>
      </c>
      <c r="AF1020">
        <f t="shared" si="457"/>
        <v>130</v>
      </c>
      <c r="AG1020">
        <f t="shared" si="458"/>
        <v>117</v>
      </c>
      <c r="AH1020">
        <f t="shared" si="459"/>
        <v>103</v>
      </c>
      <c r="AI1020">
        <f t="shared" si="460"/>
        <v>194</v>
      </c>
      <c r="AJ1020">
        <f t="shared" si="461"/>
        <v>177</v>
      </c>
      <c r="AK1020">
        <f t="shared" si="462"/>
        <v>145</v>
      </c>
      <c r="AL1020">
        <f t="shared" si="463"/>
        <v>130</v>
      </c>
      <c r="AM1020">
        <f t="shared" si="464"/>
        <v>117</v>
      </c>
      <c r="AN1020">
        <f t="shared" si="465"/>
        <v>167</v>
      </c>
      <c r="AO1020">
        <f t="shared" si="466"/>
        <v>152</v>
      </c>
      <c r="AP1020">
        <f t="shared" si="467"/>
        <v>120</v>
      </c>
      <c r="AQ1020">
        <f t="shared" si="468"/>
        <v>108</v>
      </c>
      <c r="AR1020">
        <f t="shared" si="469"/>
        <v>94</v>
      </c>
      <c r="AS1020">
        <f t="shared" si="470"/>
        <v>172</v>
      </c>
      <c r="AT1020">
        <f t="shared" si="471"/>
        <v>157</v>
      </c>
      <c r="AU1020">
        <f t="shared" si="472"/>
        <v>125</v>
      </c>
      <c r="AV1020">
        <f t="shared" si="473"/>
        <v>112</v>
      </c>
      <c r="AW1020">
        <f t="shared" si="474"/>
        <v>99</v>
      </c>
      <c r="AX1020">
        <f t="shared" si="475"/>
        <v>150</v>
      </c>
      <c r="AY1020">
        <f t="shared" si="476"/>
        <v>137</v>
      </c>
      <c r="AZ1020">
        <f t="shared" si="477"/>
        <v>105</v>
      </c>
      <c r="BA1020">
        <f t="shared" si="478"/>
        <v>94</v>
      </c>
      <c r="BB1020">
        <f t="shared" si="479"/>
        <v>81</v>
      </c>
    </row>
    <row r="1021" spans="1:54" x14ac:dyDescent="0.15">
      <c r="B1021" t="s">
        <v>3579</v>
      </c>
      <c r="C1021">
        <v>785</v>
      </c>
      <c r="D1021">
        <v>0</v>
      </c>
      <c r="E1021" t="s">
        <v>3580</v>
      </c>
      <c r="G1021" t="s">
        <v>3580</v>
      </c>
      <c r="J1021" t="s">
        <v>3581</v>
      </c>
      <c r="K1021">
        <v>20.5</v>
      </c>
      <c r="L1021">
        <v>1.8</v>
      </c>
      <c r="M1021" t="s">
        <v>164</v>
      </c>
      <c r="N1021" t="s">
        <v>233</v>
      </c>
      <c r="O1021" t="s">
        <v>3582</v>
      </c>
      <c r="P1021" t="s">
        <v>1048</v>
      </c>
      <c r="R1021">
        <v>9</v>
      </c>
      <c r="S1021">
        <v>70</v>
      </c>
      <c r="T1021">
        <v>115</v>
      </c>
      <c r="U1021">
        <v>85</v>
      </c>
      <c r="V1021">
        <v>95</v>
      </c>
      <c r="W1021">
        <v>75</v>
      </c>
      <c r="X1021">
        <v>130</v>
      </c>
      <c r="Y1021">
        <f t="shared" si="450"/>
        <v>177</v>
      </c>
      <c r="Z1021">
        <f t="shared" si="451"/>
        <v>177</v>
      </c>
      <c r="AA1021">
        <f t="shared" si="452"/>
        <v>145</v>
      </c>
      <c r="AB1021">
        <f t="shared" si="453"/>
        <v>145</v>
      </c>
      <c r="AC1021">
        <f t="shared" si="454"/>
        <v>130</v>
      </c>
      <c r="AD1021">
        <f t="shared" si="455"/>
        <v>183</v>
      </c>
      <c r="AE1021">
        <f t="shared" si="456"/>
        <v>167</v>
      </c>
      <c r="AF1021">
        <f t="shared" si="457"/>
        <v>135</v>
      </c>
      <c r="AG1021">
        <f t="shared" si="458"/>
        <v>121</v>
      </c>
      <c r="AH1021">
        <f t="shared" si="459"/>
        <v>108</v>
      </c>
      <c r="AI1021">
        <f t="shared" si="460"/>
        <v>150</v>
      </c>
      <c r="AJ1021">
        <f t="shared" si="461"/>
        <v>137</v>
      </c>
      <c r="AK1021">
        <f t="shared" si="462"/>
        <v>105</v>
      </c>
      <c r="AL1021">
        <f t="shared" si="463"/>
        <v>94</v>
      </c>
      <c r="AM1021">
        <f t="shared" si="464"/>
        <v>81</v>
      </c>
      <c r="AN1021">
        <f t="shared" si="465"/>
        <v>161</v>
      </c>
      <c r="AO1021">
        <f t="shared" si="466"/>
        <v>147</v>
      </c>
      <c r="AP1021">
        <f t="shared" si="467"/>
        <v>115</v>
      </c>
      <c r="AQ1021">
        <f t="shared" si="468"/>
        <v>103</v>
      </c>
      <c r="AR1021">
        <f t="shared" si="469"/>
        <v>90</v>
      </c>
      <c r="AS1021">
        <f t="shared" si="470"/>
        <v>139</v>
      </c>
      <c r="AT1021">
        <f t="shared" si="471"/>
        <v>127</v>
      </c>
      <c r="AU1021">
        <f t="shared" si="472"/>
        <v>95</v>
      </c>
      <c r="AV1021">
        <f t="shared" si="473"/>
        <v>85</v>
      </c>
      <c r="AW1021">
        <f t="shared" si="474"/>
        <v>72</v>
      </c>
      <c r="AX1021">
        <f t="shared" si="475"/>
        <v>200</v>
      </c>
      <c r="AY1021">
        <f t="shared" si="476"/>
        <v>182</v>
      </c>
      <c r="AZ1021">
        <f t="shared" si="477"/>
        <v>150</v>
      </c>
      <c r="BA1021">
        <f t="shared" si="478"/>
        <v>135</v>
      </c>
      <c r="BB1021">
        <f t="shared" si="479"/>
        <v>121</v>
      </c>
    </row>
    <row r="1022" spans="1:54" x14ac:dyDescent="0.15">
      <c r="B1022" t="s">
        <v>3583</v>
      </c>
      <c r="C1022">
        <v>786</v>
      </c>
      <c r="D1022">
        <v>0</v>
      </c>
      <c r="E1022" t="s">
        <v>3584</v>
      </c>
      <c r="G1022" t="s">
        <v>3584</v>
      </c>
      <c r="J1022" t="s">
        <v>3581</v>
      </c>
      <c r="K1022">
        <v>18.600000000000001</v>
      </c>
      <c r="L1022">
        <v>1.2</v>
      </c>
      <c r="M1022" t="s">
        <v>191</v>
      </c>
      <c r="N1022" t="s">
        <v>233</v>
      </c>
      <c r="O1022" t="s">
        <v>3585</v>
      </c>
      <c r="P1022" t="s">
        <v>1048</v>
      </c>
      <c r="R1022">
        <v>9</v>
      </c>
      <c r="S1022">
        <v>70</v>
      </c>
      <c r="T1022">
        <v>85</v>
      </c>
      <c r="U1022">
        <v>75</v>
      </c>
      <c r="V1022">
        <v>130</v>
      </c>
      <c r="W1022">
        <v>115</v>
      </c>
      <c r="X1022">
        <v>95</v>
      </c>
      <c r="Y1022">
        <f t="shared" si="450"/>
        <v>177</v>
      </c>
      <c r="Z1022">
        <f t="shared" si="451"/>
        <v>177</v>
      </c>
      <c r="AA1022">
        <f t="shared" si="452"/>
        <v>145</v>
      </c>
      <c r="AB1022">
        <f t="shared" si="453"/>
        <v>145</v>
      </c>
      <c r="AC1022">
        <f t="shared" si="454"/>
        <v>130</v>
      </c>
      <c r="AD1022">
        <f t="shared" si="455"/>
        <v>150</v>
      </c>
      <c r="AE1022">
        <f t="shared" si="456"/>
        <v>137</v>
      </c>
      <c r="AF1022">
        <f t="shared" si="457"/>
        <v>105</v>
      </c>
      <c r="AG1022">
        <f t="shared" si="458"/>
        <v>94</v>
      </c>
      <c r="AH1022">
        <f t="shared" si="459"/>
        <v>81</v>
      </c>
      <c r="AI1022">
        <f t="shared" si="460"/>
        <v>139</v>
      </c>
      <c r="AJ1022">
        <f t="shared" si="461"/>
        <v>127</v>
      </c>
      <c r="AK1022">
        <f t="shared" si="462"/>
        <v>95</v>
      </c>
      <c r="AL1022">
        <f t="shared" si="463"/>
        <v>85</v>
      </c>
      <c r="AM1022">
        <f t="shared" si="464"/>
        <v>72</v>
      </c>
      <c r="AN1022">
        <f t="shared" si="465"/>
        <v>200</v>
      </c>
      <c r="AO1022">
        <f t="shared" si="466"/>
        <v>182</v>
      </c>
      <c r="AP1022">
        <f t="shared" si="467"/>
        <v>150</v>
      </c>
      <c r="AQ1022">
        <f t="shared" si="468"/>
        <v>135</v>
      </c>
      <c r="AR1022">
        <f t="shared" si="469"/>
        <v>121</v>
      </c>
      <c r="AS1022">
        <f t="shared" si="470"/>
        <v>183</v>
      </c>
      <c r="AT1022">
        <f t="shared" si="471"/>
        <v>167</v>
      </c>
      <c r="AU1022">
        <f t="shared" si="472"/>
        <v>135</v>
      </c>
      <c r="AV1022">
        <f t="shared" si="473"/>
        <v>121</v>
      </c>
      <c r="AW1022">
        <f t="shared" si="474"/>
        <v>108</v>
      </c>
      <c r="AX1022">
        <f t="shared" si="475"/>
        <v>161</v>
      </c>
      <c r="AY1022">
        <f t="shared" si="476"/>
        <v>147</v>
      </c>
      <c r="AZ1022">
        <f t="shared" si="477"/>
        <v>115</v>
      </c>
      <c r="BA1022">
        <f t="shared" si="478"/>
        <v>103</v>
      </c>
      <c r="BB1022">
        <f t="shared" si="479"/>
        <v>90</v>
      </c>
    </row>
    <row r="1023" spans="1:54" x14ac:dyDescent="0.15">
      <c r="B1023" t="s">
        <v>3586</v>
      </c>
      <c r="C1023">
        <v>787</v>
      </c>
      <c r="D1023">
        <v>0</v>
      </c>
      <c r="E1023" t="s">
        <v>3587</v>
      </c>
      <c r="G1023" t="s">
        <v>3587</v>
      </c>
      <c r="J1023" t="s">
        <v>3581</v>
      </c>
      <c r="K1023">
        <v>45.5</v>
      </c>
      <c r="L1023">
        <v>1.9</v>
      </c>
      <c r="M1023" t="s">
        <v>26</v>
      </c>
      <c r="N1023" t="s">
        <v>233</v>
      </c>
      <c r="O1023" t="s">
        <v>3588</v>
      </c>
      <c r="P1023" t="s">
        <v>1048</v>
      </c>
      <c r="R1023">
        <v>9</v>
      </c>
      <c r="S1023">
        <v>70</v>
      </c>
      <c r="T1023">
        <v>130</v>
      </c>
      <c r="U1023">
        <v>115</v>
      </c>
      <c r="V1023">
        <v>85</v>
      </c>
      <c r="W1023">
        <v>95</v>
      </c>
      <c r="X1023">
        <v>75</v>
      </c>
      <c r="Y1023">
        <f t="shared" si="450"/>
        <v>177</v>
      </c>
      <c r="Z1023">
        <f t="shared" si="451"/>
        <v>177</v>
      </c>
      <c r="AA1023">
        <f t="shared" si="452"/>
        <v>145</v>
      </c>
      <c r="AB1023">
        <f t="shared" si="453"/>
        <v>145</v>
      </c>
      <c r="AC1023">
        <f t="shared" si="454"/>
        <v>130</v>
      </c>
      <c r="AD1023">
        <f t="shared" si="455"/>
        <v>200</v>
      </c>
      <c r="AE1023">
        <f t="shared" si="456"/>
        <v>182</v>
      </c>
      <c r="AF1023">
        <f t="shared" si="457"/>
        <v>150</v>
      </c>
      <c r="AG1023">
        <f t="shared" si="458"/>
        <v>135</v>
      </c>
      <c r="AH1023">
        <f t="shared" si="459"/>
        <v>121</v>
      </c>
      <c r="AI1023">
        <f t="shared" si="460"/>
        <v>183</v>
      </c>
      <c r="AJ1023">
        <f t="shared" si="461"/>
        <v>167</v>
      </c>
      <c r="AK1023">
        <f t="shared" si="462"/>
        <v>135</v>
      </c>
      <c r="AL1023">
        <f t="shared" si="463"/>
        <v>121</v>
      </c>
      <c r="AM1023">
        <f t="shared" si="464"/>
        <v>108</v>
      </c>
      <c r="AN1023">
        <f t="shared" si="465"/>
        <v>150</v>
      </c>
      <c r="AO1023">
        <f t="shared" si="466"/>
        <v>137</v>
      </c>
      <c r="AP1023">
        <f t="shared" si="467"/>
        <v>105</v>
      </c>
      <c r="AQ1023">
        <f t="shared" si="468"/>
        <v>94</v>
      </c>
      <c r="AR1023">
        <f t="shared" si="469"/>
        <v>81</v>
      </c>
      <c r="AS1023">
        <f t="shared" si="470"/>
        <v>161</v>
      </c>
      <c r="AT1023">
        <f t="shared" si="471"/>
        <v>147</v>
      </c>
      <c r="AU1023">
        <f t="shared" si="472"/>
        <v>115</v>
      </c>
      <c r="AV1023">
        <f t="shared" si="473"/>
        <v>103</v>
      </c>
      <c r="AW1023">
        <f t="shared" si="474"/>
        <v>90</v>
      </c>
      <c r="AX1023">
        <f t="shared" si="475"/>
        <v>139</v>
      </c>
      <c r="AY1023">
        <f t="shared" si="476"/>
        <v>127</v>
      </c>
      <c r="AZ1023">
        <f t="shared" si="477"/>
        <v>95</v>
      </c>
      <c r="BA1023">
        <f t="shared" si="478"/>
        <v>85</v>
      </c>
      <c r="BB1023">
        <f t="shared" si="479"/>
        <v>72</v>
      </c>
    </row>
    <row r="1024" spans="1:54" x14ac:dyDescent="0.15">
      <c r="B1024" t="s">
        <v>3589</v>
      </c>
      <c r="C1024">
        <v>788</v>
      </c>
      <c r="D1024">
        <v>0</v>
      </c>
      <c r="E1024" t="s">
        <v>3590</v>
      </c>
      <c r="G1024" t="s">
        <v>3590</v>
      </c>
      <c r="J1024" t="s">
        <v>3581</v>
      </c>
      <c r="K1024">
        <v>21.2</v>
      </c>
      <c r="L1024">
        <v>1.3</v>
      </c>
      <c r="M1024" t="s">
        <v>71</v>
      </c>
      <c r="N1024" t="s">
        <v>233</v>
      </c>
      <c r="O1024" t="s">
        <v>3591</v>
      </c>
      <c r="P1024" t="s">
        <v>1048</v>
      </c>
      <c r="R1024">
        <v>9</v>
      </c>
      <c r="S1024">
        <v>70</v>
      </c>
      <c r="T1024">
        <v>75</v>
      </c>
      <c r="U1024">
        <v>115</v>
      </c>
      <c r="V1024">
        <v>95</v>
      </c>
      <c r="W1024">
        <v>130</v>
      </c>
      <c r="X1024">
        <v>85</v>
      </c>
      <c r="Y1024">
        <f t="shared" si="450"/>
        <v>177</v>
      </c>
      <c r="Z1024">
        <f t="shared" si="451"/>
        <v>177</v>
      </c>
      <c r="AA1024">
        <f t="shared" si="452"/>
        <v>145</v>
      </c>
      <c r="AB1024">
        <f t="shared" si="453"/>
        <v>145</v>
      </c>
      <c r="AC1024">
        <f t="shared" si="454"/>
        <v>130</v>
      </c>
      <c r="AD1024">
        <f t="shared" si="455"/>
        <v>139</v>
      </c>
      <c r="AE1024">
        <f t="shared" si="456"/>
        <v>127</v>
      </c>
      <c r="AF1024">
        <f t="shared" si="457"/>
        <v>95</v>
      </c>
      <c r="AG1024">
        <f t="shared" si="458"/>
        <v>85</v>
      </c>
      <c r="AH1024">
        <f t="shared" si="459"/>
        <v>72</v>
      </c>
      <c r="AI1024">
        <f t="shared" si="460"/>
        <v>183</v>
      </c>
      <c r="AJ1024">
        <f t="shared" si="461"/>
        <v>167</v>
      </c>
      <c r="AK1024">
        <f t="shared" si="462"/>
        <v>135</v>
      </c>
      <c r="AL1024">
        <f t="shared" si="463"/>
        <v>121</v>
      </c>
      <c r="AM1024">
        <f t="shared" si="464"/>
        <v>108</v>
      </c>
      <c r="AN1024">
        <f t="shared" si="465"/>
        <v>161</v>
      </c>
      <c r="AO1024">
        <f t="shared" si="466"/>
        <v>147</v>
      </c>
      <c r="AP1024">
        <f t="shared" si="467"/>
        <v>115</v>
      </c>
      <c r="AQ1024">
        <f t="shared" si="468"/>
        <v>103</v>
      </c>
      <c r="AR1024">
        <f t="shared" si="469"/>
        <v>90</v>
      </c>
      <c r="AS1024">
        <f t="shared" si="470"/>
        <v>200</v>
      </c>
      <c r="AT1024">
        <f t="shared" si="471"/>
        <v>182</v>
      </c>
      <c r="AU1024">
        <f t="shared" si="472"/>
        <v>150</v>
      </c>
      <c r="AV1024">
        <f t="shared" si="473"/>
        <v>135</v>
      </c>
      <c r="AW1024">
        <f t="shared" si="474"/>
        <v>121</v>
      </c>
      <c r="AX1024">
        <f t="shared" si="475"/>
        <v>150</v>
      </c>
      <c r="AY1024">
        <f t="shared" si="476"/>
        <v>137</v>
      </c>
      <c r="AZ1024">
        <f t="shared" si="477"/>
        <v>105</v>
      </c>
      <c r="BA1024">
        <f t="shared" si="478"/>
        <v>94</v>
      </c>
      <c r="BB1024">
        <f t="shared" si="479"/>
        <v>81</v>
      </c>
    </row>
    <row r="1025" spans="1:54" x14ac:dyDescent="0.15">
      <c r="A1025">
        <v>696</v>
      </c>
      <c r="B1025" t="s">
        <v>3592</v>
      </c>
      <c r="C1025">
        <v>789</v>
      </c>
      <c r="D1025">
        <v>0</v>
      </c>
      <c r="E1025" t="s">
        <v>3593</v>
      </c>
      <c r="G1025" t="s">
        <v>3593</v>
      </c>
      <c r="H1025" t="s">
        <v>3594</v>
      </c>
      <c r="J1025" t="s">
        <v>3595</v>
      </c>
      <c r="K1025">
        <v>0.1</v>
      </c>
      <c r="L1025">
        <v>0.2</v>
      </c>
      <c r="M1025" t="s">
        <v>191</v>
      </c>
      <c r="O1025" t="s">
        <v>240</v>
      </c>
      <c r="R1025">
        <v>9</v>
      </c>
      <c r="S1025">
        <v>43</v>
      </c>
      <c r="T1025">
        <v>29</v>
      </c>
      <c r="U1025">
        <v>31</v>
      </c>
      <c r="V1025">
        <v>29</v>
      </c>
      <c r="W1025">
        <v>31</v>
      </c>
      <c r="X1025">
        <v>37</v>
      </c>
      <c r="Y1025">
        <f t="shared" si="450"/>
        <v>150</v>
      </c>
      <c r="Z1025">
        <f t="shared" si="451"/>
        <v>150</v>
      </c>
      <c r="AA1025">
        <f t="shared" si="452"/>
        <v>118</v>
      </c>
      <c r="AB1025">
        <f t="shared" si="453"/>
        <v>118</v>
      </c>
      <c r="AC1025">
        <f t="shared" si="454"/>
        <v>103</v>
      </c>
      <c r="AD1025">
        <f t="shared" si="455"/>
        <v>89</v>
      </c>
      <c r="AE1025">
        <f t="shared" si="456"/>
        <v>81</v>
      </c>
      <c r="AF1025">
        <f t="shared" si="457"/>
        <v>49</v>
      </c>
      <c r="AG1025">
        <f t="shared" si="458"/>
        <v>44</v>
      </c>
      <c r="AH1025">
        <f t="shared" si="459"/>
        <v>30</v>
      </c>
      <c r="AI1025">
        <f t="shared" si="460"/>
        <v>91</v>
      </c>
      <c r="AJ1025">
        <f t="shared" si="461"/>
        <v>83</v>
      </c>
      <c r="AK1025">
        <f t="shared" si="462"/>
        <v>51</v>
      </c>
      <c r="AL1025">
        <f t="shared" si="463"/>
        <v>45</v>
      </c>
      <c r="AM1025">
        <f t="shared" si="464"/>
        <v>32</v>
      </c>
      <c r="AN1025">
        <f t="shared" si="465"/>
        <v>89</v>
      </c>
      <c r="AO1025">
        <f t="shared" si="466"/>
        <v>81</v>
      </c>
      <c r="AP1025">
        <f t="shared" si="467"/>
        <v>49</v>
      </c>
      <c r="AQ1025">
        <f t="shared" si="468"/>
        <v>44</v>
      </c>
      <c r="AR1025">
        <f t="shared" si="469"/>
        <v>30</v>
      </c>
      <c r="AS1025">
        <f t="shared" si="470"/>
        <v>91</v>
      </c>
      <c r="AT1025">
        <f t="shared" si="471"/>
        <v>83</v>
      </c>
      <c r="AU1025">
        <f t="shared" si="472"/>
        <v>51</v>
      </c>
      <c r="AV1025">
        <f t="shared" si="473"/>
        <v>45</v>
      </c>
      <c r="AW1025">
        <f t="shared" si="474"/>
        <v>32</v>
      </c>
      <c r="AX1025">
        <f t="shared" si="475"/>
        <v>97</v>
      </c>
      <c r="AY1025">
        <f t="shared" si="476"/>
        <v>89</v>
      </c>
      <c r="AZ1025">
        <f t="shared" si="477"/>
        <v>57</v>
      </c>
      <c r="BA1025">
        <f t="shared" si="478"/>
        <v>51</v>
      </c>
      <c r="BB1025">
        <f t="shared" si="479"/>
        <v>37</v>
      </c>
    </row>
    <row r="1026" spans="1:54" x14ac:dyDescent="0.15">
      <c r="A1026">
        <v>697</v>
      </c>
      <c r="B1026" t="s">
        <v>3596</v>
      </c>
      <c r="C1026">
        <v>790</v>
      </c>
      <c r="D1026">
        <v>0</v>
      </c>
      <c r="E1026" t="s">
        <v>3597</v>
      </c>
      <c r="G1026" t="s">
        <v>3597</v>
      </c>
      <c r="H1026" t="s">
        <v>3598</v>
      </c>
      <c r="J1026" t="s">
        <v>3599</v>
      </c>
      <c r="K1026">
        <v>999.9</v>
      </c>
      <c r="L1026">
        <v>0.1</v>
      </c>
      <c r="M1026" t="s">
        <v>191</v>
      </c>
      <c r="O1026" t="s">
        <v>435</v>
      </c>
      <c r="R1026">
        <v>9</v>
      </c>
      <c r="S1026">
        <v>43</v>
      </c>
      <c r="T1026">
        <v>29</v>
      </c>
      <c r="U1026">
        <v>131</v>
      </c>
      <c r="V1026">
        <v>29</v>
      </c>
      <c r="W1026">
        <v>131</v>
      </c>
      <c r="X1026">
        <v>37</v>
      </c>
      <c r="Y1026">
        <f t="shared" ref="Y1026:Y1089" si="480">IF(S1026="", "", S1026+107)</f>
        <v>150</v>
      </c>
      <c r="Z1026">
        <f t="shared" ref="Z1026:Z1089" si="481">IF(S1026="", "", S1026+107)</f>
        <v>150</v>
      </c>
      <c r="AA1026">
        <f t="shared" ref="AA1026:AA1089" si="482">IF(S1026="", "", INT(INT(S1026*2 + 31)/2) + 60)</f>
        <v>118</v>
      </c>
      <c r="AB1026">
        <f t="shared" ref="AB1026:AB1089" si="483">IF(S1026="", "", INT(INT(S1026*2 + 31)/2) + 60)</f>
        <v>118</v>
      </c>
      <c r="AC1026">
        <f t="shared" ref="AC1026:AC1089" si="484">IF(S1026="", "", S1026 + 60)</f>
        <v>103</v>
      </c>
      <c r="AD1026">
        <f t="shared" ref="AD1026:AD1089" si="485">IF(T1026="","",INT((T1026+52)*1.1))</f>
        <v>89</v>
      </c>
      <c r="AE1026">
        <f t="shared" ref="AE1026:AE1089" si="486">IF(T1026="","",T1026+52)</f>
        <v>81</v>
      </c>
      <c r="AF1026">
        <f t="shared" ref="AF1026:AF1089" si="487">IF(T1026="", "", INT((T1026*2 + 31)/2) + 5)</f>
        <v>49</v>
      </c>
      <c r="AG1026">
        <f t="shared" ref="AG1026:AG1089" si="488">IF(T1026="", "", INT((INT((T1026*2 + 31)/2) + 5)*0.9) )</f>
        <v>44</v>
      </c>
      <c r="AH1026">
        <f t="shared" ref="AH1026:AH1089" si="489">IF(T1026="", "", INT((T1026 + 5) * 0.9))</f>
        <v>30</v>
      </c>
      <c r="AI1026">
        <f t="shared" ref="AI1026:AI1089" si="490">IF(U1026="","",INT((U1026+52)*1.1))</f>
        <v>201</v>
      </c>
      <c r="AJ1026">
        <f t="shared" ref="AJ1026:AJ1089" si="491">IF(U1026="","",U1026+52)</f>
        <v>183</v>
      </c>
      <c r="AK1026">
        <f t="shared" ref="AK1026:AK1089" si="492">IF(U1026="", "", INT((U1026*2 + 31)/2) + 5)</f>
        <v>151</v>
      </c>
      <c r="AL1026">
        <f t="shared" ref="AL1026:AL1089" si="493">IF(U1026="", "", INT((INT((U1026*2 + 31)/2) + 5)*0.9) )</f>
        <v>135</v>
      </c>
      <c r="AM1026">
        <f t="shared" ref="AM1026:AM1089" si="494">IF(U1026="", "", INT((U1026 + 5) * 0.9))</f>
        <v>122</v>
      </c>
      <c r="AN1026">
        <f t="shared" ref="AN1026:AN1089" si="495">IF(V1026="","",INT((V1026+52)*1.1))</f>
        <v>89</v>
      </c>
      <c r="AO1026">
        <f t="shared" ref="AO1026:AO1089" si="496">IF(V1026="","",V1026+52)</f>
        <v>81</v>
      </c>
      <c r="AP1026">
        <f t="shared" ref="AP1026:AP1089" si="497">IF(V1026="", "", INT((V1026*2 + 31)/2) + 5)</f>
        <v>49</v>
      </c>
      <c r="AQ1026">
        <f t="shared" ref="AQ1026:AQ1089" si="498">IF(V1026="", "", INT((INT((V1026*2 + 31)/2) + 5)*0.9) )</f>
        <v>44</v>
      </c>
      <c r="AR1026">
        <f t="shared" ref="AR1026:AR1089" si="499">IF(V1026="", "", INT((V1026 + 5) * 0.9))</f>
        <v>30</v>
      </c>
      <c r="AS1026">
        <f t="shared" ref="AS1026:AS1089" si="500">IF(W1026="","",INT((W1026+52)*1.1))</f>
        <v>201</v>
      </c>
      <c r="AT1026">
        <f t="shared" ref="AT1026:AT1089" si="501">IF(W1026="","",W1026+52)</f>
        <v>183</v>
      </c>
      <c r="AU1026">
        <f t="shared" ref="AU1026:AU1089" si="502">IF(W1026="", "", INT((W1026*2 + 31)/2) + 5)</f>
        <v>151</v>
      </c>
      <c r="AV1026">
        <f t="shared" ref="AV1026:AV1089" si="503">IF(W1026="", "", INT((INT((W1026*2 + 31)/2) + 5)*0.9) )</f>
        <v>135</v>
      </c>
      <c r="AW1026">
        <f t="shared" ref="AW1026:AW1089" si="504">IF(W1026="", "", INT((W1026 + 5) * 0.9))</f>
        <v>122</v>
      </c>
      <c r="AX1026">
        <f t="shared" ref="AX1026:AX1089" si="505">IF(X1026="","",INT((X1026+52)*1.1))</f>
        <v>97</v>
      </c>
      <c r="AY1026">
        <f t="shared" ref="AY1026:AY1089" si="506">IF(X1026="","",X1026+52)</f>
        <v>89</v>
      </c>
      <c r="AZ1026">
        <f t="shared" ref="AZ1026:AZ1089" si="507">IF(X1026="", "", INT((X1026*2 + 31)/2) + 5)</f>
        <v>57</v>
      </c>
      <c r="BA1026">
        <f t="shared" ref="BA1026:BA1089" si="508">IF(X1026="", "", INT((INT((X1026*2 + 31)/2) + 5)*0.9) )</f>
        <v>51</v>
      </c>
      <c r="BB1026">
        <f t="shared" ref="BB1026:BB1089" si="509">IF(X1026="", "", INT((X1026 + 5) * 0.9))</f>
        <v>37</v>
      </c>
    </row>
    <row r="1027" spans="1:54" x14ac:dyDescent="0.15">
      <c r="A1027">
        <v>698</v>
      </c>
      <c r="B1027" t="s">
        <v>3600</v>
      </c>
      <c r="C1027">
        <v>791</v>
      </c>
      <c r="D1027">
        <v>0</v>
      </c>
      <c r="E1027" t="s">
        <v>3601</v>
      </c>
      <c r="G1027" t="s">
        <v>3601</v>
      </c>
      <c r="H1027" t="s">
        <v>3602</v>
      </c>
      <c r="J1027" t="s">
        <v>3603</v>
      </c>
      <c r="K1027">
        <v>230</v>
      </c>
      <c r="L1027">
        <v>3.4</v>
      </c>
      <c r="M1027" t="s">
        <v>191</v>
      </c>
      <c r="N1027" t="s">
        <v>203</v>
      </c>
      <c r="O1027" t="s">
        <v>3604</v>
      </c>
      <c r="R1027">
        <v>9</v>
      </c>
      <c r="S1027">
        <v>137</v>
      </c>
      <c r="T1027">
        <v>137</v>
      </c>
      <c r="U1027">
        <v>107</v>
      </c>
      <c r="V1027">
        <v>113</v>
      </c>
      <c r="W1027">
        <v>89</v>
      </c>
      <c r="X1027">
        <v>97</v>
      </c>
      <c r="Y1027">
        <f t="shared" si="480"/>
        <v>244</v>
      </c>
      <c r="Z1027">
        <f t="shared" si="481"/>
        <v>244</v>
      </c>
      <c r="AA1027">
        <f t="shared" si="482"/>
        <v>212</v>
      </c>
      <c r="AB1027">
        <f t="shared" si="483"/>
        <v>212</v>
      </c>
      <c r="AC1027">
        <f t="shared" si="484"/>
        <v>197</v>
      </c>
      <c r="AD1027">
        <f t="shared" si="485"/>
        <v>207</v>
      </c>
      <c r="AE1027">
        <f t="shared" si="486"/>
        <v>189</v>
      </c>
      <c r="AF1027">
        <f t="shared" si="487"/>
        <v>157</v>
      </c>
      <c r="AG1027">
        <f t="shared" si="488"/>
        <v>141</v>
      </c>
      <c r="AH1027">
        <f t="shared" si="489"/>
        <v>127</v>
      </c>
      <c r="AI1027">
        <f t="shared" si="490"/>
        <v>174</v>
      </c>
      <c r="AJ1027">
        <f t="shared" si="491"/>
        <v>159</v>
      </c>
      <c r="AK1027">
        <f t="shared" si="492"/>
        <v>127</v>
      </c>
      <c r="AL1027">
        <f t="shared" si="493"/>
        <v>114</v>
      </c>
      <c r="AM1027">
        <f t="shared" si="494"/>
        <v>100</v>
      </c>
      <c r="AN1027">
        <f t="shared" si="495"/>
        <v>181</v>
      </c>
      <c r="AO1027">
        <f t="shared" si="496"/>
        <v>165</v>
      </c>
      <c r="AP1027">
        <f t="shared" si="497"/>
        <v>133</v>
      </c>
      <c r="AQ1027">
        <f t="shared" si="498"/>
        <v>119</v>
      </c>
      <c r="AR1027">
        <f t="shared" si="499"/>
        <v>106</v>
      </c>
      <c r="AS1027">
        <f t="shared" si="500"/>
        <v>155</v>
      </c>
      <c r="AT1027">
        <f t="shared" si="501"/>
        <v>141</v>
      </c>
      <c r="AU1027">
        <f t="shared" si="502"/>
        <v>109</v>
      </c>
      <c r="AV1027">
        <f t="shared" si="503"/>
        <v>98</v>
      </c>
      <c r="AW1027">
        <f t="shared" si="504"/>
        <v>84</v>
      </c>
      <c r="AX1027">
        <f t="shared" si="505"/>
        <v>163</v>
      </c>
      <c r="AY1027">
        <f t="shared" si="506"/>
        <v>149</v>
      </c>
      <c r="AZ1027">
        <f t="shared" si="507"/>
        <v>117</v>
      </c>
      <c r="BA1027">
        <f t="shared" si="508"/>
        <v>105</v>
      </c>
      <c r="BB1027">
        <f t="shared" si="509"/>
        <v>91</v>
      </c>
    </row>
    <row r="1028" spans="1:54" x14ac:dyDescent="0.15">
      <c r="A1028">
        <v>699</v>
      </c>
      <c r="B1028" t="s">
        <v>3605</v>
      </c>
      <c r="C1028">
        <v>792</v>
      </c>
      <c r="D1028">
        <v>0</v>
      </c>
      <c r="E1028" t="s">
        <v>3606</v>
      </c>
      <c r="G1028" t="s">
        <v>3606</v>
      </c>
      <c r="H1028" t="s">
        <v>3607</v>
      </c>
      <c r="J1028" t="s">
        <v>3608</v>
      </c>
      <c r="K1028">
        <v>120</v>
      </c>
      <c r="L1028">
        <v>4</v>
      </c>
      <c r="M1028" t="s">
        <v>191</v>
      </c>
      <c r="N1028" t="s">
        <v>546</v>
      </c>
      <c r="O1028" t="s">
        <v>3609</v>
      </c>
      <c r="R1028">
        <v>9</v>
      </c>
      <c r="S1028">
        <v>137</v>
      </c>
      <c r="T1028">
        <v>113</v>
      </c>
      <c r="U1028">
        <v>89</v>
      </c>
      <c r="V1028">
        <v>137</v>
      </c>
      <c r="W1028">
        <v>107</v>
      </c>
      <c r="X1028">
        <v>97</v>
      </c>
      <c r="Y1028">
        <f t="shared" si="480"/>
        <v>244</v>
      </c>
      <c r="Z1028">
        <f t="shared" si="481"/>
        <v>244</v>
      </c>
      <c r="AA1028">
        <f t="shared" si="482"/>
        <v>212</v>
      </c>
      <c r="AB1028">
        <f t="shared" si="483"/>
        <v>212</v>
      </c>
      <c r="AC1028">
        <f t="shared" si="484"/>
        <v>197</v>
      </c>
      <c r="AD1028">
        <f t="shared" si="485"/>
        <v>181</v>
      </c>
      <c r="AE1028">
        <f t="shared" si="486"/>
        <v>165</v>
      </c>
      <c r="AF1028">
        <f t="shared" si="487"/>
        <v>133</v>
      </c>
      <c r="AG1028">
        <f t="shared" si="488"/>
        <v>119</v>
      </c>
      <c r="AH1028">
        <f t="shared" si="489"/>
        <v>106</v>
      </c>
      <c r="AI1028">
        <f t="shared" si="490"/>
        <v>155</v>
      </c>
      <c r="AJ1028">
        <f t="shared" si="491"/>
        <v>141</v>
      </c>
      <c r="AK1028">
        <f t="shared" si="492"/>
        <v>109</v>
      </c>
      <c r="AL1028">
        <f t="shared" si="493"/>
        <v>98</v>
      </c>
      <c r="AM1028">
        <f t="shared" si="494"/>
        <v>84</v>
      </c>
      <c r="AN1028">
        <f t="shared" si="495"/>
        <v>207</v>
      </c>
      <c r="AO1028">
        <f t="shared" si="496"/>
        <v>189</v>
      </c>
      <c r="AP1028">
        <f t="shared" si="497"/>
        <v>157</v>
      </c>
      <c r="AQ1028">
        <f t="shared" si="498"/>
        <v>141</v>
      </c>
      <c r="AR1028">
        <f t="shared" si="499"/>
        <v>127</v>
      </c>
      <c r="AS1028">
        <f t="shared" si="500"/>
        <v>174</v>
      </c>
      <c r="AT1028">
        <f t="shared" si="501"/>
        <v>159</v>
      </c>
      <c r="AU1028">
        <f t="shared" si="502"/>
        <v>127</v>
      </c>
      <c r="AV1028">
        <f t="shared" si="503"/>
        <v>114</v>
      </c>
      <c r="AW1028">
        <f t="shared" si="504"/>
        <v>100</v>
      </c>
      <c r="AX1028">
        <f t="shared" si="505"/>
        <v>163</v>
      </c>
      <c r="AY1028">
        <f t="shared" si="506"/>
        <v>149</v>
      </c>
      <c r="AZ1028">
        <f t="shared" si="507"/>
        <v>117</v>
      </c>
      <c r="BA1028">
        <f t="shared" si="508"/>
        <v>105</v>
      </c>
      <c r="BB1028">
        <f t="shared" si="509"/>
        <v>91</v>
      </c>
    </row>
    <row r="1029" spans="1:54" x14ac:dyDescent="0.15">
      <c r="B1029" t="s">
        <v>3610</v>
      </c>
      <c r="C1029">
        <v>793</v>
      </c>
      <c r="D1029">
        <v>0</v>
      </c>
      <c r="E1029" t="s">
        <v>3611</v>
      </c>
      <c r="G1029" t="s">
        <v>3611</v>
      </c>
      <c r="J1029" t="s">
        <v>3612</v>
      </c>
      <c r="K1029">
        <v>55.5</v>
      </c>
      <c r="L1029">
        <v>1.2</v>
      </c>
      <c r="M1029" t="s">
        <v>371</v>
      </c>
      <c r="N1029" t="s">
        <v>27</v>
      </c>
      <c r="O1029" t="s">
        <v>3613</v>
      </c>
      <c r="R1029">
        <v>8</v>
      </c>
      <c r="S1029">
        <v>109</v>
      </c>
      <c r="T1029">
        <v>53</v>
      </c>
      <c r="U1029">
        <v>47</v>
      </c>
      <c r="V1029">
        <v>127</v>
      </c>
      <c r="W1029">
        <v>131</v>
      </c>
      <c r="X1029">
        <v>103</v>
      </c>
      <c r="Y1029">
        <f t="shared" si="480"/>
        <v>216</v>
      </c>
      <c r="Z1029">
        <f t="shared" si="481"/>
        <v>216</v>
      </c>
      <c r="AA1029">
        <f t="shared" si="482"/>
        <v>184</v>
      </c>
      <c r="AB1029">
        <f t="shared" si="483"/>
        <v>184</v>
      </c>
      <c r="AC1029">
        <f t="shared" si="484"/>
        <v>169</v>
      </c>
      <c r="AD1029">
        <f t="shared" si="485"/>
        <v>115</v>
      </c>
      <c r="AE1029">
        <f t="shared" si="486"/>
        <v>105</v>
      </c>
      <c r="AF1029">
        <f t="shared" si="487"/>
        <v>73</v>
      </c>
      <c r="AG1029">
        <f t="shared" si="488"/>
        <v>65</v>
      </c>
      <c r="AH1029">
        <f t="shared" si="489"/>
        <v>52</v>
      </c>
      <c r="AI1029">
        <f t="shared" si="490"/>
        <v>108</v>
      </c>
      <c r="AJ1029">
        <f t="shared" si="491"/>
        <v>99</v>
      </c>
      <c r="AK1029">
        <f t="shared" si="492"/>
        <v>67</v>
      </c>
      <c r="AL1029">
        <f t="shared" si="493"/>
        <v>60</v>
      </c>
      <c r="AM1029">
        <f t="shared" si="494"/>
        <v>46</v>
      </c>
      <c r="AN1029">
        <f t="shared" si="495"/>
        <v>196</v>
      </c>
      <c r="AO1029">
        <f t="shared" si="496"/>
        <v>179</v>
      </c>
      <c r="AP1029">
        <f t="shared" si="497"/>
        <v>147</v>
      </c>
      <c r="AQ1029">
        <f t="shared" si="498"/>
        <v>132</v>
      </c>
      <c r="AR1029">
        <f t="shared" si="499"/>
        <v>118</v>
      </c>
      <c r="AS1029">
        <f t="shared" si="500"/>
        <v>201</v>
      </c>
      <c r="AT1029">
        <f t="shared" si="501"/>
        <v>183</v>
      </c>
      <c r="AU1029">
        <f t="shared" si="502"/>
        <v>151</v>
      </c>
      <c r="AV1029">
        <f t="shared" si="503"/>
        <v>135</v>
      </c>
      <c r="AW1029">
        <f t="shared" si="504"/>
        <v>122</v>
      </c>
      <c r="AX1029">
        <f t="shared" si="505"/>
        <v>170</v>
      </c>
      <c r="AY1029">
        <f t="shared" si="506"/>
        <v>155</v>
      </c>
      <c r="AZ1029">
        <f t="shared" si="507"/>
        <v>123</v>
      </c>
      <c r="BA1029">
        <f t="shared" si="508"/>
        <v>110</v>
      </c>
      <c r="BB1029">
        <f t="shared" si="509"/>
        <v>97</v>
      </c>
    </row>
    <row r="1030" spans="1:54" x14ac:dyDescent="0.15">
      <c r="B1030" t="s">
        <v>3614</v>
      </c>
      <c r="C1030">
        <v>794</v>
      </c>
      <c r="D1030">
        <v>0</v>
      </c>
      <c r="E1030" t="s">
        <v>3615</v>
      </c>
      <c r="G1030" t="s">
        <v>3615</v>
      </c>
      <c r="J1030" t="s">
        <v>3616</v>
      </c>
      <c r="K1030">
        <v>333.6</v>
      </c>
      <c r="L1030">
        <v>2.4</v>
      </c>
      <c r="M1030" t="s">
        <v>90</v>
      </c>
      <c r="N1030" t="s">
        <v>354</v>
      </c>
      <c r="O1030" t="s">
        <v>3613</v>
      </c>
      <c r="R1030">
        <v>8</v>
      </c>
      <c r="S1030">
        <v>107</v>
      </c>
      <c r="T1030">
        <v>139</v>
      </c>
      <c r="U1030">
        <v>139</v>
      </c>
      <c r="V1030">
        <v>53</v>
      </c>
      <c r="W1030">
        <v>53</v>
      </c>
      <c r="X1030">
        <v>79</v>
      </c>
      <c r="Y1030">
        <f t="shared" si="480"/>
        <v>214</v>
      </c>
      <c r="Z1030">
        <f t="shared" si="481"/>
        <v>214</v>
      </c>
      <c r="AA1030">
        <f t="shared" si="482"/>
        <v>182</v>
      </c>
      <c r="AB1030">
        <f t="shared" si="483"/>
        <v>182</v>
      </c>
      <c r="AC1030">
        <f t="shared" si="484"/>
        <v>167</v>
      </c>
      <c r="AD1030">
        <f t="shared" si="485"/>
        <v>210</v>
      </c>
      <c r="AE1030">
        <f t="shared" si="486"/>
        <v>191</v>
      </c>
      <c r="AF1030">
        <f t="shared" si="487"/>
        <v>159</v>
      </c>
      <c r="AG1030">
        <f t="shared" si="488"/>
        <v>143</v>
      </c>
      <c r="AH1030">
        <f t="shared" si="489"/>
        <v>129</v>
      </c>
      <c r="AI1030">
        <f t="shared" si="490"/>
        <v>210</v>
      </c>
      <c r="AJ1030">
        <f t="shared" si="491"/>
        <v>191</v>
      </c>
      <c r="AK1030">
        <f t="shared" si="492"/>
        <v>159</v>
      </c>
      <c r="AL1030">
        <f t="shared" si="493"/>
        <v>143</v>
      </c>
      <c r="AM1030">
        <f t="shared" si="494"/>
        <v>129</v>
      </c>
      <c r="AN1030">
        <f t="shared" si="495"/>
        <v>115</v>
      </c>
      <c r="AO1030">
        <f t="shared" si="496"/>
        <v>105</v>
      </c>
      <c r="AP1030">
        <f t="shared" si="497"/>
        <v>73</v>
      </c>
      <c r="AQ1030">
        <f t="shared" si="498"/>
        <v>65</v>
      </c>
      <c r="AR1030">
        <f t="shared" si="499"/>
        <v>52</v>
      </c>
      <c r="AS1030">
        <f t="shared" si="500"/>
        <v>115</v>
      </c>
      <c r="AT1030">
        <f t="shared" si="501"/>
        <v>105</v>
      </c>
      <c r="AU1030">
        <f t="shared" si="502"/>
        <v>73</v>
      </c>
      <c r="AV1030">
        <f t="shared" si="503"/>
        <v>65</v>
      </c>
      <c r="AW1030">
        <f t="shared" si="504"/>
        <v>52</v>
      </c>
      <c r="AX1030">
        <f t="shared" si="505"/>
        <v>144</v>
      </c>
      <c r="AY1030">
        <f t="shared" si="506"/>
        <v>131</v>
      </c>
      <c r="AZ1030">
        <f t="shared" si="507"/>
        <v>99</v>
      </c>
      <c r="BA1030">
        <f t="shared" si="508"/>
        <v>89</v>
      </c>
      <c r="BB1030">
        <f t="shared" si="509"/>
        <v>75</v>
      </c>
    </row>
    <row r="1031" spans="1:54" x14ac:dyDescent="0.15">
      <c r="B1031" t="s">
        <v>3617</v>
      </c>
      <c r="C1031">
        <v>795</v>
      </c>
      <c r="D1031">
        <v>0</v>
      </c>
      <c r="E1031" t="s">
        <v>3618</v>
      </c>
      <c r="G1031" t="s">
        <v>3618</v>
      </c>
      <c r="J1031" t="s">
        <v>3619</v>
      </c>
      <c r="K1031">
        <v>25</v>
      </c>
      <c r="L1031">
        <v>1.8</v>
      </c>
      <c r="M1031" t="s">
        <v>90</v>
      </c>
      <c r="N1031" t="s">
        <v>354</v>
      </c>
      <c r="O1031" t="s">
        <v>3613</v>
      </c>
      <c r="R1031">
        <v>8</v>
      </c>
      <c r="S1031">
        <v>71</v>
      </c>
      <c r="T1031">
        <v>137</v>
      </c>
      <c r="U1031">
        <v>37</v>
      </c>
      <c r="V1031">
        <v>137</v>
      </c>
      <c r="W1031">
        <v>37</v>
      </c>
      <c r="X1031">
        <v>151</v>
      </c>
      <c r="Y1031">
        <f t="shared" si="480"/>
        <v>178</v>
      </c>
      <c r="Z1031">
        <f t="shared" si="481"/>
        <v>178</v>
      </c>
      <c r="AA1031">
        <f t="shared" si="482"/>
        <v>146</v>
      </c>
      <c r="AB1031">
        <f t="shared" si="483"/>
        <v>146</v>
      </c>
      <c r="AC1031">
        <f t="shared" si="484"/>
        <v>131</v>
      </c>
      <c r="AD1031">
        <f t="shared" si="485"/>
        <v>207</v>
      </c>
      <c r="AE1031">
        <f t="shared" si="486"/>
        <v>189</v>
      </c>
      <c r="AF1031">
        <f t="shared" si="487"/>
        <v>157</v>
      </c>
      <c r="AG1031">
        <f t="shared" si="488"/>
        <v>141</v>
      </c>
      <c r="AH1031">
        <f t="shared" si="489"/>
        <v>127</v>
      </c>
      <c r="AI1031">
        <f t="shared" si="490"/>
        <v>97</v>
      </c>
      <c r="AJ1031">
        <f t="shared" si="491"/>
        <v>89</v>
      </c>
      <c r="AK1031">
        <f t="shared" si="492"/>
        <v>57</v>
      </c>
      <c r="AL1031">
        <f t="shared" si="493"/>
        <v>51</v>
      </c>
      <c r="AM1031">
        <f t="shared" si="494"/>
        <v>37</v>
      </c>
      <c r="AN1031">
        <f t="shared" si="495"/>
        <v>207</v>
      </c>
      <c r="AO1031">
        <f t="shared" si="496"/>
        <v>189</v>
      </c>
      <c r="AP1031">
        <f t="shared" si="497"/>
        <v>157</v>
      </c>
      <c r="AQ1031">
        <f t="shared" si="498"/>
        <v>141</v>
      </c>
      <c r="AR1031">
        <f t="shared" si="499"/>
        <v>127</v>
      </c>
      <c r="AS1031">
        <f t="shared" si="500"/>
        <v>97</v>
      </c>
      <c r="AT1031">
        <f t="shared" si="501"/>
        <v>89</v>
      </c>
      <c r="AU1031">
        <f t="shared" si="502"/>
        <v>57</v>
      </c>
      <c r="AV1031">
        <f t="shared" si="503"/>
        <v>51</v>
      </c>
      <c r="AW1031">
        <f t="shared" si="504"/>
        <v>37</v>
      </c>
      <c r="AX1031">
        <f t="shared" si="505"/>
        <v>223</v>
      </c>
      <c r="AY1031">
        <f t="shared" si="506"/>
        <v>203</v>
      </c>
      <c r="AZ1031">
        <f t="shared" si="507"/>
        <v>171</v>
      </c>
      <c r="BA1031">
        <f t="shared" si="508"/>
        <v>153</v>
      </c>
      <c r="BB1031">
        <f t="shared" si="509"/>
        <v>140</v>
      </c>
    </row>
    <row r="1032" spans="1:54" x14ac:dyDescent="0.15">
      <c r="B1032" t="s">
        <v>3620</v>
      </c>
      <c r="C1032">
        <v>796</v>
      </c>
      <c r="D1032">
        <v>0</v>
      </c>
      <c r="E1032" t="s">
        <v>3621</v>
      </c>
      <c r="G1032" t="s">
        <v>3621</v>
      </c>
      <c r="J1032" t="s">
        <v>3622</v>
      </c>
      <c r="K1032">
        <v>100</v>
      </c>
      <c r="L1032">
        <v>3.8</v>
      </c>
      <c r="M1032" t="s">
        <v>164</v>
      </c>
      <c r="O1032" t="s">
        <v>3613</v>
      </c>
      <c r="R1032">
        <v>8</v>
      </c>
      <c r="S1032">
        <v>83</v>
      </c>
      <c r="T1032">
        <v>89</v>
      </c>
      <c r="U1032">
        <v>71</v>
      </c>
      <c r="V1032">
        <v>173</v>
      </c>
      <c r="W1032">
        <v>71</v>
      </c>
      <c r="X1032">
        <v>83</v>
      </c>
      <c r="Y1032">
        <f t="shared" si="480"/>
        <v>190</v>
      </c>
      <c r="Z1032">
        <f t="shared" si="481"/>
        <v>190</v>
      </c>
      <c r="AA1032">
        <f t="shared" si="482"/>
        <v>158</v>
      </c>
      <c r="AB1032">
        <f t="shared" si="483"/>
        <v>158</v>
      </c>
      <c r="AC1032">
        <f t="shared" si="484"/>
        <v>143</v>
      </c>
      <c r="AD1032">
        <f t="shared" si="485"/>
        <v>155</v>
      </c>
      <c r="AE1032">
        <f t="shared" si="486"/>
        <v>141</v>
      </c>
      <c r="AF1032">
        <f t="shared" si="487"/>
        <v>109</v>
      </c>
      <c r="AG1032">
        <f t="shared" si="488"/>
        <v>98</v>
      </c>
      <c r="AH1032">
        <f t="shared" si="489"/>
        <v>84</v>
      </c>
      <c r="AI1032">
        <f t="shared" si="490"/>
        <v>135</v>
      </c>
      <c r="AJ1032">
        <f t="shared" si="491"/>
        <v>123</v>
      </c>
      <c r="AK1032">
        <f t="shared" si="492"/>
        <v>91</v>
      </c>
      <c r="AL1032">
        <f t="shared" si="493"/>
        <v>81</v>
      </c>
      <c r="AM1032">
        <f t="shared" si="494"/>
        <v>68</v>
      </c>
      <c r="AN1032">
        <f t="shared" si="495"/>
        <v>247</v>
      </c>
      <c r="AO1032">
        <f t="shared" si="496"/>
        <v>225</v>
      </c>
      <c r="AP1032">
        <f t="shared" si="497"/>
        <v>193</v>
      </c>
      <c r="AQ1032">
        <f t="shared" si="498"/>
        <v>173</v>
      </c>
      <c r="AR1032">
        <f t="shared" si="499"/>
        <v>160</v>
      </c>
      <c r="AS1032">
        <f t="shared" si="500"/>
        <v>135</v>
      </c>
      <c r="AT1032">
        <f t="shared" si="501"/>
        <v>123</v>
      </c>
      <c r="AU1032">
        <f t="shared" si="502"/>
        <v>91</v>
      </c>
      <c r="AV1032">
        <f t="shared" si="503"/>
        <v>81</v>
      </c>
      <c r="AW1032">
        <f t="shared" si="504"/>
        <v>68</v>
      </c>
      <c r="AX1032">
        <f t="shared" si="505"/>
        <v>148</v>
      </c>
      <c r="AY1032">
        <f t="shared" si="506"/>
        <v>135</v>
      </c>
      <c r="AZ1032">
        <f t="shared" si="507"/>
        <v>103</v>
      </c>
      <c r="BA1032">
        <f t="shared" si="508"/>
        <v>92</v>
      </c>
      <c r="BB1032">
        <f t="shared" si="509"/>
        <v>79</v>
      </c>
    </row>
    <row r="1033" spans="1:54" x14ac:dyDescent="0.15">
      <c r="B1033" t="s">
        <v>3623</v>
      </c>
      <c r="C1033">
        <v>797</v>
      </c>
      <c r="D1033">
        <v>0</v>
      </c>
      <c r="E1033" t="s">
        <v>3624</v>
      </c>
      <c r="G1033" t="s">
        <v>3624</v>
      </c>
      <c r="J1033" t="s">
        <v>3625</v>
      </c>
      <c r="K1033">
        <v>999.9</v>
      </c>
      <c r="L1033">
        <v>9.1999999999999993</v>
      </c>
      <c r="M1033" t="s">
        <v>203</v>
      </c>
      <c r="N1033" t="s">
        <v>57</v>
      </c>
      <c r="O1033" t="s">
        <v>3613</v>
      </c>
      <c r="R1033">
        <v>8</v>
      </c>
      <c r="S1033">
        <v>97</v>
      </c>
      <c r="T1033">
        <v>101</v>
      </c>
      <c r="U1033">
        <v>103</v>
      </c>
      <c r="V1033">
        <v>107</v>
      </c>
      <c r="W1033">
        <v>101</v>
      </c>
      <c r="X1033">
        <v>61</v>
      </c>
      <c r="Y1033">
        <f t="shared" si="480"/>
        <v>204</v>
      </c>
      <c r="Z1033">
        <f t="shared" si="481"/>
        <v>204</v>
      </c>
      <c r="AA1033">
        <f t="shared" si="482"/>
        <v>172</v>
      </c>
      <c r="AB1033">
        <f t="shared" si="483"/>
        <v>172</v>
      </c>
      <c r="AC1033">
        <f t="shared" si="484"/>
        <v>157</v>
      </c>
      <c r="AD1033">
        <f t="shared" si="485"/>
        <v>168</v>
      </c>
      <c r="AE1033">
        <f t="shared" si="486"/>
        <v>153</v>
      </c>
      <c r="AF1033">
        <f t="shared" si="487"/>
        <v>121</v>
      </c>
      <c r="AG1033">
        <f t="shared" si="488"/>
        <v>108</v>
      </c>
      <c r="AH1033">
        <f t="shared" si="489"/>
        <v>95</v>
      </c>
      <c r="AI1033">
        <f t="shared" si="490"/>
        <v>170</v>
      </c>
      <c r="AJ1033">
        <f t="shared" si="491"/>
        <v>155</v>
      </c>
      <c r="AK1033">
        <f t="shared" si="492"/>
        <v>123</v>
      </c>
      <c r="AL1033">
        <f t="shared" si="493"/>
        <v>110</v>
      </c>
      <c r="AM1033">
        <f t="shared" si="494"/>
        <v>97</v>
      </c>
      <c r="AN1033">
        <f t="shared" si="495"/>
        <v>174</v>
      </c>
      <c r="AO1033">
        <f t="shared" si="496"/>
        <v>159</v>
      </c>
      <c r="AP1033">
        <f t="shared" si="497"/>
        <v>127</v>
      </c>
      <c r="AQ1033">
        <f t="shared" si="498"/>
        <v>114</v>
      </c>
      <c r="AR1033">
        <f t="shared" si="499"/>
        <v>100</v>
      </c>
      <c r="AS1033">
        <f t="shared" si="500"/>
        <v>168</v>
      </c>
      <c r="AT1033">
        <f t="shared" si="501"/>
        <v>153</v>
      </c>
      <c r="AU1033">
        <f t="shared" si="502"/>
        <v>121</v>
      </c>
      <c r="AV1033">
        <f t="shared" si="503"/>
        <v>108</v>
      </c>
      <c r="AW1033">
        <f t="shared" si="504"/>
        <v>95</v>
      </c>
      <c r="AX1033">
        <f t="shared" si="505"/>
        <v>124</v>
      </c>
      <c r="AY1033">
        <f t="shared" si="506"/>
        <v>113</v>
      </c>
      <c r="AZ1033">
        <f t="shared" si="507"/>
        <v>81</v>
      </c>
      <c r="BA1033">
        <f t="shared" si="508"/>
        <v>72</v>
      </c>
      <c r="BB1033">
        <f t="shared" si="509"/>
        <v>59</v>
      </c>
    </row>
    <row r="1034" spans="1:54" x14ac:dyDescent="0.15">
      <c r="B1034" t="s">
        <v>3626</v>
      </c>
      <c r="C1034">
        <v>798</v>
      </c>
      <c r="D1034">
        <v>0</v>
      </c>
      <c r="E1034" t="s">
        <v>3627</v>
      </c>
      <c r="G1034" t="s">
        <v>3627</v>
      </c>
      <c r="J1034" t="s">
        <v>3628</v>
      </c>
      <c r="K1034">
        <v>0.1</v>
      </c>
      <c r="L1034">
        <v>0.3</v>
      </c>
      <c r="M1034" t="s">
        <v>26</v>
      </c>
      <c r="N1034" t="s">
        <v>203</v>
      </c>
      <c r="O1034" t="s">
        <v>3613</v>
      </c>
      <c r="R1034">
        <v>8</v>
      </c>
      <c r="S1034">
        <v>59</v>
      </c>
      <c r="T1034">
        <v>181</v>
      </c>
      <c r="U1034">
        <v>131</v>
      </c>
      <c r="V1034">
        <v>59</v>
      </c>
      <c r="W1034">
        <v>31</v>
      </c>
      <c r="X1034">
        <v>109</v>
      </c>
      <c r="Y1034">
        <f t="shared" si="480"/>
        <v>166</v>
      </c>
      <c r="Z1034">
        <f t="shared" si="481"/>
        <v>166</v>
      </c>
      <c r="AA1034">
        <f t="shared" si="482"/>
        <v>134</v>
      </c>
      <c r="AB1034">
        <f t="shared" si="483"/>
        <v>134</v>
      </c>
      <c r="AC1034">
        <f t="shared" si="484"/>
        <v>119</v>
      </c>
      <c r="AD1034">
        <f t="shared" si="485"/>
        <v>256</v>
      </c>
      <c r="AE1034">
        <f t="shared" si="486"/>
        <v>233</v>
      </c>
      <c r="AF1034">
        <f t="shared" si="487"/>
        <v>201</v>
      </c>
      <c r="AG1034">
        <f t="shared" si="488"/>
        <v>180</v>
      </c>
      <c r="AH1034">
        <f t="shared" si="489"/>
        <v>167</v>
      </c>
      <c r="AI1034">
        <f t="shared" si="490"/>
        <v>201</v>
      </c>
      <c r="AJ1034">
        <f t="shared" si="491"/>
        <v>183</v>
      </c>
      <c r="AK1034">
        <f t="shared" si="492"/>
        <v>151</v>
      </c>
      <c r="AL1034">
        <f t="shared" si="493"/>
        <v>135</v>
      </c>
      <c r="AM1034">
        <f t="shared" si="494"/>
        <v>122</v>
      </c>
      <c r="AN1034">
        <f t="shared" si="495"/>
        <v>122</v>
      </c>
      <c r="AO1034">
        <f t="shared" si="496"/>
        <v>111</v>
      </c>
      <c r="AP1034">
        <f t="shared" si="497"/>
        <v>79</v>
      </c>
      <c r="AQ1034">
        <f t="shared" si="498"/>
        <v>71</v>
      </c>
      <c r="AR1034">
        <f t="shared" si="499"/>
        <v>57</v>
      </c>
      <c r="AS1034">
        <f t="shared" si="500"/>
        <v>91</v>
      </c>
      <c r="AT1034">
        <f t="shared" si="501"/>
        <v>83</v>
      </c>
      <c r="AU1034">
        <f t="shared" si="502"/>
        <v>51</v>
      </c>
      <c r="AV1034">
        <f t="shared" si="503"/>
        <v>45</v>
      </c>
      <c r="AW1034">
        <f t="shared" si="504"/>
        <v>32</v>
      </c>
      <c r="AX1034">
        <f t="shared" si="505"/>
        <v>177</v>
      </c>
      <c r="AY1034">
        <f t="shared" si="506"/>
        <v>161</v>
      </c>
      <c r="AZ1034">
        <f t="shared" si="507"/>
        <v>129</v>
      </c>
      <c r="BA1034">
        <f t="shared" si="508"/>
        <v>116</v>
      </c>
      <c r="BB1034">
        <f t="shared" si="509"/>
        <v>102</v>
      </c>
    </row>
    <row r="1035" spans="1:54" x14ac:dyDescent="0.15">
      <c r="B1035" t="s">
        <v>3629</v>
      </c>
      <c r="C1035">
        <v>799</v>
      </c>
      <c r="D1035">
        <v>0</v>
      </c>
      <c r="E1035" t="s">
        <v>3630</v>
      </c>
      <c r="G1035" t="s">
        <v>3630</v>
      </c>
      <c r="J1035" t="s">
        <v>3631</v>
      </c>
      <c r="K1035">
        <v>888</v>
      </c>
      <c r="L1035">
        <v>5.5</v>
      </c>
      <c r="M1035" t="s">
        <v>140</v>
      </c>
      <c r="N1035" t="s">
        <v>60</v>
      </c>
      <c r="O1035" t="s">
        <v>3613</v>
      </c>
      <c r="R1035">
        <v>8</v>
      </c>
      <c r="S1035">
        <v>223</v>
      </c>
      <c r="T1035">
        <v>101</v>
      </c>
      <c r="U1035">
        <v>53</v>
      </c>
      <c r="V1035">
        <v>97</v>
      </c>
      <c r="W1035">
        <v>53</v>
      </c>
      <c r="X1035">
        <v>43</v>
      </c>
      <c r="Y1035">
        <f t="shared" si="480"/>
        <v>330</v>
      </c>
      <c r="Z1035">
        <f t="shared" si="481"/>
        <v>330</v>
      </c>
      <c r="AA1035">
        <f t="shared" si="482"/>
        <v>298</v>
      </c>
      <c r="AB1035">
        <f t="shared" si="483"/>
        <v>298</v>
      </c>
      <c r="AC1035">
        <f t="shared" si="484"/>
        <v>283</v>
      </c>
      <c r="AD1035">
        <f t="shared" si="485"/>
        <v>168</v>
      </c>
      <c r="AE1035">
        <f t="shared" si="486"/>
        <v>153</v>
      </c>
      <c r="AF1035">
        <f t="shared" si="487"/>
        <v>121</v>
      </c>
      <c r="AG1035">
        <f t="shared" si="488"/>
        <v>108</v>
      </c>
      <c r="AH1035">
        <f t="shared" si="489"/>
        <v>95</v>
      </c>
      <c r="AI1035">
        <f t="shared" si="490"/>
        <v>115</v>
      </c>
      <c r="AJ1035">
        <f t="shared" si="491"/>
        <v>105</v>
      </c>
      <c r="AK1035">
        <f t="shared" si="492"/>
        <v>73</v>
      </c>
      <c r="AL1035">
        <f t="shared" si="493"/>
        <v>65</v>
      </c>
      <c r="AM1035">
        <f t="shared" si="494"/>
        <v>52</v>
      </c>
      <c r="AN1035">
        <f t="shared" si="495"/>
        <v>163</v>
      </c>
      <c r="AO1035">
        <f t="shared" si="496"/>
        <v>149</v>
      </c>
      <c r="AP1035">
        <f t="shared" si="497"/>
        <v>117</v>
      </c>
      <c r="AQ1035">
        <f t="shared" si="498"/>
        <v>105</v>
      </c>
      <c r="AR1035">
        <f t="shared" si="499"/>
        <v>91</v>
      </c>
      <c r="AS1035">
        <f t="shared" si="500"/>
        <v>115</v>
      </c>
      <c r="AT1035">
        <f t="shared" si="501"/>
        <v>105</v>
      </c>
      <c r="AU1035">
        <f t="shared" si="502"/>
        <v>73</v>
      </c>
      <c r="AV1035">
        <f t="shared" si="503"/>
        <v>65</v>
      </c>
      <c r="AW1035">
        <f t="shared" si="504"/>
        <v>52</v>
      </c>
      <c r="AX1035">
        <f t="shared" si="505"/>
        <v>104</v>
      </c>
      <c r="AY1035">
        <f t="shared" si="506"/>
        <v>95</v>
      </c>
      <c r="AZ1035">
        <f t="shared" si="507"/>
        <v>63</v>
      </c>
      <c r="BA1035">
        <f t="shared" si="508"/>
        <v>56</v>
      </c>
      <c r="BB1035">
        <f t="shared" si="509"/>
        <v>43</v>
      </c>
    </row>
    <row r="1036" spans="1:54" x14ac:dyDescent="0.15">
      <c r="A1036">
        <v>691</v>
      </c>
      <c r="B1036" t="s">
        <v>3632</v>
      </c>
      <c r="C1036">
        <v>800</v>
      </c>
      <c r="D1036">
        <v>0</v>
      </c>
      <c r="E1036" t="s">
        <v>3633</v>
      </c>
      <c r="G1036" t="s">
        <v>3633</v>
      </c>
      <c r="H1036" t="s">
        <v>3634</v>
      </c>
      <c r="J1036" t="s">
        <v>3635</v>
      </c>
      <c r="K1036">
        <v>230</v>
      </c>
      <c r="L1036">
        <v>2.4</v>
      </c>
      <c r="M1036" t="s">
        <v>191</v>
      </c>
      <c r="O1036" t="s">
        <v>3636</v>
      </c>
      <c r="R1036">
        <v>9</v>
      </c>
      <c r="S1036">
        <v>97</v>
      </c>
      <c r="T1036">
        <v>107</v>
      </c>
      <c r="U1036">
        <v>101</v>
      </c>
      <c r="V1036">
        <v>127</v>
      </c>
      <c r="W1036">
        <v>89</v>
      </c>
      <c r="X1036">
        <v>79</v>
      </c>
      <c r="Y1036">
        <f t="shared" si="480"/>
        <v>204</v>
      </c>
      <c r="Z1036">
        <f t="shared" si="481"/>
        <v>204</v>
      </c>
      <c r="AA1036">
        <f t="shared" si="482"/>
        <v>172</v>
      </c>
      <c r="AB1036">
        <f t="shared" si="483"/>
        <v>172</v>
      </c>
      <c r="AC1036">
        <f t="shared" si="484"/>
        <v>157</v>
      </c>
      <c r="AD1036">
        <f t="shared" si="485"/>
        <v>174</v>
      </c>
      <c r="AE1036">
        <f t="shared" si="486"/>
        <v>159</v>
      </c>
      <c r="AF1036">
        <f t="shared" si="487"/>
        <v>127</v>
      </c>
      <c r="AG1036">
        <f t="shared" si="488"/>
        <v>114</v>
      </c>
      <c r="AH1036">
        <f t="shared" si="489"/>
        <v>100</v>
      </c>
      <c r="AI1036">
        <f t="shared" si="490"/>
        <v>168</v>
      </c>
      <c r="AJ1036">
        <f t="shared" si="491"/>
        <v>153</v>
      </c>
      <c r="AK1036">
        <f t="shared" si="492"/>
        <v>121</v>
      </c>
      <c r="AL1036">
        <f t="shared" si="493"/>
        <v>108</v>
      </c>
      <c r="AM1036">
        <f t="shared" si="494"/>
        <v>95</v>
      </c>
      <c r="AN1036">
        <f t="shared" si="495"/>
        <v>196</v>
      </c>
      <c r="AO1036">
        <f t="shared" si="496"/>
        <v>179</v>
      </c>
      <c r="AP1036">
        <f t="shared" si="497"/>
        <v>147</v>
      </c>
      <c r="AQ1036">
        <f t="shared" si="498"/>
        <v>132</v>
      </c>
      <c r="AR1036">
        <f t="shared" si="499"/>
        <v>118</v>
      </c>
      <c r="AS1036">
        <f t="shared" si="500"/>
        <v>155</v>
      </c>
      <c r="AT1036">
        <f t="shared" si="501"/>
        <v>141</v>
      </c>
      <c r="AU1036">
        <f t="shared" si="502"/>
        <v>109</v>
      </c>
      <c r="AV1036">
        <f t="shared" si="503"/>
        <v>98</v>
      </c>
      <c r="AW1036">
        <f t="shared" si="504"/>
        <v>84</v>
      </c>
      <c r="AX1036">
        <f t="shared" si="505"/>
        <v>144</v>
      </c>
      <c r="AY1036">
        <f t="shared" si="506"/>
        <v>131</v>
      </c>
      <c r="AZ1036">
        <f t="shared" si="507"/>
        <v>99</v>
      </c>
      <c r="BA1036">
        <f t="shared" si="508"/>
        <v>89</v>
      </c>
      <c r="BB1036">
        <f t="shared" si="509"/>
        <v>75</v>
      </c>
    </row>
    <row r="1037" spans="1:54" x14ac:dyDescent="0.15">
      <c r="A1037">
        <v>692</v>
      </c>
      <c r="B1037" t="s">
        <v>3637</v>
      </c>
      <c r="C1037">
        <v>800</v>
      </c>
      <c r="D1037">
        <v>1</v>
      </c>
      <c r="E1037" t="s">
        <v>3633</v>
      </c>
      <c r="F1037" t="s">
        <v>3638</v>
      </c>
      <c r="G1037" t="s">
        <v>3639</v>
      </c>
      <c r="H1037" t="s">
        <v>3640</v>
      </c>
      <c r="J1037" t="s">
        <v>3635</v>
      </c>
      <c r="K1037">
        <v>460</v>
      </c>
      <c r="L1037">
        <v>3.8</v>
      </c>
      <c r="M1037" t="s">
        <v>191</v>
      </c>
      <c r="N1037" t="s">
        <v>203</v>
      </c>
      <c r="O1037" t="s">
        <v>3636</v>
      </c>
      <c r="R1037">
        <v>9</v>
      </c>
      <c r="S1037">
        <v>97</v>
      </c>
      <c r="T1037">
        <v>157</v>
      </c>
      <c r="U1037">
        <v>127</v>
      </c>
      <c r="V1037">
        <v>113</v>
      </c>
      <c r="W1037">
        <v>109</v>
      </c>
      <c r="X1037">
        <v>77</v>
      </c>
      <c r="Y1037">
        <f t="shared" si="480"/>
        <v>204</v>
      </c>
      <c r="Z1037">
        <f t="shared" si="481"/>
        <v>204</v>
      </c>
      <c r="AA1037">
        <f t="shared" si="482"/>
        <v>172</v>
      </c>
      <c r="AB1037">
        <f t="shared" si="483"/>
        <v>172</v>
      </c>
      <c r="AC1037">
        <f t="shared" si="484"/>
        <v>157</v>
      </c>
      <c r="AD1037">
        <f t="shared" si="485"/>
        <v>229</v>
      </c>
      <c r="AE1037">
        <f t="shared" si="486"/>
        <v>209</v>
      </c>
      <c r="AF1037">
        <f t="shared" si="487"/>
        <v>177</v>
      </c>
      <c r="AG1037">
        <f t="shared" si="488"/>
        <v>159</v>
      </c>
      <c r="AH1037">
        <f t="shared" si="489"/>
        <v>145</v>
      </c>
      <c r="AI1037">
        <f t="shared" si="490"/>
        <v>196</v>
      </c>
      <c r="AJ1037">
        <f t="shared" si="491"/>
        <v>179</v>
      </c>
      <c r="AK1037">
        <f t="shared" si="492"/>
        <v>147</v>
      </c>
      <c r="AL1037">
        <f t="shared" si="493"/>
        <v>132</v>
      </c>
      <c r="AM1037">
        <f t="shared" si="494"/>
        <v>118</v>
      </c>
      <c r="AN1037">
        <f t="shared" si="495"/>
        <v>181</v>
      </c>
      <c r="AO1037">
        <f t="shared" si="496"/>
        <v>165</v>
      </c>
      <c r="AP1037">
        <f t="shared" si="497"/>
        <v>133</v>
      </c>
      <c r="AQ1037">
        <f t="shared" si="498"/>
        <v>119</v>
      </c>
      <c r="AR1037">
        <f t="shared" si="499"/>
        <v>106</v>
      </c>
      <c r="AS1037">
        <f t="shared" si="500"/>
        <v>177</v>
      </c>
      <c r="AT1037">
        <f t="shared" si="501"/>
        <v>161</v>
      </c>
      <c r="AU1037">
        <f t="shared" si="502"/>
        <v>129</v>
      </c>
      <c r="AV1037">
        <f t="shared" si="503"/>
        <v>116</v>
      </c>
      <c r="AW1037">
        <f t="shared" si="504"/>
        <v>102</v>
      </c>
      <c r="AX1037">
        <f t="shared" si="505"/>
        <v>141</v>
      </c>
      <c r="AY1037">
        <f t="shared" si="506"/>
        <v>129</v>
      </c>
      <c r="AZ1037">
        <f t="shared" si="507"/>
        <v>97</v>
      </c>
      <c r="BA1037">
        <f t="shared" si="508"/>
        <v>87</v>
      </c>
      <c r="BB1037">
        <f t="shared" si="509"/>
        <v>73</v>
      </c>
    </row>
    <row r="1038" spans="1:54" x14ac:dyDescent="0.15">
      <c r="A1038">
        <v>693</v>
      </c>
      <c r="B1038" t="s">
        <v>3641</v>
      </c>
      <c r="C1038">
        <v>800</v>
      </c>
      <c r="D1038">
        <v>2</v>
      </c>
      <c r="E1038" t="s">
        <v>3633</v>
      </c>
      <c r="F1038" t="s">
        <v>3642</v>
      </c>
      <c r="G1038" t="s">
        <v>3643</v>
      </c>
      <c r="H1038" t="s">
        <v>3644</v>
      </c>
      <c r="J1038" t="s">
        <v>3635</v>
      </c>
      <c r="K1038">
        <v>350</v>
      </c>
      <c r="L1038">
        <v>4.2</v>
      </c>
      <c r="M1038" t="s">
        <v>191</v>
      </c>
      <c r="N1038" t="s">
        <v>546</v>
      </c>
      <c r="O1038" t="s">
        <v>3636</v>
      </c>
      <c r="R1038">
        <v>9</v>
      </c>
      <c r="S1038">
        <v>97</v>
      </c>
      <c r="T1038">
        <v>113</v>
      </c>
      <c r="U1038">
        <v>109</v>
      </c>
      <c r="V1038">
        <v>157</v>
      </c>
      <c r="W1038">
        <v>127</v>
      </c>
      <c r="X1038">
        <v>77</v>
      </c>
      <c r="Y1038">
        <f t="shared" si="480"/>
        <v>204</v>
      </c>
      <c r="Z1038">
        <f t="shared" si="481"/>
        <v>204</v>
      </c>
      <c r="AA1038">
        <f t="shared" si="482"/>
        <v>172</v>
      </c>
      <c r="AB1038">
        <f t="shared" si="483"/>
        <v>172</v>
      </c>
      <c r="AC1038">
        <f t="shared" si="484"/>
        <v>157</v>
      </c>
      <c r="AD1038">
        <f t="shared" si="485"/>
        <v>181</v>
      </c>
      <c r="AE1038">
        <f t="shared" si="486"/>
        <v>165</v>
      </c>
      <c r="AF1038">
        <f t="shared" si="487"/>
        <v>133</v>
      </c>
      <c r="AG1038">
        <f t="shared" si="488"/>
        <v>119</v>
      </c>
      <c r="AH1038">
        <f t="shared" si="489"/>
        <v>106</v>
      </c>
      <c r="AI1038">
        <f t="shared" si="490"/>
        <v>177</v>
      </c>
      <c r="AJ1038">
        <f t="shared" si="491"/>
        <v>161</v>
      </c>
      <c r="AK1038">
        <f t="shared" si="492"/>
        <v>129</v>
      </c>
      <c r="AL1038">
        <f t="shared" si="493"/>
        <v>116</v>
      </c>
      <c r="AM1038">
        <f t="shared" si="494"/>
        <v>102</v>
      </c>
      <c r="AN1038">
        <f t="shared" si="495"/>
        <v>229</v>
      </c>
      <c r="AO1038">
        <f t="shared" si="496"/>
        <v>209</v>
      </c>
      <c r="AP1038">
        <f t="shared" si="497"/>
        <v>177</v>
      </c>
      <c r="AQ1038">
        <f t="shared" si="498"/>
        <v>159</v>
      </c>
      <c r="AR1038">
        <f t="shared" si="499"/>
        <v>145</v>
      </c>
      <c r="AS1038">
        <f t="shared" si="500"/>
        <v>196</v>
      </c>
      <c r="AT1038">
        <f t="shared" si="501"/>
        <v>179</v>
      </c>
      <c r="AU1038">
        <f t="shared" si="502"/>
        <v>147</v>
      </c>
      <c r="AV1038">
        <f t="shared" si="503"/>
        <v>132</v>
      </c>
      <c r="AW1038">
        <f t="shared" si="504"/>
        <v>118</v>
      </c>
      <c r="AX1038">
        <f t="shared" si="505"/>
        <v>141</v>
      </c>
      <c r="AY1038">
        <f t="shared" si="506"/>
        <v>129</v>
      </c>
      <c r="AZ1038">
        <f t="shared" si="507"/>
        <v>97</v>
      </c>
      <c r="BA1038">
        <f t="shared" si="508"/>
        <v>87</v>
      </c>
      <c r="BB1038">
        <f t="shared" si="509"/>
        <v>73</v>
      </c>
    </row>
    <row r="1039" spans="1:54" x14ac:dyDescent="0.15">
      <c r="B1039" t="s">
        <v>3645</v>
      </c>
      <c r="C1039">
        <v>800</v>
      </c>
      <c r="D1039">
        <v>3</v>
      </c>
      <c r="E1039" t="s">
        <v>3633</v>
      </c>
      <c r="F1039" t="s">
        <v>3646</v>
      </c>
      <c r="G1039" t="s">
        <v>3647</v>
      </c>
      <c r="J1039" t="s">
        <v>3635</v>
      </c>
      <c r="K1039">
        <v>230</v>
      </c>
      <c r="L1039">
        <v>7.5</v>
      </c>
      <c r="M1039" t="s">
        <v>191</v>
      </c>
      <c r="N1039" t="s">
        <v>60</v>
      </c>
      <c r="O1039" t="s">
        <v>3648</v>
      </c>
      <c r="P1039" t="s">
        <v>3636</v>
      </c>
      <c r="R1039">
        <v>9</v>
      </c>
      <c r="S1039">
        <v>97</v>
      </c>
      <c r="T1039">
        <v>107</v>
      </c>
      <c r="U1039">
        <v>101</v>
      </c>
      <c r="V1039">
        <v>127</v>
      </c>
      <c r="W1039">
        <v>89</v>
      </c>
      <c r="X1039">
        <v>79</v>
      </c>
      <c r="Y1039">
        <f t="shared" si="480"/>
        <v>204</v>
      </c>
      <c r="Z1039">
        <f t="shared" si="481"/>
        <v>204</v>
      </c>
      <c r="AA1039">
        <f t="shared" si="482"/>
        <v>172</v>
      </c>
      <c r="AB1039">
        <f t="shared" si="483"/>
        <v>172</v>
      </c>
      <c r="AC1039">
        <f t="shared" si="484"/>
        <v>157</v>
      </c>
      <c r="AD1039">
        <f t="shared" si="485"/>
        <v>174</v>
      </c>
      <c r="AE1039">
        <f t="shared" si="486"/>
        <v>159</v>
      </c>
      <c r="AF1039">
        <f t="shared" si="487"/>
        <v>127</v>
      </c>
      <c r="AG1039">
        <f t="shared" si="488"/>
        <v>114</v>
      </c>
      <c r="AH1039">
        <f t="shared" si="489"/>
        <v>100</v>
      </c>
      <c r="AI1039">
        <f t="shared" si="490"/>
        <v>168</v>
      </c>
      <c r="AJ1039">
        <f t="shared" si="491"/>
        <v>153</v>
      </c>
      <c r="AK1039">
        <f t="shared" si="492"/>
        <v>121</v>
      </c>
      <c r="AL1039">
        <f t="shared" si="493"/>
        <v>108</v>
      </c>
      <c r="AM1039">
        <f t="shared" si="494"/>
        <v>95</v>
      </c>
      <c r="AN1039">
        <f t="shared" si="495"/>
        <v>196</v>
      </c>
      <c r="AO1039">
        <f t="shared" si="496"/>
        <v>179</v>
      </c>
      <c r="AP1039">
        <f t="shared" si="497"/>
        <v>147</v>
      </c>
      <c r="AQ1039">
        <f t="shared" si="498"/>
        <v>132</v>
      </c>
      <c r="AR1039">
        <f t="shared" si="499"/>
        <v>118</v>
      </c>
      <c r="AS1039">
        <f t="shared" si="500"/>
        <v>155</v>
      </c>
      <c r="AT1039">
        <f t="shared" si="501"/>
        <v>141</v>
      </c>
      <c r="AU1039">
        <f t="shared" si="502"/>
        <v>109</v>
      </c>
      <c r="AV1039">
        <f t="shared" si="503"/>
        <v>98</v>
      </c>
      <c r="AW1039">
        <f t="shared" si="504"/>
        <v>84</v>
      </c>
      <c r="AX1039">
        <f t="shared" si="505"/>
        <v>144</v>
      </c>
      <c r="AY1039">
        <f t="shared" si="506"/>
        <v>131</v>
      </c>
      <c r="AZ1039">
        <f t="shared" si="507"/>
        <v>99</v>
      </c>
      <c r="BA1039">
        <f t="shared" si="508"/>
        <v>89</v>
      </c>
      <c r="BB1039">
        <f t="shared" si="509"/>
        <v>75</v>
      </c>
    </row>
    <row r="1040" spans="1:54" x14ac:dyDescent="0.15">
      <c r="A1040">
        <v>700</v>
      </c>
      <c r="B1040" t="s">
        <v>3649</v>
      </c>
      <c r="C1040">
        <v>801</v>
      </c>
      <c r="D1040">
        <v>0</v>
      </c>
      <c r="E1040" t="s">
        <v>3650</v>
      </c>
      <c r="G1040" t="s">
        <v>3650</v>
      </c>
      <c r="H1040" t="s">
        <v>3651</v>
      </c>
      <c r="J1040" t="s">
        <v>3652</v>
      </c>
      <c r="K1040">
        <v>80.5</v>
      </c>
      <c r="L1040">
        <v>1</v>
      </c>
      <c r="M1040" t="s">
        <v>203</v>
      </c>
      <c r="N1040" t="s">
        <v>233</v>
      </c>
      <c r="O1040" t="s">
        <v>3653</v>
      </c>
      <c r="R1040">
        <v>9</v>
      </c>
      <c r="S1040">
        <v>80</v>
      </c>
      <c r="T1040">
        <v>95</v>
      </c>
      <c r="U1040">
        <v>115</v>
      </c>
      <c r="V1040">
        <v>130</v>
      </c>
      <c r="W1040">
        <v>115</v>
      </c>
      <c r="X1040">
        <v>65</v>
      </c>
      <c r="Y1040">
        <f t="shared" si="480"/>
        <v>187</v>
      </c>
      <c r="Z1040">
        <f t="shared" si="481"/>
        <v>187</v>
      </c>
      <c r="AA1040">
        <f t="shared" si="482"/>
        <v>155</v>
      </c>
      <c r="AB1040">
        <f t="shared" si="483"/>
        <v>155</v>
      </c>
      <c r="AC1040">
        <f t="shared" si="484"/>
        <v>140</v>
      </c>
      <c r="AD1040">
        <f t="shared" si="485"/>
        <v>161</v>
      </c>
      <c r="AE1040">
        <f t="shared" si="486"/>
        <v>147</v>
      </c>
      <c r="AF1040">
        <f t="shared" si="487"/>
        <v>115</v>
      </c>
      <c r="AG1040">
        <f t="shared" si="488"/>
        <v>103</v>
      </c>
      <c r="AH1040">
        <f t="shared" si="489"/>
        <v>90</v>
      </c>
      <c r="AI1040">
        <f t="shared" si="490"/>
        <v>183</v>
      </c>
      <c r="AJ1040">
        <f t="shared" si="491"/>
        <v>167</v>
      </c>
      <c r="AK1040">
        <f t="shared" si="492"/>
        <v>135</v>
      </c>
      <c r="AL1040">
        <f t="shared" si="493"/>
        <v>121</v>
      </c>
      <c r="AM1040">
        <f t="shared" si="494"/>
        <v>108</v>
      </c>
      <c r="AN1040">
        <f t="shared" si="495"/>
        <v>200</v>
      </c>
      <c r="AO1040">
        <f t="shared" si="496"/>
        <v>182</v>
      </c>
      <c r="AP1040">
        <f t="shared" si="497"/>
        <v>150</v>
      </c>
      <c r="AQ1040">
        <f t="shared" si="498"/>
        <v>135</v>
      </c>
      <c r="AR1040">
        <f t="shared" si="499"/>
        <v>121</v>
      </c>
      <c r="AS1040">
        <f t="shared" si="500"/>
        <v>183</v>
      </c>
      <c r="AT1040">
        <f t="shared" si="501"/>
        <v>167</v>
      </c>
      <c r="AU1040">
        <f t="shared" si="502"/>
        <v>135</v>
      </c>
      <c r="AV1040">
        <f t="shared" si="503"/>
        <v>121</v>
      </c>
      <c r="AW1040">
        <f t="shared" si="504"/>
        <v>108</v>
      </c>
      <c r="AX1040">
        <f t="shared" si="505"/>
        <v>128</v>
      </c>
      <c r="AY1040">
        <f t="shared" si="506"/>
        <v>117</v>
      </c>
      <c r="AZ1040">
        <f t="shared" si="507"/>
        <v>85</v>
      </c>
      <c r="BA1040">
        <f t="shared" si="508"/>
        <v>76</v>
      </c>
      <c r="BB1040">
        <f t="shared" si="509"/>
        <v>63</v>
      </c>
    </row>
    <row r="1041" spans="1:54" x14ac:dyDescent="0.15">
      <c r="A1041">
        <v>701</v>
      </c>
      <c r="B1041" t="s">
        <v>3649</v>
      </c>
      <c r="C1041">
        <v>801</v>
      </c>
      <c r="D1041">
        <v>1</v>
      </c>
      <c r="E1041" t="s">
        <v>3650</v>
      </c>
      <c r="F1041" t="s">
        <v>3654</v>
      </c>
      <c r="G1041" t="s">
        <v>3650</v>
      </c>
      <c r="H1041" t="s">
        <v>3655</v>
      </c>
      <c r="J1041" t="s">
        <v>3652</v>
      </c>
      <c r="K1041">
        <v>80.5</v>
      </c>
      <c r="L1041">
        <v>1</v>
      </c>
      <c r="M1041" t="s">
        <v>203</v>
      </c>
      <c r="N1041" t="s">
        <v>233</v>
      </c>
      <c r="O1041" t="s">
        <v>3653</v>
      </c>
      <c r="R1041">
        <v>9</v>
      </c>
      <c r="S1041">
        <v>80</v>
      </c>
      <c r="T1041">
        <v>95</v>
      </c>
      <c r="U1041">
        <v>115</v>
      </c>
      <c r="V1041">
        <v>130</v>
      </c>
      <c r="W1041">
        <v>115</v>
      </c>
      <c r="X1041">
        <v>65</v>
      </c>
      <c r="Y1041">
        <f t="shared" si="480"/>
        <v>187</v>
      </c>
      <c r="Z1041">
        <f t="shared" si="481"/>
        <v>187</v>
      </c>
      <c r="AA1041">
        <f t="shared" si="482"/>
        <v>155</v>
      </c>
      <c r="AB1041">
        <f t="shared" si="483"/>
        <v>155</v>
      </c>
      <c r="AC1041">
        <f t="shared" si="484"/>
        <v>140</v>
      </c>
      <c r="AD1041">
        <f t="shared" si="485"/>
        <v>161</v>
      </c>
      <c r="AE1041">
        <f t="shared" si="486"/>
        <v>147</v>
      </c>
      <c r="AF1041">
        <f t="shared" si="487"/>
        <v>115</v>
      </c>
      <c r="AG1041">
        <f t="shared" si="488"/>
        <v>103</v>
      </c>
      <c r="AH1041">
        <f t="shared" si="489"/>
        <v>90</v>
      </c>
      <c r="AI1041">
        <f t="shared" si="490"/>
        <v>183</v>
      </c>
      <c r="AJ1041">
        <f t="shared" si="491"/>
        <v>167</v>
      </c>
      <c r="AK1041">
        <f t="shared" si="492"/>
        <v>135</v>
      </c>
      <c r="AL1041">
        <f t="shared" si="493"/>
        <v>121</v>
      </c>
      <c r="AM1041">
        <f t="shared" si="494"/>
        <v>108</v>
      </c>
      <c r="AN1041">
        <f t="shared" si="495"/>
        <v>200</v>
      </c>
      <c r="AO1041">
        <f t="shared" si="496"/>
        <v>182</v>
      </c>
      <c r="AP1041">
        <f t="shared" si="497"/>
        <v>150</v>
      </c>
      <c r="AQ1041">
        <f t="shared" si="498"/>
        <v>135</v>
      </c>
      <c r="AR1041">
        <f t="shared" si="499"/>
        <v>121</v>
      </c>
      <c r="AS1041">
        <f t="shared" si="500"/>
        <v>183</v>
      </c>
      <c r="AT1041">
        <f t="shared" si="501"/>
        <v>167</v>
      </c>
      <c r="AU1041">
        <f t="shared" si="502"/>
        <v>135</v>
      </c>
      <c r="AV1041">
        <f t="shared" si="503"/>
        <v>121</v>
      </c>
      <c r="AW1041">
        <f t="shared" si="504"/>
        <v>108</v>
      </c>
      <c r="AX1041">
        <f t="shared" si="505"/>
        <v>128</v>
      </c>
      <c r="AY1041">
        <f t="shared" si="506"/>
        <v>117</v>
      </c>
      <c r="AZ1041">
        <f t="shared" si="507"/>
        <v>85</v>
      </c>
      <c r="BA1041">
        <f t="shared" si="508"/>
        <v>76</v>
      </c>
      <c r="BB1041">
        <f t="shared" si="509"/>
        <v>63</v>
      </c>
    </row>
    <row r="1042" spans="1:54" x14ac:dyDescent="0.15">
      <c r="B1042" t="s">
        <v>3656</v>
      </c>
      <c r="C1042">
        <v>802</v>
      </c>
      <c r="D1042">
        <v>0</v>
      </c>
      <c r="E1042" t="s">
        <v>3657</v>
      </c>
      <c r="G1042" t="s">
        <v>3657</v>
      </c>
      <c r="J1042" t="s">
        <v>3658</v>
      </c>
      <c r="K1042">
        <v>22.2</v>
      </c>
      <c r="L1042">
        <v>0.7</v>
      </c>
      <c r="M1042" t="s">
        <v>354</v>
      </c>
      <c r="N1042" t="s">
        <v>546</v>
      </c>
      <c r="O1042" t="s">
        <v>322</v>
      </c>
      <c r="R1042">
        <v>8</v>
      </c>
      <c r="S1042">
        <v>90</v>
      </c>
      <c r="T1042">
        <v>125</v>
      </c>
      <c r="U1042">
        <v>80</v>
      </c>
      <c r="V1042">
        <v>90</v>
      </c>
      <c r="W1042">
        <v>90</v>
      </c>
      <c r="X1042">
        <v>125</v>
      </c>
      <c r="Y1042">
        <f t="shared" si="480"/>
        <v>197</v>
      </c>
      <c r="Z1042">
        <f t="shared" si="481"/>
        <v>197</v>
      </c>
      <c r="AA1042">
        <f t="shared" si="482"/>
        <v>165</v>
      </c>
      <c r="AB1042">
        <f t="shared" si="483"/>
        <v>165</v>
      </c>
      <c r="AC1042">
        <f t="shared" si="484"/>
        <v>150</v>
      </c>
      <c r="AD1042">
        <f t="shared" si="485"/>
        <v>194</v>
      </c>
      <c r="AE1042">
        <f t="shared" si="486"/>
        <v>177</v>
      </c>
      <c r="AF1042">
        <f t="shared" si="487"/>
        <v>145</v>
      </c>
      <c r="AG1042">
        <f t="shared" si="488"/>
        <v>130</v>
      </c>
      <c r="AH1042">
        <f t="shared" si="489"/>
        <v>117</v>
      </c>
      <c r="AI1042">
        <f t="shared" si="490"/>
        <v>145</v>
      </c>
      <c r="AJ1042">
        <f t="shared" si="491"/>
        <v>132</v>
      </c>
      <c r="AK1042">
        <f t="shared" si="492"/>
        <v>100</v>
      </c>
      <c r="AL1042">
        <f t="shared" si="493"/>
        <v>90</v>
      </c>
      <c r="AM1042">
        <f t="shared" si="494"/>
        <v>76</v>
      </c>
      <c r="AN1042">
        <f t="shared" si="495"/>
        <v>156</v>
      </c>
      <c r="AO1042">
        <f t="shared" si="496"/>
        <v>142</v>
      </c>
      <c r="AP1042">
        <f t="shared" si="497"/>
        <v>110</v>
      </c>
      <c r="AQ1042">
        <f t="shared" si="498"/>
        <v>99</v>
      </c>
      <c r="AR1042">
        <f t="shared" si="499"/>
        <v>85</v>
      </c>
      <c r="AS1042">
        <f t="shared" si="500"/>
        <v>156</v>
      </c>
      <c r="AT1042">
        <f t="shared" si="501"/>
        <v>142</v>
      </c>
      <c r="AU1042">
        <f t="shared" si="502"/>
        <v>110</v>
      </c>
      <c r="AV1042">
        <f t="shared" si="503"/>
        <v>99</v>
      </c>
      <c r="AW1042">
        <f t="shared" si="504"/>
        <v>85</v>
      </c>
      <c r="AX1042">
        <f t="shared" si="505"/>
        <v>194</v>
      </c>
      <c r="AY1042">
        <f t="shared" si="506"/>
        <v>177</v>
      </c>
      <c r="AZ1042">
        <f t="shared" si="507"/>
        <v>145</v>
      </c>
      <c r="BA1042">
        <f t="shared" si="508"/>
        <v>130</v>
      </c>
      <c r="BB1042">
        <f t="shared" si="509"/>
        <v>117</v>
      </c>
    </row>
    <row r="1043" spans="1:54" x14ac:dyDescent="0.15">
      <c r="B1043" t="s">
        <v>3659</v>
      </c>
      <c r="C1043">
        <v>803</v>
      </c>
      <c r="D1043">
        <v>0</v>
      </c>
      <c r="E1043" t="s">
        <v>3660</v>
      </c>
      <c r="G1043" t="s">
        <v>3660</v>
      </c>
      <c r="J1043" t="s">
        <v>214</v>
      </c>
      <c r="K1043">
        <v>1.8</v>
      </c>
      <c r="L1043">
        <v>0.6</v>
      </c>
      <c r="M1043" t="s">
        <v>27</v>
      </c>
      <c r="O1043" t="s">
        <v>3613</v>
      </c>
      <c r="R1043">
        <v>8</v>
      </c>
      <c r="S1043">
        <v>67</v>
      </c>
      <c r="T1043">
        <v>73</v>
      </c>
      <c r="U1043">
        <v>67</v>
      </c>
      <c r="V1043">
        <v>73</v>
      </c>
      <c r="W1043">
        <v>67</v>
      </c>
      <c r="X1043">
        <v>73</v>
      </c>
      <c r="Y1043">
        <f t="shared" si="480"/>
        <v>174</v>
      </c>
      <c r="Z1043">
        <f t="shared" si="481"/>
        <v>174</v>
      </c>
      <c r="AA1043">
        <f t="shared" si="482"/>
        <v>142</v>
      </c>
      <c r="AB1043">
        <f t="shared" si="483"/>
        <v>142</v>
      </c>
      <c r="AC1043">
        <f t="shared" si="484"/>
        <v>127</v>
      </c>
      <c r="AD1043">
        <f t="shared" si="485"/>
        <v>137</v>
      </c>
      <c r="AE1043">
        <f t="shared" si="486"/>
        <v>125</v>
      </c>
      <c r="AF1043">
        <f t="shared" si="487"/>
        <v>93</v>
      </c>
      <c r="AG1043">
        <f t="shared" si="488"/>
        <v>83</v>
      </c>
      <c r="AH1043">
        <f t="shared" si="489"/>
        <v>70</v>
      </c>
      <c r="AI1043">
        <f t="shared" si="490"/>
        <v>130</v>
      </c>
      <c r="AJ1043">
        <f t="shared" si="491"/>
        <v>119</v>
      </c>
      <c r="AK1043">
        <f t="shared" si="492"/>
        <v>87</v>
      </c>
      <c r="AL1043">
        <f t="shared" si="493"/>
        <v>78</v>
      </c>
      <c r="AM1043">
        <f t="shared" si="494"/>
        <v>64</v>
      </c>
      <c r="AN1043">
        <f t="shared" si="495"/>
        <v>137</v>
      </c>
      <c r="AO1043">
        <f t="shared" si="496"/>
        <v>125</v>
      </c>
      <c r="AP1043">
        <f t="shared" si="497"/>
        <v>93</v>
      </c>
      <c r="AQ1043">
        <f t="shared" si="498"/>
        <v>83</v>
      </c>
      <c r="AR1043">
        <f t="shared" si="499"/>
        <v>70</v>
      </c>
      <c r="AS1043">
        <f t="shared" si="500"/>
        <v>130</v>
      </c>
      <c r="AT1043">
        <f t="shared" si="501"/>
        <v>119</v>
      </c>
      <c r="AU1043">
        <f t="shared" si="502"/>
        <v>87</v>
      </c>
      <c r="AV1043">
        <f t="shared" si="503"/>
        <v>78</v>
      </c>
      <c r="AW1043">
        <f t="shared" si="504"/>
        <v>64</v>
      </c>
      <c r="AX1043">
        <f t="shared" si="505"/>
        <v>137</v>
      </c>
      <c r="AY1043">
        <f t="shared" si="506"/>
        <v>125</v>
      </c>
      <c r="AZ1043">
        <f t="shared" si="507"/>
        <v>93</v>
      </c>
      <c r="BA1043">
        <f t="shared" si="508"/>
        <v>83</v>
      </c>
      <c r="BB1043">
        <f t="shared" si="509"/>
        <v>70</v>
      </c>
    </row>
    <row r="1044" spans="1:54" x14ac:dyDescent="0.15">
      <c r="B1044" t="s">
        <v>3661</v>
      </c>
      <c r="C1044">
        <v>804</v>
      </c>
      <c r="D1044">
        <v>0</v>
      </c>
      <c r="E1044" t="s">
        <v>3662</v>
      </c>
      <c r="G1044" t="s">
        <v>3662</v>
      </c>
      <c r="J1044" t="s">
        <v>214</v>
      </c>
      <c r="K1044">
        <v>150</v>
      </c>
      <c r="L1044">
        <v>3.6</v>
      </c>
      <c r="M1044" t="s">
        <v>27</v>
      </c>
      <c r="N1044" t="s">
        <v>60</v>
      </c>
      <c r="O1044" t="s">
        <v>3613</v>
      </c>
      <c r="R1044">
        <v>8</v>
      </c>
      <c r="S1044">
        <v>73</v>
      </c>
      <c r="T1044">
        <v>73</v>
      </c>
      <c r="U1044">
        <v>73</v>
      </c>
      <c r="V1044">
        <v>127</v>
      </c>
      <c r="W1044">
        <v>73</v>
      </c>
      <c r="X1044">
        <v>121</v>
      </c>
      <c r="Y1044">
        <f t="shared" si="480"/>
        <v>180</v>
      </c>
      <c r="Z1044">
        <f t="shared" si="481"/>
        <v>180</v>
      </c>
      <c r="AA1044">
        <f t="shared" si="482"/>
        <v>148</v>
      </c>
      <c r="AB1044">
        <f t="shared" si="483"/>
        <v>148</v>
      </c>
      <c r="AC1044">
        <f t="shared" si="484"/>
        <v>133</v>
      </c>
      <c r="AD1044">
        <f t="shared" si="485"/>
        <v>137</v>
      </c>
      <c r="AE1044">
        <f t="shared" si="486"/>
        <v>125</v>
      </c>
      <c r="AF1044">
        <f t="shared" si="487"/>
        <v>93</v>
      </c>
      <c r="AG1044">
        <f t="shared" si="488"/>
        <v>83</v>
      </c>
      <c r="AH1044">
        <f t="shared" si="489"/>
        <v>70</v>
      </c>
      <c r="AI1044">
        <f t="shared" si="490"/>
        <v>137</v>
      </c>
      <c r="AJ1044">
        <f t="shared" si="491"/>
        <v>125</v>
      </c>
      <c r="AK1044">
        <f t="shared" si="492"/>
        <v>93</v>
      </c>
      <c r="AL1044">
        <f t="shared" si="493"/>
        <v>83</v>
      </c>
      <c r="AM1044">
        <f t="shared" si="494"/>
        <v>70</v>
      </c>
      <c r="AN1044">
        <f t="shared" si="495"/>
        <v>196</v>
      </c>
      <c r="AO1044">
        <f t="shared" si="496"/>
        <v>179</v>
      </c>
      <c r="AP1044">
        <f t="shared" si="497"/>
        <v>147</v>
      </c>
      <c r="AQ1044">
        <f t="shared" si="498"/>
        <v>132</v>
      </c>
      <c r="AR1044">
        <f t="shared" si="499"/>
        <v>118</v>
      </c>
      <c r="AS1044">
        <f t="shared" si="500"/>
        <v>137</v>
      </c>
      <c r="AT1044">
        <f t="shared" si="501"/>
        <v>125</v>
      </c>
      <c r="AU1044">
        <f t="shared" si="502"/>
        <v>93</v>
      </c>
      <c r="AV1044">
        <f t="shared" si="503"/>
        <v>83</v>
      </c>
      <c r="AW1044">
        <f t="shared" si="504"/>
        <v>70</v>
      </c>
      <c r="AX1044">
        <f t="shared" si="505"/>
        <v>190</v>
      </c>
      <c r="AY1044">
        <f t="shared" si="506"/>
        <v>173</v>
      </c>
      <c r="AZ1044">
        <f t="shared" si="507"/>
        <v>141</v>
      </c>
      <c r="BA1044">
        <f t="shared" si="508"/>
        <v>126</v>
      </c>
      <c r="BB1044">
        <f t="shared" si="509"/>
        <v>113</v>
      </c>
    </row>
    <row r="1045" spans="1:54" x14ac:dyDescent="0.15">
      <c r="B1045" t="s">
        <v>3663</v>
      </c>
      <c r="C1045">
        <v>805</v>
      </c>
      <c r="D1045">
        <v>0</v>
      </c>
      <c r="E1045" t="s">
        <v>3664</v>
      </c>
      <c r="G1045" t="s">
        <v>3664</v>
      </c>
      <c r="J1045" t="s">
        <v>3665</v>
      </c>
      <c r="K1045">
        <v>820</v>
      </c>
      <c r="L1045">
        <v>5.5</v>
      </c>
      <c r="M1045" t="s">
        <v>371</v>
      </c>
      <c r="N1045" t="s">
        <v>203</v>
      </c>
      <c r="O1045" t="s">
        <v>3613</v>
      </c>
      <c r="R1045">
        <v>8</v>
      </c>
      <c r="S1045">
        <v>61</v>
      </c>
      <c r="T1045">
        <v>131</v>
      </c>
      <c r="U1045">
        <v>211</v>
      </c>
      <c r="V1045">
        <v>53</v>
      </c>
      <c r="W1045">
        <v>101</v>
      </c>
      <c r="X1045">
        <v>13</v>
      </c>
      <c r="Y1045">
        <f t="shared" si="480"/>
        <v>168</v>
      </c>
      <c r="Z1045">
        <f t="shared" si="481"/>
        <v>168</v>
      </c>
      <c r="AA1045">
        <f t="shared" si="482"/>
        <v>136</v>
      </c>
      <c r="AB1045">
        <f t="shared" si="483"/>
        <v>136</v>
      </c>
      <c r="AC1045">
        <f t="shared" si="484"/>
        <v>121</v>
      </c>
      <c r="AD1045">
        <f t="shared" si="485"/>
        <v>201</v>
      </c>
      <c r="AE1045">
        <f t="shared" si="486"/>
        <v>183</v>
      </c>
      <c r="AF1045">
        <f t="shared" si="487"/>
        <v>151</v>
      </c>
      <c r="AG1045">
        <f t="shared" si="488"/>
        <v>135</v>
      </c>
      <c r="AH1045">
        <f t="shared" si="489"/>
        <v>122</v>
      </c>
      <c r="AI1045">
        <f t="shared" si="490"/>
        <v>289</v>
      </c>
      <c r="AJ1045">
        <f t="shared" si="491"/>
        <v>263</v>
      </c>
      <c r="AK1045">
        <f t="shared" si="492"/>
        <v>231</v>
      </c>
      <c r="AL1045">
        <f t="shared" si="493"/>
        <v>207</v>
      </c>
      <c r="AM1045">
        <f t="shared" si="494"/>
        <v>194</v>
      </c>
      <c r="AN1045">
        <f t="shared" si="495"/>
        <v>115</v>
      </c>
      <c r="AO1045">
        <f t="shared" si="496"/>
        <v>105</v>
      </c>
      <c r="AP1045">
        <f t="shared" si="497"/>
        <v>73</v>
      </c>
      <c r="AQ1045">
        <f t="shared" si="498"/>
        <v>65</v>
      </c>
      <c r="AR1045">
        <f t="shared" si="499"/>
        <v>52</v>
      </c>
      <c r="AS1045">
        <f t="shared" si="500"/>
        <v>168</v>
      </c>
      <c r="AT1045">
        <f t="shared" si="501"/>
        <v>153</v>
      </c>
      <c r="AU1045">
        <f t="shared" si="502"/>
        <v>121</v>
      </c>
      <c r="AV1045">
        <f t="shared" si="503"/>
        <v>108</v>
      </c>
      <c r="AW1045">
        <f t="shared" si="504"/>
        <v>95</v>
      </c>
      <c r="AX1045">
        <f t="shared" si="505"/>
        <v>71</v>
      </c>
      <c r="AY1045">
        <f t="shared" si="506"/>
        <v>65</v>
      </c>
      <c r="AZ1045">
        <f t="shared" si="507"/>
        <v>33</v>
      </c>
      <c r="BA1045">
        <f t="shared" si="508"/>
        <v>29</v>
      </c>
      <c r="BB1045">
        <f t="shared" si="509"/>
        <v>16</v>
      </c>
    </row>
    <row r="1046" spans="1:54" x14ac:dyDescent="0.15">
      <c r="B1046" t="s">
        <v>3666</v>
      </c>
      <c r="C1046">
        <v>806</v>
      </c>
      <c r="D1046">
        <v>0</v>
      </c>
      <c r="E1046" t="s">
        <v>3667</v>
      </c>
      <c r="G1046" t="s">
        <v>3667</v>
      </c>
      <c r="J1046" t="s">
        <v>3668</v>
      </c>
      <c r="K1046">
        <v>13</v>
      </c>
      <c r="L1046">
        <v>1.8</v>
      </c>
      <c r="M1046" t="s">
        <v>47</v>
      </c>
      <c r="N1046" t="s">
        <v>546</v>
      </c>
      <c r="O1046" t="s">
        <v>3613</v>
      </c>
      <c r="R1046">
        <v>8</v>
      </c>
      <c r="S1046">
        <v>53</v>
      </c>
      <c r="T1046">
        <v>127</v>
      </c>
      <c r="U1046">
        <v>53</v>
      </c>
      <c r="V1046">
        <v>151</v>
      </c>
      <c r="W1046">
        <v>79</v>
      </c>
      <c r="X1046">
        <v>107</v>
      </c>
      <c r="Y1046">
        <f t="shared" si="480"/>
        <v>160</v>
      </c>
      <c r="Z1046">
        <f t="shared" si="481"/>
        <v>160</v>
      </c>
      <c r="AA1046">
        <f t="shared" si="482"/>
        <v>128</v>
      </c>
      <c r="AB1046">
        <f t="shared" si="483"/>
        <v>128</v>
      </c>
      <c r="AC1046">
        <f t="shared" si="484"/>
        <v>113</v>
      </c>
      <c r="AD1046">
        <f t="shared" si="485"/>
        <v>196</v>
      </c>
      <c r="AE1046">
        <f t="shared" si="486"/>
        <v>179</v>
      </c>
      <c r="AF1046">
        <f t="shared" si="487"/>
        <v>147</v>
      </c>
      <c r="AG1046">
        <f t="shared" si="488"/>
        <v>132</v>
      </c>
      <c r="AH1046">
        <f t="shared" si="489"/>
        <v>118</v>
      </c>
      <c r="AI1046">
        <f t="shared" si="490"/>
        <v>115</v>
      </c>
      <c r="AJ1046">
        <f t="shared" si="491"/>
        <v>105</v>
      </c>
      <c r="AK1046">
        <f t="shared" si="492"/>
        <v>73</v>
      </c>
      <c r="AL1046">
        <f t="shared" si="493"/>
        <v>65</v>
      </c>
      <c r="AM1046">
        <f t="shared" si="494"/>
        <v>52</v>
      </c>
      <c r="AN1046">
        <f t="shared" si="495"/>
        <v>223</v>
      </c>
      <c r="AO1046">
        <f t="shared" si="496"/>
        <v>203</v>
      </c>
      <c r="AP1046">
        <f t="shared" si="497"/>
        <v>171</v>
      </c>
      <c r="AQ1046">
        <f t="shared" si="498"/>
        <v>153</v>
      </c>
      <c r="AR1046">
        <f t="shared" si="499"/>
        <v>140</v>
      </c>
      <c r="AS1046">
        <f t="shared" si="500"/>
        <v>144</v>
      </c>
      <c r="AT1046">
        <f t="shared" si="501"/>
        <v>131</v>
      </c>
      <c r="AU1046">
        <f t="shared" si="502"/>
        <v>99</v>
      </c>
      <c r="AV1046">
        <f t="shared" si="503"/>
        <v>89</v>
      </c>
      <c r="AW1046">
        <f t="shared" si="504"/>
        <v>75</v>
      </c>
      <c r="AX1046">
        <f t="shared" si="505"/>
        <v>174</v>
      </c>
      <c r="AY1046">
        <f t="shared" si="506"/>
        <v>159</v>
      </c>
      <c r="AZ1046">
        <f t="shared" si="507"/>
        <v>127</v>
      </c>
      <c r="BA1046">
        <f t="shared" si="508"/>
        <v>114</v>
      </c>
      <c r="BB1046">
        <f t="shared" si="509"/>
        <v>100</v>
      </c>
    </row>
    <row r="1047" spans="1:54" x14ac:dyDescent="0.15">
      <c r="B1047" t="s">
        <v>3669</v>
      </c>
      <c r="C1047">
        <v>807</v>
      </c>
      <c r="D1047">
        <v>0</v>
      </c>
      <c r="E1047" t="s">
        <v>3670</v>
      </c>
      <c r="G1047" t="s">
        <v>3670</v>
      </c>
      <c r="J1047" t="s">
        <v>3671</v>
      </c>
      <c r="K1047">
        <v>44.5</v>
      </c>
      <c r="L1047">
        <v>1.5</v>
      </c>
      <c r="M1047" t="s">
        <v>164</v>
      </c>
      <c r="O1047" t="s">
        <v>769</v>
      </c>
      <c r="R1047">
        <v>8</v>
      </c>
      <c r="S1047">
        <v>88</v>
      </c>
      <c r="T1047">
        <v>112</v>
      </c>
      <c r="U1047">
        <v>75</v>
      </c>
      <c r="V1047">
        <v>102</v>
      </c>
      <c r="W1047">
        <v>80</v>
      </c>
      <c r="X1047">
        <v>143</v>
      </c>
      <c r="Y1047">
        <f t="shared" si="480"/>
        <v>195</v>
      </c>
      <c r="Z1047">
        <f t="shared" si="481"/>
        <v>195</v>
      </c>
      <c r="AA1047">
        <f t="shared" si="482"/>
        <v>163</v>
      </c>
      <c r="AB1047">
        <f t="shared" si="483"/>
        <v>163</v>
      </c>
      <c r="AC1047">
        <f t="shared" si="484"/>
        <v>148</v>
      </c>
      <c r="AD1047">
        <f t="shared" si="485"/>
        <v>180</v>
      </c>
      <c r="AE1047">
        <f t="shared" si="486"/>
        <v>164</v>
      </c>
      <c r="AF1047">
        <f t="shared" si="487"/>
        <v>132</v>
      </c>
      <c r="AG1047">
        <f t="shared" si="488"/>
        <v>118</v>
      </c>
      <c r="AH1047">
        <f t="shared" si="489"/>
        <v>105</v>
      </c>
      <c r="AI1047">
        <f t="shared" si="490"/>
        <v>139</v>
      </c>
      <c r="AJ1047">
        <f t="shared" si="491"/>
        <v>127</v>
      </c>
      <c r="AK1047">
        <f t="shared" si="492"/>
        <v>95</v>
      </c>
      <c r="AL1047">
        <f t="shared" si="493"/>
        <v>85</v>
      </c>
      <c r="AM1047">
        <f t="shared" si="494"/>
        <v>72</v>
      </c>
      <c r="AN1047">
        <f t="shared" si="495"/>
        <v>169</v>
      </c>
      <c r="AO1047">
        <f t="shared" si="496"/>
        <v>154</v>
      </c>
      <c r="AP1047">
        <f t="shared" si="497"/>
        <v>122</v>
      </c>
      <c r="AQ1047">
        <f t="shared" si="498"/>
        <v>109</v>
      </c>
      <c r="AR1047">
        <f t="shared" si="499"/>
        <v>96</v>
      </c>
      <c r="AS1047">
        <f t="shared" si="500"/>
        <v>145</v>
      </c>
      <c r="AT1047">
        <f t="shared" si="501"/>
        <v>132</v>
      </c>
      <c r="AU1047">
        <f t="shared" si="502"/>
        <v>100</v>
      </c>
      <c r="AV1047">
        <f t="shared" si="503"/>
        <v>90</v>
      </c>
      <c r="AW1047">
        <f t="shared" si="504"/>
        <v>76</v>
      </c>
      <c r="AX1047">
        <f t="shared" si="505"/>
        <v>214</v>
      </c>
      <c r="AY1047">
        <f t="shared" si="506"/>
        <v>195</v>
      </c>
      <c r="AZ1047">
        <f t="shared" si="507"/>
        <v>163</v>
      </c>
      <c r="BA1047">
        <f t="shared" si="508"/>
        <v>146</v>
      </c>
      <c r="BB1047">
        <f t="shared" si="509"/>
        <v>133</v>
      </c>
    </row>
    <row r="1048" spans="1:54" x14ac:dyDescent="0.15">
      <c r="B1048" t="s">
        <v>3672</v>
      </c>
      <c r="C1048">
        <v>808</v>
      </c>
      <c r="D1048">
        <v>0</v>
      </c>
      <c r="E1048" t="s">
        <v>3673</v>
      </c>
      <c r="G1048" t="s">
        <v>3673</v>
      </c>
      <c r="J1048" t="s">
        <v>3674</v>
      </c>
      <c r="K1048">
        <v>8</v>
      </c>
      <c r="L1048">
        <v>0.2</v>
      </c>
      <c r="M1048" t="s">
        <v>203</v>
      </c>
      <c r="O1048" t="s">
        <v>439</v>
      </c>
      <c r="R1048">
        <v>8</v>
      </c>
      <c r="S1048">
        <v>46</v>
      </c>
      <c r="T1048">
        <v>65</v>
      </c>
      <c r="U1048">
        <v>65</v>
      </c>
      <c r="V1048">
        <v>55</v>
      </c>
      <c r="W1048">
        <v>35</v>
      </c>
      <c r="X1048">
        <v>34</v>
      </c>
      <c r="Y1048">
        <f t="shared" si="480"/>
        <v>153</v>
      </c>
      <c r="Z1048">
        <f t="shared" si="481"/>
        <v>153</v>
      </c>
      <c r="AA1048">
        <f t="shared" si="482"/>
        <v>121</v>
      </c>
      <c r="AB1048">
        <f t="shared" si="483"/>
        <v>121</v>
      </c>
      <c r="AC1048">
        <f t="shared" si="484"/>
        <v>106</v>
      </c>
      <c r="AD1048">
        <f t="shared" si="485"/>
        <v>128</v>
      </c>
      <c r="AE1048">
        <f t="shared" si="486"/>
        <v>117</v>
      </c>
      <c r="AF1048">
        <f t="shared" si="487"/>
        <v>85</v>
      </c>
      <c r="AG1048">
        <f t="shared" si="488"/>
        <v>76</v>
      </c>
      <c r="AH1048">
        <f t="shared" si="489"/>
        <v>63</v>
      </c>
      <c r="AI1048">
        <f t="shared" si="490"/>
        <v>128</v>
      </c>
      <c r="AJ1048">
        <f t="shared" si="491"/>
        <v>117</v>
      </c>
      <c r="AK1048">
        <f t="shared" si="492"/>
        <v>85</v>
      </c>
      <c r="AL1048">
        <f t="shared" si="493"/>
        <v>76</v>
      </c>
      <c r="AM1048">
        <f t="shared" si="494"/>
        <v>63</v>
      </c>
      <c r="AN1048">
        <f t="shared" si="495"/>
        <v>117</v>
      </c>
      <c r="AO1048">
        <f t="shared" si="496"/>
        <v>107</v>
      </c>
      <c r="AP1048">
        <f t="shared" si="497"/>
        <v>75</v>
      </c>
      <c r="AQ1048">
        <f t="shared" si="498"/>
        <v>67</v>
      </c>
      <c r="AR1048">
        <f t="shared" si="499"/>
        <v>54</v>
      </c>
      <c r="AS1048">
        <f t="shared" si="500"/>
        <v>95</v>
      </c>
      <c r="AT1048">
        <f t="shared" si="501"/>
        <v>87</v>
      </c>
      <c r="AU1048">
        <f t="shared" si="502"/>
        <v>55</v>
      </c>
      <c r="AV1048">
        <f t="shared" si="503"/>
        <v>49</v>
      </c>
      <c r="AW1048">
        <f t="shared" si="504"/>
        <v>36</v>
      </c>
      <c r="AX1048">
        <f t="shared" si="505"/>
        <v>94</v>
      </c>
      <c r="AY1048">
        <f t="shared" si="506"/>
        <v>86</v>
      </c>
      <c r="AZ1048">
        <f t="shared" si="507"/>
        <v>54</v>
      </c>
      <c r="BA1048">
        <f t="shared" si="508"/>
        <v>48</v>
      </c>
      <c r="BB1048">
        <f t="shared" si="509"/>
        <v>35</v>
      </c>
    </row>
    <row r="1049" spans="1:54" x14ac:dyDescent="0.15">
      <c r="B1049" t="s">
        <v>3675</v>
      </c>
      <c r="C1049">
        <v>809</v>
      </c>
      <c r="D1049">
        <v>0</v>
      </c>
      <c r="E1049" t="s">
        <v>3676</v>
      </c>
      <c r="G1049" t="s">
        <v>3676</v>
      </c>
      <c r="J1049" t="s">
        <v>3674</v>
      </c>
      <c r="K1049">
        <v>800</v>
      </c>
      <c r="L1049">
        <v>2.5</v>
      </c>
      <c r="M1049" t="s">
        <v>203</v>
      </c>
      <c r="O1049" t="s">
        <v>629</v>
      </c>
      <c r="R1049">
        <v>8</v>
      </c>
      <c r="S1049">
        <v>135</v>
      </c>
      <c r="T1049">
        <v>143</v>
      </c>
      <c r="U1049">
        <v>143</v>
      </c>
      <c r="V1049">
        <v>80</v>
      </c>
      <c r="W1049">
        <v>65</v>
      </c>
      <c r="X1049">
        <v>34</v>
      </c>
      <c r="Y1049">
        <f t="shared" si="480"/>
        <v>242</v>
      </c>
      <c r="Z1049">
        <f t="shared" si="481"/>
        <v>242</v>
      </c>
      <c r="AA1049">
        <f t="shared" si="482"/>
        <v>210</v>
      </c>
      <c r="AB1049">
        <f t="shared" si="483"/>
        <v>210</v>
      </c>
      <c r="AC1049">
        <f t="shared" si="484"/>
        <v>195</v>
      </c>
      <c r="AD1049">
        <f t="shared" si="485"/>
        <v>214</v>
      </c>
      <c r="AE1049">
        <f t="shared" si="486"/>
        <v>195</v>
      </c>
      <c r="AF1049">
        <f t="shared" si="487"/>
        <v>163</v>
      </c>
      <c r="AG1049">
        <f t="shared" si="488"/>
        <v>146</v>
      </c>
      <c r="AH1049">
        <f t="shared" si="489"/>
        <v>133</v>
      </c>
      <c r="AI1049">
        <f t="shared" si="490"/>
        <v>214</v>
      </c>
      <c r="AJ1049">
        <f t="shared" si="491"/>
        <v>195</v>
      </c>
      <c r="AK1049">
        <f t="shared" si="492"/>
        <v>163</v>
      </c>
      <c r="AL1049">
        <f t="shared" si="493"/>
        <v>146</v>
      </c>
      <c r="AM1049">
        <f t="shared" si="494"/>
        <v>133</v>
      </c>
      <c r="AN1049">
        <f t="shared" si="495"/>
        <v>145</v>
      </c>
      <c r="AO1049">
        <f t="shared" si="496"/>
        <v>132</v>
      </c>
      <c r="AP1049">
        <f t="shared" si="497"/>
        <v>100</v>
      </c>
      <c r="AQ1049">
        <f t="shared" si="498"/>
        <v>90</v>
      </c>
      <c r="AR1049">
        <f t="shared" si="499"/>
        <v>76</v>
      </c>
      <c r="AS1049">
        <f t="shared" si="500"/>
        <v>128</v>
      </c>
      <c r="AT1049">
        <f t="shared" si="501"/>
        <v>117</v>
      </c>
      <c r="AU1049">
        <f t="shared" si="502"/>
        <v>85</v>
      </c>
      <c r="AV1049">
        <f t="shared" si="503"/>
        <v>76</v>
      </c>
      <c r="AW1049">
        <f t="shared" si="504"/>
        <v>63</v>
      </c>
      <c r="AX1049">
        <f t="shared" si="505"/>
        <v>94</v>
      </c>
      <c r="AY1049">
        <f t="shared" si="506"/>
        <v>86</v>
      </c>
      <c r="AZ1049">
        <f t="shared" si="507"/>
        <v>54</v>
      </c>
      <c r="BA1049">
        <f t="shared" si="508"/>
        <v>48</v>
      </c>
      <c r="BB1049">
        <f t="shared" si="509"/>
        <v>35</v>
      </c>
    </row>
    <row r="1050" spans="1:54" x14ac:dyDescent="0.15">
      <c r="B1050" t="s">
        <v>3677</v>
      </c>
      <c r="C1050">
        <v>809</v>
      </c>
      <c r="D1050">
        <v>999</v>
      </c>
      <c r="E1050" t="s">
        <v>3676</v>
      </c>
      <c r="F1050" t="s">
        <v>40</v>
      </c>
      <c r="G1050" t="s">
        <v>3678</v>
      </c>
      <c r="J1050" t="s">
        <v>3674</v>
      </c>
      <c r="K1050">
        <v>9999.9</v>
      </c>
      <c r="L1050">
        <v>25</v>
      </c>
      <c r="M1050" t="s">
        <v>203</v>
      </c>
      <c r="O1050" t="s">
        <v>629</v>
      </c>
      <c r="R1050">
        <v>8</v>
      </c>
      <c r="S1050">
        <v>135</v>
      </c>
      <c r="T1050">
        <v>143</v>
      </c>
      <c r="U1050">
        <v>143</v>
      </c>
      <c r="V1050">
        <v>80</v>
      </c>
      <c r="W1050">
        <v>65</v>
      </c>
      <c r="X1050">
        <v>34</v>
      </c>
      <c r="Y1050">
        <f t="shared" si="480"/>
        <v>242</v>
      </c>
      <c r="Z1050">
        <f t="shared" si="481"/>
        <v>242</v>
      </c>
      <c r="AA1050">
        <f t="shared" si="482"/>
        <v>210</v>
      </c>
      <c r="AB1050">
        <f t="shared" si="483"/>
        <v>210</v>
      </c>
      <c r="AC1050">
        <f t="shared" si="484"/>
        <v>195</v>
      </c>
      <c r="AD1050">
        <f t="shared" si="485"/>
        <v>214</v>
      </c>
      <c r="AE1050">
        <f t="shared" si="486"/>
        <v>195</v>
      </c>
      <c r="AF1050">
        <f t="shared" si="487"/>
        <v>163</v>
      </c>
      <c r="AG1050">
        <f t="shared" si="488"/>
        <v>146</v>
      </c>
      <c r="AH1050">
        <f t="shared" si="489"/>
        <v>133</v>
      </c>
      <c r="AI1050">
        <f t="shared" si="490"/>
        <v>214</v>
      </c>
      <c r="AJ1050">
        <f t="shared" si="491"/>
        <v>195</v>
      </c>
      <c r="AK1050">
        <f t="shared" si="492"/>
        <v>163</v>
      </c>
      <c r="AL1050">
        <f t="shared" si="493"/>
        <v>146</v>
      </c>
      <c r="AM1050">
        <f t="shared" si="494"/>
        <v>133</v>
      </c>
      <c r="AN1050">
        <f t="shared" si="495"/>
        <v>145</v>
      </c>
      <c r="AO1050">
        <f t="shared" si="496"/>
        <v>132</v>
      </c>
      <c r="AP1050">
        <f t="shared" si="497"/>
        <v>100</v>
      </c>
      <c r="AQ1050">
        <f t="shared" si="498"/>
        <v>90</v>
      </c>
      <c r="AR1050">
        <f t="shared" si="499"/>
        <v>76</v>
      </c>
      <c r="AS1050">
        <f t="shared" si="500"/>
        <v>128</v>
      </c>
      <c r="AT1050">
        <f t="shared" si="501"/>
        <v>117</v>
      </c>
      <c r="AU1050">
        <f t="shared" si="502"/>
        <v>85</v>
      </c>
      <c r="AV1050">
        <f t="shared" si="503"/>
        <v>76</v>
      </c>
      <c r="AW1050">
        <f t="shared" si="504"/>
        <v>63</v>
      </c>
      <c r="AX1050">
        <f t="shared" si="505"/>
        <v>94</v>
      </c>
      <c r="AY1050">
        <f t="shared" si="506"/>
        <v>86</v>
      </c>
      <c r="AZ1050">
        <f t="shared" si="507"/>
        <v>54</v>
      </c>
      <c r="BA1050">
        <f t="shared" si="508"/>
        <v>48</v>
      </c>
      <c r="BB1050">
        <f t="shared" si="509"/>
        <v>35</v>
      </c>
    </row>
    <row r="1051" spans="1:54" x14ac:dyDescent="0.15">
      <c r="A1051">
        <v>749</v>
      </c>
      <c r="B1051" t="s">
        <v>3679</v>
      </c>
      <c r="C1051">
        <v>810</v>
      </c>
      <c r="D1051">
        <v>0</v>
      </c>
      <c r="E1051" t="s">
        <v>3680</v>
      </c>
      <c r="G1051" t="s">
        <v>3680</v>
      </c>
      <c r="H1051" t="s">
        <v>3681</v>
      </c>
      <c r="J1051" t="s">
        <v>1821</v>
      </c>
      <c r="K1051">
        <v>5</v>
      </c>
      <c r="L1051">
        <v>0.3</v>
      </c>
      <c r="M1051" t="s">
        <v>26</v>
      </c>
      <c r="O1051" t="s">
        <v>28</v>
      </c>
      <c r="P1051" t="s">
        <v>3588</v>
      </c>
      <c r="R1051">
        <v>9</v>
      </c>
      <c r="S1051">
        <v>50</v>
      </c>
      <c r="T1051">
        <v>65</v>
      </c>
      <c r="U1051">
        <v>50</v>
      </c>
      <c r="V1051">
        <v>40</v>
      </c>
      <c r="W1051">
        <v>40</v>
      </c>
      <c r="X1051">
        <v>65</v>
      </c>
      <c r="Y1051">
        <f t="shared" si="480"/>
        <v>157</v>
      </c>
      <c r="Z1051">
        <f t="shared" si="481"/>
        <v>157</v>
      </c>
      <c r="AA1051">
        <f t="shared" si="482"/>
        <v>125</v>
      </c>
      <c r="AB1051">
        <f t="shared" si="483"/>
        <v>125</v>
      </c>
      <c r="AC1051">
        <f t="shared" si="484"/>
        <v>110</v>
      </c>
      <c r="AD1051">
        <f t="shared" si="485"/>
        <v>128</v>
      </c>
      <c r="AE1051">
        <f t="shared" si="486"/>
        <v>117</v>
      </c>
      <c r="AF1051">
        <f t="shared" si="487"/>
        <v>85</v>
      </c>
      <c r="AG1051">
        <f t="shared" si="488"/>
        <v>76</v>
      </c>
      <c r="AH1051">
        <f t="shared" si="489"/>
        <v>63</v>
      </c>
      <c r="AI1051">
        <f t="shared" si="490"/>
        <v>112</v>
      </c>
      <c r="AJ1051">
        <f t="shared" si="491"/>
        <v>102</v>
      </c>
      <c r="AK1051">
        <f t="shared" si="492"/>
        <v>70</v>
      </c>
      <c r="AL1051">
        <f t="shared" si="493"/>
        <v>63</v>
      </c>
      <c r="AM1051">
        <f t="shared" si="494"/>
        <v>49</v>
      </c>
      <c r="AN1051">
        <f t="shared" si="495"/>
        <v>101</v>
      </c>
      <c r="AO1051">
        <f t="shared" si="496"/>
        <v>92</v>
      </c>
      <c r="AP1051">
        <f t="shared" si="497"/>
        <v>60</v>
      </c>
      <c r="AQ1051">
        <f t="shared" si="498"/>
        <v>54</v>
      </c>
      <c r="AR1051">
        <f t="shared" si="499"/>
        <v>40</v>
      </c>
      <c r="AS1051">
        <f t="shared" si="500"/>
        <v>101</v>
      </c>
      <c r="AT1051">
        <f t="shared" si="501"/>
        <v>92</v>
      </c>
      <c r="AU1051">
        <f t="shared" si="502"/>
        <v>60</v>
      </c>
      <c r="AV1051">
        <f t="shared" si="503"/>
        <v>54</v>
      </c>
      <c r="AW1051">
        <f t="shared" si="504"/>
        <v>40</v>
      </c>
      <c r="AX1051">
        <f t="shared" si="505"/>
        <v>128</v>
      </c>
      <c r="AY1051">
        <f t="shared" si="506"/>
        <v>117</v>
      </c>
      <c r="AZ1051">
        <f t="shared" si="507"/>
        <v>85</v>
      </c>
      <c r="BA1051">
        <f t="shared" si="508"/>
        <v>76</v>
      </c>
      <c r="BB1051">
        <f t="shared" si="509"/>
        <v>63</v>
      </c>
    </row>
    <row r="1052" spans="1:54" x14ac:dyDescent="0.15">
      <c r="A1052">
        <v>750</v>
      </c>
      <c r="B1052" t="s">
        <v>3682</v>
      </c>
      <c r="C1052">
        <v>811</v>
      </c>
      <c r="D1052">
        <v>0</v>
      </c>
      <c r="E1052" t="s">
        <v>3683</v>
      </c>
      <c r="G1052" t="s">
        <v>3683</v>
      </c>
      <c r="H1052" t="s">
        <v>3684</v>
      </c>
      <c r="J1052" t="s">
        <v>3685</v>
      </c>
      <c r="K1052">
        <v>14</v>
      </c>
      <c r="L1052">
        <v>0.7</v>
      </c>
      <c r="M1052" t="s">
        <v>26</v>
      </c>
      <c r="O1052" t="s">
        <v>28</v>
      </c>
      <c r="P1052" t="s">
        <v>3588</v>
      </c>
      <c r="R1052">
        <v>9</v>
      </c>
      <c r="S1052">
        <v>70</v>
      </c>
      <c r="T1052">
        <v>85</v>
      </c>
      <c r="U1052">
        <v>70</v>
      </c>
      <c r="V1052">
        <v>55</v>
      </c>
      <c r="W1052">
        <v>60</v>
      </c>
      <c r="X1052">
        <v>80</v>
      </c>
      <c r="Y1052">
        <f t="shared" si="480"/>
        <v>177</v>
      </c>
      <c r="Z1052">
        <f t="shared" si="481"/>
        <v>177</v>
      </c>
      <c r="AA1052">
        <f t="shared" si="482"/>
        <v>145</v>
      </c>
      <c r="AB1052">
        <f t="shared" si="483"/>
        <v>145</v>
      </c>
      <c r="AC1052">
        <f t="shared" si="484"/>
        <v>130</v>
      </c>
      <c r="AD1052">
        <f t="shared" si="485"/>
        <v>150</v>
      </c>
      <c r="AE1052">
        <f t="shared" si="486"/>
        <v>137</v>
      </c>
      <c r="AF1052">
        <f t="shared" si="487"/>
        <v>105</v>
      </c>
      <c r="AG1052">
        <f t="shared" si="488"/>
        <v>94</v>
      </c>
      <c r="AH1052">
        <f t="shared" si="489"/>
        <v>81</v>
      </c>
      <c r="AI1052">
        <f t="shared" si="490"/>
        <v>134</v>
      </c>
      <c r="AJ1052">
        <f t="shared" si="491"/>
        <v>122</v>
      </c>
      <c r="AK1052">
        <f t="shared" si="492"/>
        <v>90</v>
      </c>
      <c r="AL1052">
        <f t="shared" si="493"/>
        <v>81</v>
      </c>
      <c r="AM1052">
        <f t="shared" si="494"/>
        <v>67</v>
      </c>
      <c r="AN1052">
        <f t="shared" si="495"/>
        <v>117</v>
      </c>
      <c r="AO1052">
        <f t="shared" si="496"/>
        <v>107</v>
      </c>
      <c r="AP1052">
        <f t="shared" si="497"/>
        <v>75</v>
      </c>
      <c r="AQ1052">
        <f t="shared" si="498"/>
        <v>67</v>
      </c>
      <c r="AR1052">
        <f t="shared" si="499"/>
        <v>54</v>
      </c>
      <c r="AS1052">
        <f t="shared" si="500"/>
        <v>123</v>
      </c>
      <c r="AT1052">
        <f t="shared" si="501"/>
        <v>112</v>
      </c>
      <c r="AU1052">
        <f t="shared" si="502"/>
        <v>80</v>
      </c>
      <c r="AV1052">
        <f t="shared" si="503"/>
        <v>72</v>
      </c>
      <c r="AW1052">
        <f t="shared" si="504"/>
        <v>58</v>
      </c>
      <c r="AX1052">
        <f t="shared" si="505"/>
        <v>145</v>
      </c>
      <c r="AY1052">
        <f t="shared" si="506"/>
        <v>132</v>
      </c>
      <c r="AZ1052">
        <f t="shared" si="507"/>
        <v>100</v>
      </c>
      <c r="BA1052">
        <f t="shared" si="508"/>
        <v>90</v>
      </c>
      <c r="BB1052">
        <f t="shared" si="509"/>
        <v>76</v>
      </c>
    </row>
    <row r="1053" spans="1:54" x14ac:dyDescent="0.15">
      <c r="A1053">
        <v>751</v>
      </c>
      <c r="B1053" t="s">
        <v>3686</v>
      </c>
      <c r="C1053">
        <v>812</v>
      </c>
      <c r="D1053">
        <v>0</v>
      </c>
      <c r="E1053" t="s">
        <v>3687</v>
      </c>
      <c r="G1053" t="s">
        <v>3687</v>
      </c>
      <c r="H1053" t="s">
        <v>3688</v>
      </c>
      <c r="J1053" t="s">
        <v>3689</v>
      </c>
      <c r="K1053">
        <v>90</v>
      </c>
      <c r="L1053">
        <v>2.1</v>
      </c>
      <c r="M1053" t="s">
        <v>26</v>
      </c>
      <c r="O1053" t="s">
        <v>28</v>
      </c>
      <c r="P1053" t="s">
        <v>3588</v>
      </c>
      <c r="R1053">
        <v>9</v>
      </c>
      <c r="S1053">
        <v>100</v>
      </c>
      <c r="T1053">
        <v>125</v>
      </c>
      <c r="U1053">
        <v>90</v>
      </c>
      <c r="V1053">
        <v>60</v>
      </c>
      <c r="W1053">
        <v>70</v>
      </c>
      <c r="X1053">
        <v>85</v>
      </c>
      <c r="Y1053">
        <f t="shared" si="480"/>
        <v>207</v>
      </c>
      <c r="Z1053">
        <f t="shared" si="481"/>
        <v>207</v>
      </c>
      <c r="AA1053">
        <f t="shared" si="482"/>
        <v>175</v>
      </c>
      <c r="AB1053">
        <f t="shared" si="483"/>
        <v>175</v>
      </c>
      <c r="AC1053">
        <f t="shared" si="484"/>
        <v>160</v>
      </c>
      <c r="AD1053">
        <f t="shared" si="485"/>
        <v>194</v>
      </c>
      <c r="AE1053">
        <f t="shared" si="486"/>
        <v>177</v>
      </c>
      <c r="AF1053">
        <f t="shared" si="487"/>
        <v>145</v>
      </c>
      <c r="AG1053">
        <f t="shared" si="488"/>
        <v>130</v>
      </c>
      <c r="AH1053">
        <f t="shared" si="489"/>
        <v>117</v>
      </c>
      <c r="AI1053">
        <f t="shared" si="490"/>
        <v>156</v>
      </c>
      <c r="AJ1053">
        <f t="shared" si="491"/>
        <v>142</v>
      </c>
      <c r="AK1053">
        <f t="shared" si="492"/>
        <v>110</v>
      </c>
      <c r="AL1053">
        <f t="shared" si="493"/>
        <v>99</v>
      </c>
      <c r="AM1053">
        <f t="shared" si="494"/>
        <v>85</v>
      </c>
      <c r="AN1053">
        <f t="shared" si="495"/>
        <v>123</v>
      </c>
      <c r="AO1053">
        <f t="shared" si="496"/>
        <v>112</v>
      </c>
      <c r="AP1053">
        <f t="shared" si="497"/>
        <v>80</v>
      </c>
      <c r="AQ1053">
        <f t="shared" si="498"/>
        <v>72</v>
      </c>
      <c r="AR1053">
        <f t="shared" si="499"/>
        <v>58</v>
      </c>
      <c r="AS1053">
        <f t="shared" si="500"/>
        <v>134</v>
      </c>
      <c r="AT1053">
        <f t="shared" si="501"/>
        <v>122</v>
      </c>
      <c r="AU1053">
        <f t="shared" si="502"/>
        <v>90</v>
      </c>
      <c r="AV1053">
        <f t="shared" si="503"/>
        <v>81</v>
      </c>
      <c r="AW1053">
        <f t="shared" si="504"/>
        <v>67</v>
      </c>
      <c r="AX1053">
        <f t="shared" si="505"/>
        <v>150</v>
      </c>
      <c r="AY1053">
        <f t="shared" si="506"/>
        <v>137</v>
      </c>
      <c r="AZ1053">
        <f t="shared" si="507"/>
        <v>105</v>
      </c>
      <c r="BA1053">
        <f t="shared" si="508"/>
        <v>94</v>
      </c>
      <c r="BB1053">
        <f t="shared" si="509"/>
        <v>81</v>
      </c>
    </row>
    <row r="1054" spans="1:54" x14ac:dyDescent="0.15">
      <c r="B1054" t="s">
        <v>3690</v>
      </c>
      <c r="C1054">
        <v>812</v>
      </c>
      <c r="D1054">
        <v>999</v>
      </c>
      <c r="E1054" t="s">
        <v>3687</v>
      </c>
      <c r="F1054" t="s">
        <v>40</v>
      </c>
      <c r="G1054" t="s">
        <v>3691</v>
      </c>
      <c r="J1054" t="s">
        <v>42</v>
      </c>
      <c r="K1054">
        <v>9999.9</v>
      </c>
      <c r="L1054">
        <v>28</v>
      </c>
      <c r="M1054" t="s">
        <v>26</v>
      </c>
      <c r="O1054" t="s">
        <v>28</v>
      </c>
      <c r="P1054" t="s">
        <v>3588</v>
      </c>
      <c r="R1054">
        <v>8</v>
      </c>
      <c r="S1054">
        <v>100</v>
      </c>
      <c r="T1054">
        <v>125</v>
      </c>
      <c r="U1054">
        <v>90</v>
      </c>
      <c r="V1054">
        <v>60</v>
      </c>
      <c r="W1054">
        <v>70</v>
      </c>
      <c r="X1054">
        <v>85</v>
      </c>
      <c r="Y1054">
        <f t="shared" si="480"/>
        <v>207</v>
      </c>
      <c r="Z1054">
        <f t="shared" si="481"/>
        <v>207</v>
      </c>
      <c r="AA1054">
        <f t="shared" si="482"/>
        <v>175</v>
      </c>
      <c r="AB1054">
        <f t="shared" si="483"/>
        <v>175</v>
      </c>
      <c r="AC1054">
        <f t="shared" si="484"/>
        <v>160</v>
      </c>
      <c r="AD1054">
        <f t="shared" si="485"/>
        <v>194</v>
      </c>
      <c r="AE1054">
        <f t="shared" si="486"/>
        <v>177</v>
      </c>
      <c r="AF1054">
        <f t="shared" si="487"/>
        <v>145</v>
      </c>
      <c r="AG1054">
        <f t="shared" si="488"/>
        <v>130</v>
      </c>
      <c r="AH1054">
        <f t="shared" si="489"/>
        <v>117</v>
      </c>
      <c r="AI1054">
        <f t="shared" si="490"/>
        <v>156</v>
      </c>
      <c r="AJ1054">
        <f t="shared" si="491"/>
        <v>142</v>
      </c>
      <c r="AK1054">
        <f t="shared" si="492"/>
        <v>110</v>
      </c>
      <c r="AL1054">
        <f t="shared" si="493"/>
        <v>99</v>
      </c>
      <c r="AM1054">
        <f t="shared" si="494"/>
        <v>85</v>
      </c>
      <c r="AN1054">
        <f t="shared" si="495"/>
        <v>123</v>
      </c>
      <c r="AO1054">
        <f t="shared" si="496"/>
        <v>112</v>
      </c>
      <c r="AP1054">
        <f t="shared" si="497"/>
        <v>80</v>
      </c>
      <c r="AQ1054">
        <f t="shared" si="498"/>
        <v>72</v>
      </c>
      <c r="AR1054">
        <f t="shared" si="499"/>
        <v>58</v>
      </c>
      <c r="AS1054">
        <f t="shared" si="500"/>
        <v>134</v>
      </c>
      <c r="AT1054">
        <f t="shared" si="501"/>
        <v>122</v>
      </c>
      <c r="AU1054">
        <f t="shared" si="502"/>
        <v>90</v>
      </c>
      <c r="AV1054">
        <f t="shared" si="503"/>
        <v>81</v>
      </c>
      <c r="AW1054">
        <f t="shared" si="504"/>
        <v>67</v>
      </c>
      <c r="AX1054">
        <f t="shared" si="505"/>
        <v>150</v>
      </c>
      <c r="AY1054">
        <f t="shared" si="506"/>
        <v>137</v>
      </c>
      <c r="AZ1054">
        <f t="shared" si="507"/>
        <v>105</v>
      </c>
      <c r="BA1054">
        <f t="shared" si="508"/>
        <v>94</v>
      </c>
      <c r="BB1054">
        <f t="shared" si="509"/>
        <v>81</v>
      </c>
    </row>
    <row r="1055" spans="1:54" x14ac:dyDescent="0.15">
      <c r="A1055">
        <v>755</v>
      </c>
      <c r="B1055" t="s">
        <v>3692</v>
      </c>
      <c r="C1055">
        <v>813</v>
      </c>
      <c r="D1055">
        <v>0</v>
      </c>
      <c r="E1055" t="s">
        <v>3693</v>
      </c>
      <c r="G1055" t="s">
        <v>3693</v>
      </c>
      <c r="H1055" t="s">
        <v>3694</v>
      </c>
      <c r="J1055" t="s">
        <v>1967</v>
      </c>
      <c r="K1055">
        <v>4.5</v>
      </c>
      <c r="L1055">
        <v>0.3</v>
      </c>
      <c r="M1055" t="s">
        <v>47</v>
      </c>
      <c r="O1055" t="s">
        <v>48</v>
      </c>
      <c r="P1055" t="s">
        <v>3695</v>
      </c>
      <c r="R1055">
        <v>9</v>
      </c>
      <c r="S1055">
        <v>50</v>
      </c>
      <c r="T1055">
        <v>71</v>
      </c>
      <c r="U1055">
        <v>40</v>
      </c>
      <c r="V1055">
        <v>40</v>
      </c>
      <c r="W1055">
        <v>40</v>
      </c>
      <c r="X1055">
        <v>69</v>
      </c>
      <c r="Y1055">
        <f t="shared" si="480"/>
        <v>157</v>
      </c>
      <c r="Z1055">
        <f t="shared" si="481"/>
        <v>157</v>
      </c>
      <c r="AA1055">
        <f t="shared" si="482"/>
        <v>125</v>
      </c>
      <c r="AB1055">
        <f t="shared" si="483"/>
        <v>125</v>
      </c>
      <c r="AC1055">
        <f t="shared" si="484"/>
        <v>110</v>
      </c>
      <c r="AD1055">
        <f t="shared" si="485"/>
        <v>135</v>
      </c>
      <c r="AE1055">
        <f t="shared" si="486"/>
        <v>123</v>
      </c>
      <c r="AF1055">
        <f t="shared" si="487"/>
        <v>91</v>
      </c>
      <c r="AG1055">
        <f t="shared" si="488"/>
        <v>81</v>
      </c>
      <c r="AH1055">
        <f t="shared" si="489"/>
        <v>68</v>
      </c>
      <c r="AI1055">
        <f t="shared" si="490"/>
        <v>101</v>
      </c>
      <c r="AJ1055">
        <f t="shared" si="491"/>
        <v>92</v>
      </c>
      <c r="AK1055">
        <f t="shared" si="492"/>
        <v>60</v>
      </c>
      <c r="AL1055">
        <f t="shared" si="493"/>
        <v>54</v>
      </c>
      <c r="AM1055">
        <f t="shared" si="494"/>
        <v>40</v>
      </c>
      <c r="AN1055">
        <f t="shared" si="495"/>
        <v>101</v>
      </c>
      <c r="AO1055">
        <f t="shared" si="496"/>
        <v>92</v>
      </c>
      <c r="AP1055">
        <f t="shared" si="497"/>
        <v>60</v>
      </c>
      <c r="AQ1055">
        <f t="shared" si="498"/>
        <v>54</v>
      </c>
      <c r="AR1055">
        <f t="shared" si="499"/>
        <v>40</v>
      </c>
      <c r="AS1055">
        <f t="shared" si="500"/>
        <v>101</v>
      </c>
      <c r="AT1055">
        <f t="shared" si="501"/>
        <v>92</v>
      </c>
      <c r="AU1055">
        <f t="shared" si="502"/>
        <v>60</v>
      </c>
      <c r="AV1055">
        <f t="shared" si="503"/>
        <v>54</v>
      </c>
      <c r="AW1055">
        <f t="shared" si="504"/>
        <v>40</v>
      </c>
      <c r="AX1055">
        <f t="shared" si="505"/>
        <v>133</v>
      </c>
      <c r="AY1055">
        <f t="shared" si="506"/>
        <v>121</v>
      </c>
      <c r="AZ1055">
        <f t="shared" si="507"/>
        <v>89</v>
      </c>
      <c r="BA1055">
        <f t="shared" si="508"/>
        <v>80</v>
      </c>
      <c r="BB1055">
        <f t="shared" si="509"/>
        <v>66</v>
      </c>
    </row>
    <row r="1056" spans="1:54" x14ac:dyDescent="0.15">
      <c r="A1056">
        <v>756</v>
      </c>
      <c r="B1056" t="s">
        <v>3696</v>
      </c>
      <c r="C1056">
        <v>814</v>
      </c>
      <c r="D1056">
        <v>0</v>
      </c>
      <c r="E1056" t="s">
        <v>3697</v>
      </c>
      <c r="G1056" t="s">
        <v>3697</v>
      </c>
      <c r="H1056" t="s">
        <v>3698</v>
      </c>
      <c r="J1056" t="s">
        <v>1967</v>
      </c>
      <c r="K1056">
        <v>9</v>
      </c>
      <c r="L1056">
        <v>0.6</v>
      </c>
      <c r="M1056" t="s">
        <v>47</v>
      </c>
      <c r="O1056" t="s">
        <v>48</v>
      </c>
      <c r="P1056" t="s">
        <v>3695</v>
      </c>
      <c r="R1056">
        <v>9</v>
      </c>
      <c r="S1056">
        <v>65</v>
      </c>
      <c r="T1056">
        <v>86</v>
      </c>
      <c r="U1056">
        <v>60</v>
      </c>
      <c r="V1056">
        <v>55</v>
      </c>
      <c r="W1056">
        <v>60</v>
      </c>
      <c r="X1056">
        <v>94</v>
      </c>
      <c r="Y1056">
        <f t="shared" si="480"/>
        <v>172</v>
      </c>
      <c r="Z1056">
        <f t="shared" si="481"/>
        <v>172</v>
      </c>
      <c r="AA1056">
        <f t="shared" si="482"/>
        <v>140</v>
      </c>
      <c r="AB1056">
        <f t="shared" si="483"/>
        <v>140</v>
      </c>
      <c r="AC1056">
        <f t="shared" si="484"/>
        <v>125</v>
      </c>
      <c r="AD1056">
        <f t="shared" si="485"/>
        <v>151</v>
      </c>
      <c r="AE1056">
        <f t="shared" si="486"/>
        <v>138</v>
      </c>
      <c r="AF1056">
        <f t="shared" si="487"/>
        <v>106</v>
      </c>
      <c r="AG1056">
        <f t="shared" si="488"/>
        <v>95</v>
      </c>
      <c r="AH1056">
        <f t="shared" si="489"/>
        <v>81</v>
      </c>
      <c r="AI1056">
        <f t="shared" si="490"/>
        <v>123</v>
      </c>
      <c r="AJ1056">
        <f t="shared" si="491"/>
        <v>112</v>
      </c>
      <c r="AK1056">
        <f t="shared" si="492"/>
        <v>80</v>
      </c>
      <c r="AL1056">
        <f t="shared" si="493"/>
        <v>72</v>
      </c>
      <c r="AM1056">
        <f t="shared" si="494"/>
        <v>58</v>
      </c>
      <c r="AN1056">
        <f t="shared" si="495"/>
        <v>117</v>
      </c>
      <c r="AO1056">
        <f t="shared" si="496"/>
        <v>107</v>
      </c>
      <c r="AP1056">
        <f t="shared" si="497"/>
        <v>75</v>
      </c>
      <c r="AQ1056">
        <f t="shared" si="498"/>
        <v>67</v>
      </c>
      <c r="AR1056">
        <f t="shared" si="499"/>
        <v>54</v>
      </c>
      <c r="AS1056">
        <f t="shared" si="500"/>
        <v>123</v>
      </c>
      <c r="AT1056">
        <f t="shared" si="501"/>
        <v>112</v>
      </c>
      <c r="AU1056">
        <f t="shared" si="502"/>
        <v>80</v>
      </c>
      <c r="AV1056">
        <f t="shared" si="503"/>
        <v>72</v>
      </c>
      <c r="AW1056">
        <f t="shared" si="504"/>
        <v>58</v>
      </c>
      <c r="AX1056">
        <f t="shared" si="505"/>
        <v>160</v>
      </c>
      <c r="AY1056">
        <f t="shared" si="506"/>
        <v>146</v>
      </c>
      <c r="AZ1056">
        <f t="shared" si="507"/>
        <v>114</v>
      </c>
      <c r="BA1056">
        <f t="shared" si="508"/>
        <v>102</v>
      </c>
      <c r="BB1056">
        <f t="shared" si="509"/>
        <v>89</v>
      </c>
    </row>
    <row r="1057" spans="1:54" x14ac:dyDescent="0.15">
      <c r="A1057">
        <v>757</v>
      </c>
      <c r="B1057" t="s">
        <v>3699</v>
      </c>
      <c r="C1057">
        <v>815</v>
      </c>
      <c r="D1057">
        <v>0</v>
      </c>
      <c r="E1057" t="s">
        <v>3700</v>
      </c>
      <c r="G1057" t="s">
        <v>3700</v>
      </c>
      <c r="H1057" t="s">
        <v>3701</v>
      </c>
      <c r="J1057" t="s">
        <v>3702</v>
      </c>
      <c r="K1057">
        <v>33</v>
      </c>
      <c r="L1057">
        <v>1.4</v>
      </c>
      <c r="M1057" t="s">
        <v>47</v>
      </c>
      <c r="O1057" t="s">
        <v>48</v>
      </c>
      <c r="P1057" t="s">
        <v>3695</v>
      </c>
      <c r="R1057">
        <v>9</v>
      </c>
      <c r="S1057">
        <v>80</v>
      </c>
      <c r="T1057">
        <v>116</v>
      </c>
      <c r="U1057">
        <v>75</v>
      </c>
      <c r="V1057">
        <v>65</v>
      </c>
      <c r="W1057">
        <v>75</v>
      </c>
      <c r="X1057">
        <v>119</v>
      </c>
      <c r="Y1057">
        <f t="shared" si="480"/>
        <v>187</v>
      </c>
      <c r="Z1057">
        <f t="shared" si="481"/>
        <v>187</v>
      </c>
      <c r="AA1057">
        <f t="shared" si="482"/>
        <v>155</v>
      </c>
      <c r="AB1057">
        <f t="shared" si="483"/>
        <v>155</v>
      </c>
      <c r="AC1057">
        <f t="shared" si="484"/>
        <v>140</v>
      </c>
      <c r="AD1057">
        <f t="shared" si="485"/>
        <v>184</v>
      </c>
      <c r="AE1057">
        <f t="shared" si="486"/>
        <v>168</v>
      </c>
      <c r="AF1057">
        <f t="shared" si="487"/>
        <v>136</v>
      </c>
      <c r="AG1057">
        <f t="shared" si="488"/>
        <v>122</v>
      </c>
      <c r="AH1057">
        <f t="shared" si="489"/>
        <v>108</v>
      </c>
      <c r="AI1057">
        <f t="shared" si="490"/>
        <v>139</v>
      </c>
      <c r="AJ1057">
        <f t="shared" si="491"/>
        <v>127</v>
      </c>
      <c r="AK1057">
        <f t="shared" si="492"/>
        <v>95</v>
      </c>
      <c r="AL1057">
        <f t="shared" si="493"/>
        <v>85</v>
      </c>
      <c r="AM1057">
        <f t="shared" si="494"/>
        <v>72</v>
      </c>
      <c r="AN1057">
        <f t="shared" si="495"/>
        <v>128</v>
      </c>
      <c r="AO1057">
        <f t="shared" si="496"/>
        <v>117</v>
      </c>
      <c r="AP1057">
        <f t="shared" si="497"/>
        <v>85</v>
      </c>
      <c r="AQ1057">
        <f t="shared" si="498"/>
        <v>76</v>
      </c>
      <c r="AR1057">
        <f t="shared" si="499"/>
        <v>63</v>
      </c>
      <c r="AS1057">
        <f t="shared" si="500"/>
        <v>139</v>
      </c>
      <c r="AT1057">
        <f t="shared" si="501"/>
        <v>127</v>
      </c>
      <c r="AU1057">
        <f t="shared" si="502"/>
        <v>95</v>
      </c>
      <c r="AV1057">
        <f t="shared" si="503"/>
        <v>85</v>
      </c>
      <c r="AW1057">
        <f t="shared" si="504"/>
        <v>72</v>
      </c>
      <c r="AX1057">
        <f t="shared" si="505"/>
        <v>188</v>
      </c>
      <c r="AY1057">
        <f t="shared" si="506"/>
        <v>171</v>
      </c>
      <c r="AZ1057">
        <f t="shared" si="507"/>
        <v>139</v>
      </c>
      <c r="BA1057">
        <f t="shared" si="508"/>
        <v>125</v>
      </c>
      <c r="BB1057">
        <f t="shared" si="509"/>
        <v>111</v>
      </c>
    </row>
    <row r="1058" spans="1:54" x14ac:dyDescent="0.15">
      <c r="B1058" t="s">
        <v>3703</v>
      </c>
      <c r="C1058">
        <v>815</v>
      </c>
      <c r="D1058">
        <v>999</v>
      </c>
      <c r="E1058" t="s">
        <v>3700</v>
      </c>
      <c r="F1058" t="s">
        <v>40</v>
      </c>
      <c r="G1058" t="s">
        <v>3704</v>
      </c>
      <c r="J1058" t="s">
        <v>42</v>
      </c>
      <c r="K1058">
        <v>9999.9</v>
      </c>
      <c r="L1058">
        <v>27</v>
      </c>
      <c r="M1058" t="s">
        <v>47</v>
      </c>
      <c r="O1058" t="s">
        <v>48</v>
      </c>
      <c r="P1058" t="s">
        <v>3695</v>
      </c>
      <c r="R1058">
        <v>8</v>
      </c>
      <c r="S1058">
        <v>80</v>
      </c>
      <c r="T1058">
        <v>116</v>
      </c>
      <c r="U1058">
        <v>75</v>
      </c>
      <c r="V1058">
        <v>65</v>
      </c>
      <c r="W1058">
        <v>75</v>
      </c>
      <c r="X1058">
        <v>119</v>
      </c>
      <c r="Y1058">
        <f t="shared" si="480"/>
        <v>187</v>
      </c>
      <c r="Z1058">
        <f t="shared" si="481"/>
        <v>187</v>
      </c>
      <c r="AA1058">
        <f t="shared" si="482"/>
        <v>155</v>
      </c>
      <c r="AB1058">
        <f t="shared" si="483"/>
        <v>155</v>
      </c>
      <c r="AC1058">
        <f t="shared" si="484"/>
        <v>140</v>
      </c>
      <c r="AD1058">
        <f t="shared" si="485"/>
        <v>184</v>
      </c>
      <c r="AE1058">
        <f t="shared" si="486"/>
        <v>168</v>
      </c>
      <c r="AF1058">
        <f t="shared" si="487"/>
        <v>136</v>
      </c>
      <c r="AG1058">
        <f t="shared" si="488"/>
        <v>122</v>
      </c>
      <c r="AH1058">
        <f t="shared" si="489"/>
        <v>108</v>
      </c>
      <c r="AI1058">
        <f t="shared" si="490"/>
        <v>139</v>
      </c>
      <c r="AJ1058">
        <f t="shared" si="491"/>
        <v>127</v>
      </c>
      <c r="AK1058">
        <f t="shared" si="492"/>
        <v>95</v>
      </c>
      <c r="AL1058">
        <f t="shared" si="493"/>
        <v>85</v>
      </c>
      <c r="AM1058">
        <f t="shared" si="494"/>
        <v>72</v>
      </c>
      <c r="AN1058">
        <f t="shared" si="495"/>
        <v>128</v>
      </c>
      <c r="AO1058">
        <f t="shared" si="496"/>
        <v>117</v>
      </c>
      <c r="AP1058">
        <f t="shared" si="497"/>
        <v>85</v>
      </c>
      <c r="AQ1058">
        <f t="shared" si="498"/>
        <v>76</v>
      </c>
      <c r="AR1058">
        <f t="shared" si="499"/>
        <v>63</v>
      </c>
      <c r="AS1058">
        <f t="shared" si="500"/>
        <v>139</v>
      </c>
      <c r="AT1058">
        <f t="shared" si="501"/>
        <v>127</v>
      </c>
      <c r="AU1058">
        <f t="shared" si="502"/>
        <v>95</v>
      </c>
      <c r="AV1058">
        <f t="shared" si="503"/>
        <v>85</v>
      </c>
      <c r="AW1058">
        <f t="shared" si="504"/>
        <v>72</v>
      </c>
      <c r="AX1058">
        <f t="shared" si="505"/>
        <v>188</v>
      </c>
      <c r="AY1058">
        <f t="shared" si="506"/>
        <v>171</v>
      </c>
      <c r="AZ1058">
        <f t="shared" si="507"/>
        <v>139</v>
      </c>
      <c r="BA1058">
        <f t="shared" si="508"/>
        <v>125</v>
      </c>
      <c r="BB1058">
        <f t="shared" si="509"/>
        <v>111</v>
      </c>
    </row>
    <row r="1059" spans="1:54" x14ac:dyDescent="0.15">
      <c r="A1059">
        <v>752</v>
      </c>
      <c r="B1059" t="s">
        <v>3705</v>
      </c>
      <c r="C1059">
        <v>816</v>
      </c>
      <c r="D1059">
        <v>0</v>
      </c>
      <c r="E1059" t="s">
        <v>3706</v>
      </c>
      <c r="G1059" t="s">
        <v>3706</v>
      </c>
      <c r="H1059" t="s">
        <v>3707</v>
      </c>
      <c r="J1059" t="s">
        <v>3708</v>
      </c>
      <c r="K1059">
        <v>4</v>
      </c>
      <c r="L1059">
        <v>0.3</v>
      </c>
      <c r="M1059" t="s">
        <v>71</v>
      </c>
      <c r="O1059" t="s">
        <v>72</v>
      </c>
      <c r="P1059" t="s">
        <v>113</v>
      </c>
      <c r="R1059">
        <v>9</v>
      </c>
      <c r="S1059">
        <v>50</v>
      </c>
      <c r="T1059">
        <v>40</v>
      </c>
      <c r="U1059">
        <v>40</v>
      </c>
      <c r="V1059">
        <v>70</v>
      </c>
      <c r="W1059">
        <v>40</v>
      </c>
      <c r="X1059">
        <v>70</v>
      </c>
      <c r="Y1059">
        <f t="shared" si="480"/>
        <v>157</v>
      </c>
      <c r="Z1059">
        <f t="shared" si="481"/>
        <v>157</v>
      </c>
      <c r="AA1059">
        <f t="shared" si="482"/>
        <v>125</v>
      </c>
      <c r="AB1059">
        <f t="shared" si="483"/>
        <v>125</v>
      </c>
      <c r="AC1059">
        <f t="shared" si="484"/>
        <v>110</v>
      </c>
      <c r="AD1059">
        <f t="shared" si="485"/>
        <v>101</v>
      </c>
      <c r="AE1059">
        <f t="shared" si="486"/>
        <v>92</v>
      </c>
      <c r="AF1059">
        <f t="shared" si="487"/>
        <v>60</v>
      </c>
      <c r="AG1059">
        <f t="shared" si="488"/>
        <v>54</v>
      </c>
      <c r="AH1059">
        <f t="shared" si="489"/>
        <v>40</v>
      </c>
      <c r="AI1059">
        <f t="shared" si="490"/>
        <v>101</v>
      </c>
      <c r="AJ1059">
        <f t="shared" si="491"/>
        <v>92</v>
      </c>
      <c r="AK1059">
        <f t="shared" si="492"/>
        <v>60</v>
      </c>
      <c r="AL1059">
        <f t="shared" si="493"/>
        <v>54</v>
      </c>
      <c r="AM1059">
        <f t="shared" si="494"/>
        <v>40</v>
      </c>
      <c r="AN1059">
        <f t="shared" si="495"/>
        <v>134</v>
      </c>
      <c r="AO1059">
        <f t="shared" si="496"/>
        <v>122</v>
      </c>
      <c r="AP1059">
        <f t="shared" si="497"/>
        <v>90</v>
      </c>
      <c r="AQ1059">
        <f t="shared" si="498"/>
        <v>81</v>
      </c>
      <c r="AR1059">
        <f t="shared" si="499"/>
        <v>67</v>
      </c>
      <c r="AS1059">
        <f t="shared" si="500"/>
        <v>101</v>
      </c>
      <c r="AT1059">
        <f t="shared" si="501"/>
        <v>92</v>
      </c>
      <c r="AU1059">
        <f t="shared" si="502"/>
        <v>60</v>
      </c>
      <c r="AV1059">
        <f t="shared" si="503"/>
        <v>54</v>
      </c>
      <c r="AW1059">
        <f t="shared" si="504"/>
        <v>40</v>
      </c>
      <c r="AX1059">
        <f t="shared" si="505"/>
        <v>134</v>
      </c>
      <c r="AY1059">
        <f t="shared" si="506"/>
        <v>122</v>
      </c>
      <c r="AZ1059">
        <f t="shared" si="507"/>
        <v>90</v>
      </c>
      <c r="BA1059">
        <f t="shared" si="508"/>
        <v>81</v>
      </c>
      <c r="BB1059">
        <f t="shared" si="509"/>
        <v>67</v>
      </c>
    </row>
    <row r="1060" spans="1:54" x14ac:dyDescent="0.15">
      <c r="A1060">
        <v>753</v>
      </c>
      <c r="B1060" t="s">
        <v>3709</v>
      </c>
      <c r="C1060">
        <v>817</v>
      </c>
      <c r="D1060">
        <v>0</v>
      </c>
      <c r="E1060" t="s">
        <v>3710</v>
      </c>
      <c r="G1060" t="s">
        <v>3710</v>
      </c>
      <c r="H1060" t="s">
        <v>3711</v>
      </c>
      <c r="J1060" t="s">
        <v>3708</v>
      </c>
      <c r="K1060">
        <v>11.5</v>
      </c>
      <c r="L1060">
        <v>0.7</v>
      </c>
      <c r="M1060" t="s">
        <v>71</v>
      </c>
      <c r="O1060" t="s">
        <v>72</v>
      </c>
      <c r="P1060" t="s">
        <v>113</v>
      </c>
      <c r="R1060">
        <v>9</v>
      </c>
      <c r="S1060">
        <v>65</v>
      </c>
      <c r="T1060">
        <v>60</v>
      </c>
      <c r="U1060">
        <v>55</v>
      </c>
      <c r="V1060">
        <v>95</v>
      </c>
      <c r="W1060">
        <v>55</v>
      </c>
      <c r="X1060">
        <v>90</v>
      </c>
      <c r="Y1060">
        <f t="shared" si="480"/>
        <v>172</v>
      </c>
      <c r="Z1060">
        <f t="shared" si="481"/>
        <v>172</v>
      </c>
      <c r="AA1060">
        <f t="shared" si="482"/>
        <v>140</v>
      </c>
      <c r="AB1060">
        <f t="shared" si="483"/>
        <v>140</v>
      </c>
      <c r="AC1060">
        <f t="shared" si="484"/>
        <v>125</v>
      </c>
      <c r="AD1060">
        <f t="shared" si="485"/>
        <v>123</v>
      </c>
      <c r="AE1060">
        <f t="shared" si="486"/>
        <v>112</v>
      </c>
      <c r="AF1060">
        <f t="shared" si="487"/>
        <v>80</v>
      </c>
      <c r="AG1060">
        <f t="shared" si="488"/>
        <v>72</v>
      </c>
      <c r="AH1060">
        <f t="shared" si="489"/>
        <v>58</v>
      </c>
      <c r="AI1060">
        <f t="shared" si="490"/>
        <v>117</v>
      </c>
      <c r="AJ1060">
        <f t="shared" si="491"/>
        <v>107</v>
      </c>
      <c r="AK1060">
        <f t="shared" si="492"/>
        <v>75</v>
      </c>
      <c r="AL1060">
        <f t="shared" si="493"/>
        <v>67</v>
      </c>
      <c r="AM1060">
        <f t="shared" si="494"/>
        <v>54</v>
      </c>
      <c r="AN1060">
        <f t="shared" si="495"/>
        <v>161</v>
      </c>
      <c r="AO1060">
        <f t="shared" si="496"/>
        <v>147</v>
      </c>
      <c r="AP1060">
        <f t="shared" si="497"/>
        <v>115</v>
      </c>
      <c r="AQ1060">
        <f t="shared" si="498"/>
        <v>103</v>
      </c>
      <c r="AR1060">
        <f t="shared" si="499"/>
        <v>90</v>
      </c>
      <c r="AS1060">
        <f t="shared" si="500"/>
        <v>117</v>
      </c>
      <c r="AT1060">
        <f t="shared" si="501"/>
        <v>107</v>
      </c>
      <c r="AU1060">
        <f t="shared" si="502"/>
        <v>75</v>
      </c>
      <c r="AV1060">
        <f t="shared" si="503"/>
        <v>67</v>
      </c>
      <c r="AW1060">
        <f t="shared" si="504"/>
        <v>54</v>
      </c>
      <c r="AX1060">
        <f t="shared" si="505"/>
        <v>156</v>
      </c>
      <c r="AY1060">
        <f t="shared" si="506"/>
        <v>142</v>
      </c>
      <c r="AZ1060">
        <f t="shared" si="507"/>
        <v>110</v>
      </c>
      <c r="BA1060">
        <f t="shared" si="508"/>
        <v>99</v>
      </c>
      <c r="BB1060">
        <f t="shared" si="509"/>
        <v>85</v>
      </c>
    </row>
    <row r="1061" spans="1:54" x14ac:dyDescent="0.15">
      <c r="A1061">
        <v>754</v>
      </c>
      <c r="B1061" t="s">
        <v>3712</v>
      </c>
      <c r="C1061">
        <v>818</v>
      </c>
      <c r="D1061">
        <v>0</v>
      </c>
      <c r="E1061" t="s">
        <v>3713</v>
      </c>
      <c r="G1061" t="s">
        <v>3713</v>
      </c>
      <c r="H1061" t="s">
        <v>3714</v>
      </c>
      <c r="J1061" t="s">
        <v>3715</v>
      </c>
      <c r="K1061">
        <v>45.2</v>
      </c>
      <c r="L1061">
        <v>1.9</v>
      </c>
      <c r="M1061" t="s">
        <v>71</v>
      </c>
      <c r="O1061" t="s">
        <v>72</v>
      </c>
      <c r="P1061" t="s">
        <v>113</v>
      </c>
      <c r="R1061">
        <v>9</v>
      </c>
      <c r="S1061">
        <v>70</v>
      </c>
      <c r="T1061">
        <v>85</v>
      </c>
      <c r="U1061">
        <v>65</v>
      </c>
      <c r="V1061">
        <v>125</v>
      </c>
      <c r="W1061">
        <v>65</v>
      </c>
      <c r="X1061">
        <v>120</v>
      </c>
      <c r="Y1061">
        <f t="shared" si="480"/>
        <v>177</v>
      </c>
      <c r="Z1061">
        <f t="shared" si="481"/>
        <v>177</v>
      </c>
      <c r="AA1061">
        <f t="shared" si="482"/>
        <v>145</v>
      </c>
      <c r="AB1061">
        <f t="shared" si="483"/>
        <v>145</v>
      </c>
      <c r="AC1061">
        <f t="shared" si="484"/>
        <v>130</v>
      </c>
      <c r="AD1061">
        <f t="shared" si="485"/>
        <v>150</v>
      </c>
      <c r="AE1061">
        <f t="shared" si="486"/>
        <v>137</v>
      </c>
      <c r="AF1061">
        <f t="shared" si="487"/>
        <v>105</v>
      </c>
      <c r="AG1061">
        <f t="shared" si="488"/>
        <v>94</v>
      </c>
      <c r="AH1061">
        <f t="shared" si="489"/>
        <v>81</v>
      </c>
      <c r="AI1061">
        <f t="shared" si="490"/>
        <v>128</v>
      </c>
      <c r="AJ1061">
        <f t="shared" si="491"/>
        <v>117</v>
      </c>
      <c r="AK1061">
        <f t="shared" si="492"/>
        <v>85</v>
      </c>
      <c r="AL1061">
        <f t="shared" si="493"/>
        <v>76</v>
      </c>
      <c r="AM1061">
        <f t="shared" si="494"/>
        <v>63</v>
      </c>
      <c r="AN1061">
        <f t="shared" si="495"/>
        <v>194</v>
      </c>
      <c r="AO1061">
        <f t="shared" si="496"/>
        <v>177</v>
      </c>
      <c r="AP1061">
        <f t="shared" si="497"/>
        <v>145</v>
      </c>
      <c r="AQ1061">
        <f t="shared" si="498"/>
        <v>130</v>
      </c>
      <c r="AR1061">
        <f t="shared" si="499"/>
        <v>117</v>
      </c>
      <c r="AS1061">
        <f t="shared" si="500"/>
        <v>128</v>
      </c>
      <c r="AT1061">
        <f t="shared" si="501"/>
        <v>117</v>
      </c>
      <c r="AU1061">
        <f t="shared" si="502"/>
        <v>85</v>
      </c>
      <c r="AV1061">
        <f t="shared" si="503"/>
        <v>76</v>
      </c>
      <c r="AW1061">
        <f t="shared" si="504"/>
        <v>63</v>
      </c>
      <c r="AX1061">
        <f t="shared" si="505"/>
        <v>189</v>
      </c>
      <c r="AY1061">
        <f t="shared" si="506"/>
        <v>172</v>
      </c>
      <c r="AZ1061">
        <f t="shared" si="507"/>
        <v>140</v>
      </c>
      <c r="BA1061">
        <f t="shared" si="508"/>
        <v>126</v>
      </c>
      <c r="BB1061">
        <f t="shared" si="509"/>
        <v>112</v>
      </c>
    </row>
    <row r="1062" spans="1:54" x14ac:dyDescent="0.15">
      <c r="B1062" t="s">
        <v>3716</v>
      </c>
      <c r="C1062">
        <v>818</v>
      </c>
      <c r="D1062">
        <v>999</v>
      </c>
      <c r="E1062" t="s">
        <v>3713</v>
      </c>
      <c r="F1062" t="s">
        <v>40</v>
      </c>
      <c r="G1062" t="s">
        <v>3717</v>
      </c>
      <c r="J1062" t="s">
        <v>42</v>
      </c>
      <c r="K1062">
        <v>9999.9</v>
      </c>
      <c r="L1062">
        <v>40</v>
      </c>
      <c r="M1062" t="s">
        <v>71</v>
      </c>
      <c r="O1062" t="s">
        <v>72</v>
      </c>
      <c r="P1062" t="s">
        <v>113</v>
      </c>
      <c r="R1062">
        <v>8</v>
      </c>
      <c r="S1062">
        <v>70</v>
      </c>
      <c r="T1062">
        <v>85</v>
      </c>
      <c r="U1062">
        <v>65</v>
      </c>
      <c r="V1062">
        <v>125</v>
      </c>
      <c r="W1062">
        <v>65</v>
      </c>
      <c r="X1062">
        <v>120</v>
      </c>
      <c r="Y1062">
        <f t="shared" si="480"/>
        <v>177</v>
      </c>
      <c r="Z1062">
        <f t="shared" si="481"/>
        <v>177</v>
      </c>
      <c r="AA1062">
        <f t="shared" si="482"/>
        <v>145</v>
      </c>
      <c r="AB1062">
        <f t="shared" si="483"/>
        <v>145</v>
      </c>
      <c r="AC1062">
        <f t="shared" si="484"/>
        <v>130</v>
      </c>
      <c r="AD1062">
        <f t="shared" si="485"/>
        <v>150</v>
      </c>
      <c r="AE1062">
        <f t="shared" si="486"/>
        <v>137</v>
      </c>
      <c r="AF1062">
        <f t="shared" si="487"/>
        <v>105</v>
      </c>
      <c r="AG1062">
        <f t="shared" si="488"/>
        <v>94</v>
      </c>
      <c r="AH1062">
        <f t="shared" si="489"/>
        <v>81</v>
      </c>
      <c r="AI1062">
        <f t="shared" si="490"/>
        <v>128</v>
      </c>
      <c r="AJ1062">
        <f t="shared" si="491"/>
        <v>117</v>
      </c>
      <c r="AK1062">
        <f t="shared" si="492"/>
        <v>85</v>
      </c>
      <c r="AL1062">
        <f t="shared" si="493"/>
        <v>76</v>
      </c>
      <c r="AM1062">
        <f t="shared" si="494"/>
        <v>63</v>
      </c>
      <c r="AN1062">
        <f t="shared" si="495"/>
        <v>194</v>
      </c>
      <c r="AO1062">
        <f t="shared" si="496"/>
        <v>177</v>
      </c>
      <c r="AP1062">
        <f t="shared" si="497"/>
        <v>145</v>
      </c>
      <c r="AQ1062">
        <f t="shared" si="498"/>
        <v>130</v>
      </c>
      <c r="AR1062">
        <f t="shared" si="499"/>
        <v>117</v>
      </c>
      <c r="AS1062">
        <f t="shared" si="500"/>
        <v>128</v>
      </c>
      <c r="AT1062">
        <f t="shared" si="501"/>
        <v>117</v>
      </c>
      <c r="AU1062">
        <f t="shared" si="502"/>
        <v>85</v>
      </c>
      <c r="AV1062">
        <f t="shared" si="503"/>
        <v>76</v>
      </c>
      <c r="AW1062">
        <f t="shared" si="504"/>
        <v>63</v>
      </c>
      <c r="AX1062">
        <f t="shared" si="505"/>
        <v>189</v>
      </c>
      <c r="AY1062">
        <f t="shared" si="506"/>
        <v>172</v>
      </c>
      <c r="AZ1062">
        <f t="shared" si="507"/>
        <v>140</v>
      </c>
      <c r="BA1062">
        <f t="shared" si="508"/>
        <v>126</v>
      </c>
      <c r="BB1062">
        <f t="shared" si="509"/>
        <v>112</v>
      </c>
    </row>
    <row r="1063" spans="1:54" x14ac:dyDescent="0.15">
      <c r="A1063">
        <v>704</v>
      </c>
      <c r="B1063" t="s">
        <v>3718</v>
      </c>
      <c r="C1063">
        <v>819</v>
      </c>
      <c r="D1063">
        <v>0</v>
      </c>
      <c r="E1063" t="s">
        <v>3719</v>
      </c>
      <c r="G1063" t="s">
        <v>3719</v>
      </c>
      <c r="H1063" t="s">
        <v>3720</v>
      </c>
      <c r="J1063" t="s">
        <v>3721</v>
      </c>
      <c r="K1063">
        <v>2.5</v>
      </c>
      <c r="L1063">
        <v>0.3</v>
      </c>
      <c r="M1063" t="s">
        <v>120</v>
      </c>
      <c r="O1063" t="s">
        <v>2949</v>
      </c>
      <c r="P1063" t="s">
        <v>141</v>
      </c>
      <c r="R1063">
        <v>9</v>
      </c>
      <c r="S1063">
        <v>70</v>
      </c>
      <c r="T1063">
        <v>55</v>
      </c>
      <c r="U1063">
        <v>55</v>
      </c>
      <c r="V1063">
        <v>35</v>
      </c>
      <c r="W1063">
        <v>35</v>
      </c>
      <c r="X1063">
        <v>25</v>
      </c>
      <c r="Y1063">
        <f t="shared" si="480"/>
        <v>177</v>
      </c>
      <c r="Z1063">
        <f t="shared" si="481"/>
        <v>177</v>
      </c>
      <c r="AA1063">
        <f t="shared" si="482"/>
        <v>145</v>
      </c>
      <c r="AB1063">
        <f t="shared" si="483"/>
        <v>145</v>
      </c>
      <c r="AC1063">
        <f t="shared" si="484"/>
        <v>130</v>
      </c>
      <c r="AD1063">
        <f t="shared" si="485"/>
        <v>117</v>
      </c>
      <c r="AE1063">
        <f t="shared" si="486"/>
        <v>107</v>
      </c>
      <c r="AF1063">
        <f t="shared" si="487"/>
        <v>75</v>
      </c>
      <c r="AG1063">
        <f t="shared" si="488"/>
        <v>67</v>
      </c>
      <c r="AH1063">
        <f t="shared" si="489"/>
        <v>54</v>
      </c>
      <c r="AI1063">
        <f t="shared" si="490"/>
        <v>117</v>
      </c>
      <c r="AJ1063">
        <f t="shared" si="491"/>
        <v>107</v>
      </c>
      <c r="AK1063">
        <f t="shared" si="492"/>
        <v>75</v>
      </c>
      <c r="AL1063">
        <f t="shared" si="493"/>
        <v>67</v>
      </c>
      <c r="AM1063">
        <f t="shared" si="494"/>
        <v>54</v>
      </c>
      <c r="AN1063">
        <f t="shared" si="495"/>
        <v>95</v>
      </c>
      <c r="AO1063">
        <f t="shared" si="496"/>
        <v>87</v>
      </c>
      <c r="AP1063">
        <f t="shared" si="497"/>
        <v>55</v>
      </c>
      <c r="AQ1063">
        <f t="shared" si="498"/>
        <v>49</v>
      </c>
      <c r="AR1063">
        <f t="shared" si="499"/>
        <v>36</v>
      </c>
      <c r="AS1063">
        <f t="shared" si="500"/>
        <v>95</v>
      </c>
      <c r="AT1063">
        <f t="shared" si="501"/>
        <v>87</v>
      </c>
      <c r="AU1063">
        <f t="shared" si="502"/>
        <v>55</v>
      </c>
      <c r="AV1063">
        <f t="shared" si="503"/>
        <v>49</v>
      </c>
      <c r="AW1063">
        <f t="shared" si="504"/>
        <v>36</v>
      </c>
      <c r="AX1063">
        <f t="shared" si="505"/>
        <v>84</v>
      </c>
      <c r="AY1063">
        <f t="shared" si="506"/>
        <v>77</v>
      </c>
      <c r="AZ1063">
        <f t="shared" si="507"/>
        <v>45</v>
      </c>
      <c r="BA1063">
        <f t="shared" si="508"/>
        <v>40</v>
      </c>
      <c r="BB1063">
        <f t="shared" si="509"/>
        <v>27</v>
      </c>
    </row>
    <row r="1064" spans="1:54" x14ac:dyDescent="0.15">
      <c r="A1064">
        <v>705</v>
      </c>
      <c r="B1064" t="s">
        <v>3722</v>
      </c>
      <c r="C1064">
        <v>820</v>
      </c>
      <c r="D1064">
        <v>0</v>
      </c>
      <c r="E1064" t="s">
        <v>3723</v>
      </c>
      <c r="G1064" t="s">
        <v>3723</v>
      </c>
      <c r="H1064" t="s">
        <v>3724</v>
      </c>
      <c r="J1064" t="s">
        <v>3725</v>
      </c>
      <c r="K1064">
        <v>6</v>
      </c>
      <c r="L1064">
        <v>0.6</v>
      </c>
      <c r="M1064" t="s">
        <v>120</v>
      </c>
      <c r="O1064" t="s">
        <v>2949</v>
      </c>
      <c r="P1064" t="s">
        <v>141</v>
      </c>
      <c r="R1064">
        <v>9</v>
      </c>
      <c r="S1064">
        <v>120</v>
      </c>
      <c r="T1064">
        <v>95</v>
      </c>
      <c r="U1064">
        <v>95</v>
      </c>
      <c r="V1064">
        <v>55</v>
      </c>
      <c r="W1064">
        <v>75</v>
      </c>
      <c r="X1064">
        <v>20</v>
      </c>
      <c r="Y1064">
        <f t="shared" si="480"/>
        <v>227</v>
      </c>
      <c r="Z1064">
        <f t="shared" si="481"/>
        <v>227</v>
      </c>
      <c r="AA1064">
        <f t="shared" si="482"/>
        <v>195</v>
      </c>
      <c r="AB1064">
        <f t="shared" si="483"/>
        <v>195</v>
      </c>
      <c r="AC1064">
        <f t="shared" si="484"/>
        <v>180</v>
      </c>
      <c r="AD1064">
        <f t="shared" si="485"/>
        <v>161</v>
      </c>
      <c r="AE1064">
        <f t="shared" si="486"/>
        <v>147</v>
      </c>
      <c r="AF1064">
        <f t="shared" si="487"/>
        <v>115</v>
      </c>
      <c r="AG1064">
        <f t="shared" si="488"/>
        <v>103</v>
      </c>
      <c r="AH1064">
        <f t="shared" si="489"/>
        <v>90</v>
      </c>
      <c r="AI1064">
        <f t="shared" si="490"/>
        <v>161</v>
      </c>
      <c r="AJ1064">
        <f t="shared" si="491"/>
        <v>147</v>
      </c>
      <c r="AK1064">
        <f t="shared" si="492"/>
        <v>115</v>
      </c>
      <c r="AL1064">
        <f t="shared" si="493"/>
        <v>103</v>
      </c>
      <c r="AM1064">
        <f t="shared" si="494"/>
        <v>90</v>
      </c>
      <c r="AN1064">
        <f t="shared" si="495"/>
        <v>117</v>
      </c>
      <c r="AO1064">
        <f t="shared" si="496"/>
        <v>107</v>
      </c>
      <c r="AP1064">
        <f t="shared" si="497"/>
        <v>75</v>
      </c>
      <c r="AQ1064">
        <f t="shared" si="498"/>
        <v>67</v>
      </c>
      <c r="AR1064">
        <f t="shared" si="499"/>
        <v>54</v>
      </c>
      <c r="AS1064">
        <f t="shared" si="500"/>
        <v>139</v>
      </c>
      <c r="AT1064">
        <f t="shared" si="501"/>
        <v>127</v>
      </c>
      <c r="AU1064">
        <f t="shared" si="502"/>
        <v>95</v>
      </c>
      <c r="AV1064">
        <f t="shared" si="503"/>
        <v>85</v>
      </c>
      <c r="AW1064">
        <f t="shared" si="504"/>
        <v>72</v>
      </c>
      <c r="AX1064">
        <f t="shared" si="505"/>
        <v>79</v>
      </c>
      <c r="AY1064">
        <f t="shared" si="506"/>
        <v>72</v>
      </c>
      <c r="AZ1064">
        <f t="shared" si="507"/>
        <v>40</v>
      </c>
      <c r="BA1064">
        <f t="shared" si="508"/>
        <v>36</v>
      </c>
      <c r="BB1064">
        <f t="shared" si="509"/>
        <v>22</v>
      </c>
    </row>
    <row r="1065" spans="1:54" x14ac:dyDescent="0.15">
      <c r="A1065">
        <v>711</v>
      </c>
      <c r="B1065" t="s">
        <v>3726</v>
      </c>
      <c r="C1065">
        <v>821</v>
      </c>
      <c r="D1065">
        <v>0</v>
      </c>
      <c r="E1065" t="s">
        <v>3727</v>
      </c>
      <c r="G1065" t="s">
        <v>3727</v>
      </c>
      <c r="H1065" t="s">
        <v>3728</v>
      </c>
      <c r="J1065" t="s">
        <v>119</v>
      </c>
      <c r="K1065">
        <v>1.8</v>
      </c>
      <c r="L1065">
        <v>0.2</v>
      </c>
      <c r="M1065" t="s">
        <v>57</v>
      </c>
      <c r="O1065" t="s">
        <v>121</v>
      </c>
      <c r="P1065" t="s">
        <v>156</v>
      </c>
      <c r="Q1065" t="s">
        <v>123</v>
      </c>
      <c r="R1065">
        <v>9</v>
      </c>
      <c r="S1065">
        <v>38</v>
      </c>
      <c r="T1065">
        <v>47</v>
      </c>
      <c r="U1065">
        <v>35</v>
      </c>
      <c r="V1065">
        <v>33</v>
      </c>
      <c r="W1065">
        <v>35</v>
      </c>
      <c r="X1065">
        <v>57</v>
      </c>
      <c r="Y1065">
        <f t="shared" si="480"/>
        <v>145</v>
      </c>
      <c r="Z1065">
        <f t="shared" si="481"/>
        <v>145</v>
      </c>
      <c r="AA1065">
        <f t="shared" si="482"/>
        <v>113</v>
      </c>
      <c r="AB1065">
        <f t="shared" si="483"/>
        <v>113</v>
      </c>
      <c r="AC1065">
        <f t="shared" si="484"/>
        <v>98</v>
      </c>
      <c r="AD1065">
        <f t="shared" si="485"/>
        <v>108</v>
      </c>
      <c r="AE1065">
        <f t="shared" si="486"/>
        <v>99</v>
      </c>
      <c r="AF1065">
        <f t="shared" si="487"/>
        <v>67</v>
      </c>
      <c r="AG1065">
        <f t="shared" si="488"/>
        <v>60</v>
      </c>
      <c r="AH1065">
        <f t="shared" si="489"/>
        <v>46</v>
      </c>
      <c r="AI1065">
        <f t="shared" si="490"/>
        <v>95</v>
      </c>
      <c r="AJ1065">
        <f t="shared" si="491"/>
        <v>87</v>
      </c>
      <c r="AK1065">
        <f t="shared" si="492"/>
        <v>55</v>
      </c>
      <c r="AL1065">
        <f t="shared" si="493"/>
        <v>49</v>
      </c>
      <c r="AM1065">
        <f t="shared" si="494"/>
        <v>36</v>
      </c>
      <c r="AN1065">
        <f t="shared" si="495"/>
        <v>93</v>
      </c>
      <c r="AO1065">
        <f t="shared" si="496"/>
        <v>85</v>
      </c>
      <c r="AP1065">
        <f t="shared" si="497"/>
        <v>53</v>
      </c>
      <c r="AQ1065">
        <f t="shared" si="498"/>
        <v>47</v>
      </c>
      <c r="AR1065">
        <f t="shared" si="499"/>
        <v>34</v>
      </c>
      <c r="AS1065">
        <f t="shared" si="500"/>
        <v>95</v>
      </c>
      <c r="AT1065">
        <f t="shared" si="501"/>
        <v>87</v>
      </c>
      <c r="AU1065">
        <f t="shared" si="502"/>
        <v>55</v>
      </c>
      <c r="AV1065">
        <f t="shared" si="503"/>
        <v>49</v>
      </c>
      <c r="AW1065">
        <f t="shared" si="504"/>
        <v>36</v>
      </c>
      <c r="AX1065">
        <f t="shared" si="505"/>
        <v>119</v>
      </c>
      <c r="AY1065">
        <f t="shared" si="506"/>
        <v>109</v>
      </c>
      <c r="AZ1065">
        <f t="shared" si="507"/>
        <v>77</v>
      </c>
      <c r="BA1065">
        <f t="shared" si="508"/>
        <v>69</v>
      </c>
      <c r="BB1065">
        <f t="shared" si="509"/>
        <v>55</v>
      </c>
    </row>
    <row r="1066" spans="1:54" x14ac:dyDescent="0.15">
      <c r="A1066">
        <v>712</v>
      </c>
      <c r="B1066" t="s">
        <v>3729</v>
      </c>
      <c r="C1066">
        <v>822</v>
      </c>
      <c r="D1066">
        <v>0</v>
      </c>
      <c r="E1066" t="s">
        <v>3730</v>
      </c>
      <c r="G1066" t="s">
        <v>3730</v>
      </c>
      <c r="H1066" t="s">
        <v>3731</v>
      </c>
      <c r="J1066" t="s">
        <v>3732</v>
      </c>
      <c r="K1066">
        <v>16</v>
      </c>
      <c r="L1066">
        <v>0.8</v>
      </c>
      <c r="M1066" t="s">
        <v>57</v>
      </c>
      <c r="O1066" t="s">
        <v>121</v>
      </c>
      <c r="P1066" t="s">
        <v>156</v>
      </c>
      <c r="Q1066" t="s">
        <v>123</v>
      </c>
      <c r="R1066">
        <v>9</v>
      </c>
      <c r="S1066">
        <v>68</v>
      </c>
      <c r="T1066">
        <v>67</v>
      </c>
      <c r="U1066">
        <v>55</v>
      </c>
      <c r="V1066">
        <v>43</v>
      </c>
      <c r="W1066">
        <v>55</v>
      </c>
      <c r="X1066">
        <v>77</v>
      </c>
      <c r="Y1066">
        <f t="shared" si="480"/>
        <v>175</v>
      </c>
      <c r="Z1066">
        <f t="shared" si="481"/>
        <v>175</v>
      </c>
      <c r="AA1066">
        <f t="shared" si="482"/>
        <v>143</v>
      </c>
      <c r="AB1066">
        <f t="shared" si="483"/>
        <v>143</v>
      </c>
      <c r="AC1066">
        <f t="shared" si="484"/>
        <v>128</v>
      </c>
      <c r="AD1066">
        <f t="shared" si="485"/>
        <v>130</v>
      </c>
      <c r="AE1066">
        <f t="shared" si="486"/>
        <v>119</v>
      </c>
      <c r="AF1066">
        <f t="shared" si="487"/>
        <v>87</v>
      </c>
      <c r="AG1066">
        <f t="shared" si="488"/>
        <v>78</v>
      </c>
      <c r="AH1066">
        <f t="shared" si="489"/>
        <v>64</v>
      </c>
      <c r="AI1066">
        <f t="shared" si="490"/>
        <v>117</v>
      </c>
      <c r="AJ1066">
        <f t="shared" si="491"/>
        <v>107</v>
      </c>
      <c r="AK1066">
        <f t="shared" si="492"/>
        <v>75</v>
      </c>
      <c r="AL1066">
        <f t="shared" si="493"/>
        <v>67</v>
      </c>
      <c r="AM1066">
        <f t="shared" si="494"/>
        <v>54</v>
      </c>
      <c r="AN1066">
        <f t="shared" si="495"/>
        <v>104</v>
      </c>
      <c r="AO1066">
        <f t="shared" si="496"/>
        <v>95</v>
      </c>
      <c r="AP1066">
        <f t="shared" si="497"/>
        <v>63</v>
      </c>
      <c r="AQ1066">
        <f t="shared" si="498"/>
        <v>56</v>
      </c>
      <c r="AR1066">
        <f t="shared" si="499"/>
        <v>43</v>
      </c>
      <c r="AS1066">
        <f t="shared" si="500"/>
        <v>117</v>
      </c>
      <c r="AT1066">
        <f t="shared" si="501"/>
        <v>107</v>
      </c>
      <c r="AU1066">
        <f t="shared" si="502"/>
        <v>75</v>
      </c>
      <c r="AV1066">
        <f t="shared" si="503"/>
        <v>67</v>
      </c>
      <c r="AW1066">
        <f t="shared" si="504"/>
        <v>54</v>
      </c>
      <c r="AX1066">
        <f t="shared" si="505"/>
        <v>141</v>
      </c>
      <c r="AY1066">
        <f t="shared" si="506"/>
        <v>129</v>
      </c>
      <c r="AZ1066">
        <f t="shared" si="507"/>
        <v>97</v>
      </c>
      <c r="BA1066">
        <f t="shared" si="508"/>
        <v>87</v>
      </c>
      <c r="BB1066">
        <f t="shared" si="509"/>
        <v>73</v>
      </c>
    </row>
    <row r="1067" spans="1:54" x14ac:dyDescent="0.15">
      <c r="A1067">
        <v>713</v>
      </c>
      <c r="B1067" t="s">
        <v>3733</v>
      </c>
      <c r="C1067">
        <v>823</v>
      </c>
      <c r="D1067">
        <v>0</v>
      </c>
      <c r="E1067" t="s">
        <v>3734</v>
      </c>
      <c r="G1067" t="s">
        <v>3734</v>
      </c>
      <c r="H1067" t="s">
        <v>3735</v>
      </c>
      <c r="J1067" t="s">
        <v>3732</v>
      </c>
      <c r="K1067">
        <v>75</v>
      </c>
      <c r="L1067">
        <v>2.2000000000000002</v>
      </c>
      <c r="M1067" t="s">
        <v>57</v>
      </c>
      <c r="N1067" t="s">
        <v>203</v>
      </c>
      <c r="O1067" t="s">
        <v>792</v>
      </c>
      <c r="P1067" t="s">
        <v>156</v>
      </c>
      <c r="Q1067" t="s">
        <v>3736</v>
      </c>
      <c r="R1067">
        <v>9</v>
      </c>
      <c r="S1067">
        <v>98</v>
      </c>
      <c r="T1067">
        <v>87</v>
      </c>
      <c r="U1067">
        <v>105</v>
      </c>
      <c r="V1067">
        <v>53</v>
      </c>
      <c r="W1067">
        <v>85</v>
      </c>
      <c r="X1067">
        <v>67</v>
      </c>
      <c r="Y1067">
        <f t="shared" si="480"/>
        <v>205</v>
      </c>
      <c r="Z1067">
        <f t="shared" si="481"/>
        <v>205</v>
      </c>
      <c r="AA1067">
        <f t="shared" si="482"/>
        <v>173</v>
      </c>
      <c r="AB1067">
        <f t="shared" si="483"/>
        <v>173</v>
      </c>
      <c r="AC1067">
        <f t="shared" si="484"/>
        <v>158</v>
      </c>
      <c r="AD1067">
        <f t="shared" si="485"/>
        <v>152</v>
      </c>
      <c r="AE1067">
        <f t="shared" si="486"/>
        <v>139</v>
      </c>
      <c r="AF1067">
        <f t="shared" si="487"/>
        <v>107</v>
      </c>
      <c r="AG1067">
        <f t="shared" si="488"/>
        <v>96</v>
      </c>
      <c r="AH1067">
        <f t="shared" si="489"/>
        <v>82</v>
      </c>
      <c r="AI1067">
        <f t="shared" si="490"/>
        <v>172</v>
      </c>
      <c r="AJ1067">
        <f t="shared" si="491"/>
        <v>157</v>
      </c>
      <c r="AK1067">
        <f t="shared" si="492"/>
        <v>125</v>
      </c>
      <c r="AL1067">
        <f t="shared" si="493"/>
        <v>112</v>
      </c>
      <c r="AM1067">
        <f t="shared" si="494"/>
        <v>99</v>
      </c>
      <c r="AN1067">
        <f t="shared" si="495"/>
        <v>115</v>
      </c>
      <c r="AO1067">
        <f t="shared" si="496"/>
        <v>105</v>
      </c>
      <c r="AP1067">
        <f t="shared" si="497"/>
        <v>73</v>
      </c>
      <c r="AQ1067">
        <f t="shared" si="498"/>
        <v>65</v>
      </c>
      <c r="AR1067">
        <f t="shared" si="499"/>
        <v>52</v>
      </c>
      <c r="AS1067">
        <f t="shared" si="500"/>
        <v>150</v>
      </c>
      <c r="AT1067">
        <f t="shared" si="501"/>
        <v>137</v>
      </c>
      <c r="AU1067">
        <f t="shared" si="502"/>
        <v>105</v>
      </c>
      <c r="AV1067">
        <f t="shared" si="503"/>
        <v>94</v>
      </c>
      <c r="AW1067">
        <f t="shared" si="504"/>
        <v>81</v>
      </c>
      <c r="AX1067">
        <f t="shared" si="505"/>
        <v>130</v>
      </c>
      <c r="AY1067">
        <f t="shared" si="506"/>
        <v>119</v>
      </c>
      <c r="AZ1067">
        <f t="shared" si="507"/>
        <v>87</v>
      </c>
      <c r="BA1067">
        <f t="shared" si="508"/>
        <v>78</v>
      </c>
      <c r="BB1067">
        <f t="shared" si="509"/>
        <v>64</v>
      </c>
    </row>
    <row r="1068" spans="1:54" x14ac:dyDescent="0.15">
      <c r="B1068" t="s">
        <v>3737</v>
      </c>
      <c r="C1068">
        <v>823</v>
      </c>
      <c r="D1068">
        <v>999</v>
      </c>
      <c r="E1068" t="s">
        <v>3734</v>
      </c>
      <c r="F1068" t="s">
        <v>40</v>
      </c>
      <c r="G1068" t="s">
        <v>3738</v>
      </c>
      <c r="J1068" t="s">
        <v>42</v>
      </c>
      <c r="K1068">
        <v>9999.9</v>
      </c>
      <c r="L1068">
        <v>14</v>
      </c>
      <c r="M1068" t="s">
        <v>57</v>
      </c>
      <c r="N1068" t="s">
        <v>203</v>
      </c>
      <c r="O1068" t="s">
        <v>792</v>
      </c>
      <c r="P1068" t="s">
        <v>156</v>
      </c>
      <c r="Q1068" t="s">
        <v>3736</v>
      </c>
      <c r="R1068">
        <v>8</v>
      </c>
      <c r="S1068">
        <v>98</v>
      </c>
      <c r="T1068">
        <v>87</v>
      </c>
      <c r="U1068">
        <v>105</v>
      </c>
      <c r="V1068">
        <v>53</v>
      </c>
      <c r="W1068">
        <v>85</v>
      </c>
      <c r="X1068">
        <v>67</v>
      </c>
      <c r="Y1068">
        <f t="shared" si="480"/>
        <v>205</v>
      </c>
      <c r="Z1068">
        <f t="shared" si="481"/>
        <v>205</v>
      </c>
      <c r="AA1068">
        <f t="shared" si="482"/>
        <v>173</v>
      </c>
      <c r="AB1068">
        <f t="shared" si="483"/>
        <v>173</v>
      </c>
      <c r="AC1068">
        <f t="shared" si="484"/>
        <v>158</v>
      </c>
      <c r="AD1068">
        <f t="shared" si="485"/>
        <v>152</v>
      </c>
      <c r="AE1068">
        <f t="shared" si="486"/>
        <v>139</v>
      </c>
      <c r="AF1068">
        <f t="shared" si="487"/>
        <v>107</v>
      </c>
      <c r="AG1068">
        <f t="shared" si="488"/>
        <v>96</v>
      </c>
      <c r="AH1068">
        <f t="shared" si="489"/>
        <v>82</v>
      </c>
      <c r="AI1068">
        <f t="shared" si="490"/>
        <v>172</v>
      </c>
      <c r="AJ1068">
        <f t="shared" si="491"/>
        <v>157</v>
      </c>
      <c r="AK1068">
        <f t="shared" si="492"/>
        <v>125</v>
      </c>
      <c r="AL1068">
        <f t="shared" si="493"/>
        <v>112</v>
      </c>
      <c r="AM1068">
        <f t="shared" si="494"/>
        <v>99</v>
      </c>
      <c r="AN1068">
        <f t="shared" si="495"/>
        <v>115</v>
      </c>
      <c r="AO1068">
        <f t="shared" si="496"/>
        <v>105</v>
      </c>
      <c r="AP1068">
        <f t="shared" si="497"/>
        <v>73</v>
      </c>
      <c r="AQ1068">
        <f t="shared" si="498"/>
        <v>65</v>
      </c>
      <c r="AR1068">
        <f t="shared" si="499"/>
        <v>52</v>
      </c>
      <c r="AS1068">
        <f t="shared" si="500"/>
        <v>150</v>
      </c>
      <c r="AT1068">
        <f t="shared" si="501"/>
        <v>137</v>
      </c>
      <c r="AU1068">
        <f t="shared" si="502"/>
        <v>105</v>
      </c>
      <c r="AV1068">
        <f t="shared" si="503"/>
        <v>94</v>
      </c>
      <c r="AW1068">
        <f t="shared" si="504"/>
        <v>81</v>
      </c>
      <c r="AX1068">
        <f t="shared" si="505"/>
        <v>130</v>
      </c>
      <c r="AY1068">
        <f t="shared" si="506"/>
        <v>119</v>
      </c>
      <c r="AZ1068">
        <f t="shared" si="507"/>
        <v>87</v>
      </c>
      <c r="BA1068">
        <f t="shared" si="508"/>
        <v>78</v>
      </c>
      <c r="BB1068">
        <f t="shared" si="509"/>
        <v>64</v>
      </c>
    </row>
    <row r="1069" spans="1:54" x14ac:dyDescent="0.15">
      <c r="B1069" t="s">
        <v>3739</v>
      </c>
      <c r="C1069">
        <v>824</v>
      </c>
      <c r="D1069">
        <v>0</v>
      </c>
      <c r="E1069" t="s">
        <v>3740</v>
      </c>
      <c r="G1069" t="s">
        <v>3740</v>
      </c>
      <c r="J1069" t="s">
        <v>3347</v>
      </c>
      <c r="K1069">
        <v>8</v>
      </c>
      <c r="L1069">
        <v>0.4</v>
      </c>
      <c r="M1069" t="s">
        <v>90</v>
      </c>
      <c r="O1069" t="s">
        <v>112</v>
      </c>
      <c r="P1069" t="s">
        <v>100</v>
      </c>
      <c r="Q1069" t="s">
        <v>1048</v>
      </c>
      <c r="R1069">
        <v>8</v>
      </c>
      <c r="S1069">
        <v>25</v>
      </c>
      <c r="T1069">
        <v>20</v>
      </c>
      <c r="U1069">
        <v>20</v>
      </c>
      <c r="V1069">
        <v>25</v>
      </c>
      <c r="W1069">
        <v>45</v>
      </c>
      <c r="X1069">
        <v>45</v>
      </c>
      <c r="Y1069">
        <f t="shared" si="480"/>
        <v>132</v>
      </c>
      <c r="Z1069">
        <f t="shared" si="481"/>
        <v>132</v>
      </c>
      <c r="AA1069">
        <f t="shared" si="482"/>
        <v>100</v>
      </c>
      <c r="AB1069">
        <f t="shared" si="483"/>
        <v>100</v>
      </c>
      <c r="AC1069">
        <f t="shared" si="484"/>
        <v>85</v>
      </c>
      <c r="AD1069">
        <f t="shared" si="485"/>
        <v>79</v>
      </c>
      <c r="AE1069">
        <f t="shared" si="486"/>
        <v>72</v>
      </c>
      <c r="AF1069">
        <f t="shared" si="487"/>
        <v>40</v>
      </c>
      <c r="AG1069">
        <f t="shared" si="488"/>
        <v>36</v>
      </c>
      <c r="AH1069">
        <f t="shared" si="489"/>
        <v>22</v>
      </c>
      <c r="AI1069">
        <f t="shared" si="490"/>
        <v>79</v>
      </c>
      <c r="AJ1069">
        <f t="shared" si="491"/>
        <v>72</v>
      </c>
      <c r="AK1069">
        <f t="shared" si="492"/>
        <v>40</v>
      </c>
      <c r="AL1069">
        <f t="shared" si="493"/>
        <v>36</v>
      </c>
      <c r="AM1069">
        <f t="shared" si="494"/>
        <v>22</v>
      </c>
      <c r="AN1069">
        <f t="shared" si="495"/>
        <v>84</v>
      </c>
      <c r="AO1069">
        <f t="shared" si="496"/>
        <v>77</v>
      </c>
      <c r="AP1069">
        <f t="shared" si="497"/>
        <v>45</v>
      </c>
      <c r="AQ1069">
        <f t="shared" si="498"/>
        <v>40</v>
      </c>
      <c r="AR1069">
        <f t="shared" si="499"/>
        <v>27</v>
      </c>
      <c r="AS1069">
        <f t="shared" si="500"/>
        <v>106</v>
      </c>
      <c r="AT1069">
        <f t="shared" si="501"/>
        <v>97</v>
      </c>
      <c r="AU1069">
        <f t="shared" si="502"/>
        <v>65</v>
      </c>
      <c r="AV1069">
        <f t="shared" si="503"/>
        <v>58</v>
      </c>
      <c r="AW1069">
        <f t="shared" si="504"/>
        <v>45</v>
      </c>
      <c r="AX1069">
        <f t="shared" si="505"/>
        <v>106</v>
      </c>
      <c r="AY1069">
        <f t="shared" si="506"/>
        <v>97</v>
      </c>
      <c r="AZ1069">
        <f t="shared" si="507"/>
        <v>65</v>
      </c>
      <c r="BA1069">
        <f t="shared" si="508"/>
        <v>58</v>
      </c>
      <c r="BB1069">
        <f t="shared" si="509"/>
        <v>45</v>
      </c>
    </row>
    <row r="1070" spans="1:54" x14ac:dyDescent="0.15">
      <c r="B1070" t="s">
        <v>3741</v>
      </c>
      <c r="C1070">
        <v>825</v>
      </c>
      <c r="D1070">
        <v>0</v>
      </c>
      <c r="E1070" t="s">
        <v>3742</v>
      </c>
      <c r="G1070" t="s">
        <v>3742</v>
      </c>
      <c r="J1070" t="s">
        <v>3743</v>
      </c>
      <c r="K1070">
        <v>19.5</v>
      </c>
      <c r="L1070">
        <v>0.4</v>
      </c>
      <c r="M1070" t="s">
        <v>90</v>
      </c>
      <c r="N1070" t="s">
        <v>191</v>
      </c>
      <c r="O1070" t="s">
        <v>112</v>
      </c>
      <c r="P1070" t="s">
        <v>100</v>
      </c>
      <c r="Q1070" t="s">
        <v>1048</v>
      </c>
      <c r="R1070">
        <v>8</v>
      </c>
      <c r="S1070">
        <v>50</v>
      </c>
      <c r="T1070">
        <v>35</v>
      </c>
      <c r="U1070">
        <v>80</v>
      </c>
      <c r="V1070">
        <v>50</v>
      </c>
      <c r="W1070">
        <v>90</v>
      </c>
      <c r="X1070">
        <v>30</v>
      </c>
      <c r="Y1070">
        <f t="shared" si="480"/>
        <v>157</v>
      </c>
      <c r="Z1070">
        <f t="shared" si="481"/>
        <v>157</v>
      </c>
      <c r="AA1070">
        <f t="shared" si="482"/>
        <v>125</v>
      </c>
      <c r="AB1070">
        <f t="shared" si="483"/>
        <v>125</v>
      </c>
      <c r="AC1070">
        <f t="shared" si="484"/>
        <v>110</v>
      </c>
      <c r="AD1070">
        <f t="shared" si="485"/>
        <v>95</v>
      </c>
      <c r="AE1070">
        <f t="shared" si="486"/>
        <v>87</v>
      </c>
      <c r="AF1070">
        <f t="shared" si="487"/>
        <v>55</v>
      </c>
      <c r="AG1070">
        <f t="shared" si="488"/>
        <v>49</v>
      </c>
      <c r="AH1070">
        <f t="shared" si="489"/>
        <v>36</v>
      </c>
      <c r="AI1070">
        <f t="shared" si="490"/>
        <v>145</v>
      </c>
      <c r="AJ1070">
        <f t="shared" si="491"/>
        <v>132</v>
      </c>
      <c r="AK1070">
        <f t="shared" si="492"/>
        <v>100</v>
      </c>
      <c r="AL1070">
        <f t="shared" si="493"/>
        <v>90</v>
      </c>
      <c r="AM1070">
        <f t="shared" si="494"/>
        <v>76</v>
      </c>
      <c r="AN1070">
        <f t="shared" si="495"/>
        <v>112</v>
      </c>
      <c r="AO1070">
        <f t="shared" si="496"/>
        <v>102</v>
      </c>
      <c r="AP1070">
        <f t="shared" si="497"/>
        <v>70</v>
      </c>
      <c r="AQ1070">
        <f t="shared" si="498"/>
        <v>63</v>
      </c>
      <c r="AR1070">
        <f t="shared" si="499"/>
        <v>49</v>
      </c>
      <c r="AS1070">
        <f t="shared" si="500"/>
        <v>156</v>
      </c>
      <c r="AT1070">
        <f t="shared" si="501"/>
        <v>142</v>
      </c>
      <c r="AU1070">
        <f t="shared" si="502"/>
        <v>110</v>
      </c>
      <c r="AV1070">
        <f t="shared" si="503"/>
        <v>99</v>
      </c>
      <c r="AW1070">
        <f t="shared" si="504"/>
        <v>85</v>
      </c>
      <c r="AX1070">
        <f t="shared" si="505"/>
        <v>90</v>
      </c>
      <c r="AY1070">
        <f t="shared" si="506"/>
        <v>82</v>
      </c>
      <c r="AZ1070">
        <f t="shared" si="507"/>
        <v>50</v>
      </c>
      <c r="BA1070">
        <f t="shared" si="508"/>
        <v>45</v>
      </c>
      <c r="BB1070">
        <f t="shared" si="509"/>
        <v>31</v>
      </c>
    </row>
    <row r="1071" spans="1:54" x14ac:dyDescent="0.15">
      <c r="B1071" t="s">
        <v>3744</v>
      </c>
      <c r="C1071">
        <v>826</v>
      </c>
      <c r="D1071">
        <v>0</v>
      </c>
      <c r="E1071" t="s">
        <v>3745</v>
      </c>
      <c r="G1071" t="s">
        <v>3745</v>
      </c>
      <c r="J1071" t="s">
        <v>3746</v>
      </c>
      <c r="K1071">
        <v>40.799999999999997</v>
      </c>
      <c r="L1071">
        <v>0.4</v>
      </c>
      <c r="M1071" t="s">
        <v>90</v>
      </c>
      <c r="N1071" t="s">
        <v>191</v>
      </c>
      <c r="O1071" t="s">
        <v>112</v>
      </c>
      <c r="P1071" t="s">
        <v>264</v>
      </c>
      <c r="Q1071" t="s">
        <v>1048</v>
      </c>
      <c r="R1071">
        <v>8</v>
      </c>
      <c r="S1071">
        <v>60</v>
      </c>
      <c r="T1071">
        <v>45</v>
      </c>
      <c r="U1071">
        <v>110</v>
      </c>
      <c r="V1071">
        <v>80</v>
      </c>
      <c r="W1071">
        <v>120</v>
      </c>
      <c r="X1071">
        <v>90</v>
      </c>
      <c r="Y1071">
        <f t="shared" si="480"/>
        <v>167</v>
      </c>
      <c r="Z1071">
        <f t="shared" si="481"/>
        <v>167</v>
      </c>
      <c r="AA1071">
        <f t="shared" si="482"/>
        <v>135</v>
      </c>
      <c r="AB1071">
        <f t="shared" si="483"/>
        <v>135</v>
      </c>
      <c r="AC1071">
        <f t="shared" si="484"/>
        <v>120</v>
      </c>
      <c r="AD1071">
        <f t="shared" si="485"/>
        <v>106</v>
      </c>
      <c r="AE1071">
        <f t="shared" si="486"/>
        <v>97</v>
      </c>
      <c r="AF1071">
        <f t="shared" si="487"/>
        <v>65</v>
      </c>
      <c r="AG1071">
        <f t="shared" si="488"/>
        <v>58</v>
      </c>
      <c r="AH1071">
        <f t="shared" si="489"/>
        <v>45</v>
      </c>
      <c r="AI1071">
        <f t="shared" si="490"/>
        <v>178</v>
      </c>
      <c r="AJ1071">
        <f t="shared" si="491"/>
        <v>162</v>
      </c>
      <c r="AK1071">
        <f t="shared" si="492"/>
        <v>130</v>
      </c>
      <c r="AL1071">
        <f t="shared" si="493"/>
        <v>117</v>
      </c>
      <c r="AM1071">
        <f t="shared" si="494"/>
        <v>103</v>
      </c>
      <c r="AN1071">
        <f t="shared" si="495"/>
        <v>145</v>
      </c>
      <c r="AO1071">
        <f t="shared" si="496"/>
        <v>132</v>
      </c>
      <c r="AP1071">
        <f t="shared" si="497"/>
        <v>100</v>
      </c>
      <c r="AQ1071">
        <f t="shared" si="498"/>
        <v>90</v>
      </c>
      <c r="AR1071">
        <f t="shared" si="499"/>
        <v>76</v>
      </c>
      <c r="AS1071">
        <f t="shared" si="500"/>
        <v>189</v>
      </c>
      <c r="AT1071">
        <f t="shared" si="501"/>
        <v>172</v>
      </c>
      <c r="AU1071">
        <f t="shared" si="502"/>
        <v>140</v>
      </c>
      <c r="AV1071">
        <f t="shared" si="503"/>
        <v>126</v>
      </c>
      <c r="AW1071">
        <f t="shared" si="504"/>
        <v>112</v>
      </c>
      <c r="AX1071">
        <f t="shared" si="505"/>
        <v>156</v>
      </c>
      <c r="AY1071">
        <f t="shared" si="506"/>
        <v>142</v>
      </c>
      <c r="AZ1071">
        <f t="shared" si="507"/>
        <v>110</v>
      </c>
      <c r="BA1071">
        <f t="shared" si="508"/>
        <v>99</v>
      </c>
      <c r="BB1071">
        <f t="shared" si="509"/>
        <v>85</v>
      </c>
    </row>
    <row r="1072" spans="1:54" x14ac:dyDescent="0.15">
      <c r="B1072" t="s">
        <v>3747</v>
      </c>
      <c r="C1072">
        <v>826</v>
      </c>
      <c r="D1072">
        <v>999</v>
      </c>
      <c r="E1072" t="s">
        <v>3745</v>
      </c>
      <c r="F1072" t="s">
        <v>40</v>
      </c>
      <c r="G1072" t="s">
        <v>3748</v>
      </c>
      <c r="J1072" t="s">
        <v>42</v>
      </c>
      <c r="K1072">
        <v>9999.9</v>
      </c>
      <c r="L1072">
        <v>14</v>
      </c>
      <c r="M1072" t="s">
        <v>90</v>
      </c>
      <c r="N1072" t="s">
        <v>191</v>
      </c>
      <c r="O1072" t="s">
        <v>112</v>
      </c>
      <c r="P1072" t="s">
        <v>264</v>
      </c>
      <c r="Q1072" t="s">
        <v>1048</v>
      </c>
      <c r="R1072">
        <v>8</v>
      </c>
      <c r="S1072">
        <v>60</v>
      </c>
      <c r="T1072">
        <v>45</v>
      </c>
      <c r="U1072">
        <v>110</v>
      </c>
      <c r="V1072">
        <v>80</v>
      </c>
      <c r="W1072">
        <v>120</v>
      </c>
      <c r="X1072">
        <v>90</v>
      </c>
      <c r="Y1072">
        <f t="shared" si="480"/>
        <v>167</v>
      </c>
      <c r="Z1072">
        <f t="shared" si="481"/>
        <v>167</v>
      </c>
      <c r="AA1072">
        <f t="shared" si="482"/>
        <v>135</v>
      </c>
      <c r="AB1072">
        <f t="shared" si="483"/>
        <v>135</v>
      </c>
      <c r="AC1072">
        <f t="shared" si="484"/>
        <v>120</v>
      </c>
      <c r="AD1072">
        <f t="shared" si="485"/>
        <v>106</v>
      </c>
      <c r="AE1072">
        <f t="shared" si="486"/>
        <v>97</v>
      </c>
      <c r="AF1072">
        <f t="shared" si="487"/>
        <v>65</v>
      </c>
      <c r="AG1072">
        <f t="shared" si="488"/>
        <v>58</v>
      </c>
      <c r="AH1072">
        <f t="shared" si="489"/>
        <v>45</v>
      </c>
      <c r="AI1072">
        <f t="shared" si="490"/>
        <v>178</v>
      </c>
      <c r="AJ1072">
        <f t="shared" si="491"/>
        <v>162</v>
      </c>
      <c r="AK1072">
        <f t="shared" si="492"/>
        <v>130</v>
      </c>
      <c r="AL1072">
        <f t="shared" si="493"/>
        <v>117</v>
      </c>
      <c r="AM1072">
        <f t="shared" si="494"/>
        <v>103</v>
      </c>
      <c r="AN1072">
        <f t="shared" si="495"/>
        <v>145</v>
      </c>
      <c r="AO1072">
        <f t="shared" si="496"/>
        <v>132</v>
      </c>
      <c r="AP1072">
        <f t="shared" si="497"/>
        <v>100</v>
      </c>
      <c r="AQ1072">
        <f t="shared" si="498"/>
        <v>90</v>
      </c>
      <c r="AR1072">
        <f t="shared" si="499"/>
        <v>76</v>
      </c>
      <c r="AS1072">
        <f t="shared" si="500"/>
        <v>189</v>
      </c>
      <c r="AT1072">
        <f t="shared" si="501"/>
        <v>172</v>
      </c>
      <c r="AU1072">
        <f t="shared" si="502"/>
        <v>140</v>
      </c>
      <c r="AV1072">
        <f t="shared" si="503"/>
        <v>126</v>
      </c>
      <c r="AW1072">
        <f t="shared" si="504"/>
        <v>112</v>
      </c>
      <c r="AX1072">
        <f t="shared" si="505"/>
        <v>156</v>
      </c>
      <c r="AY1072">
        <f t="shared" si="506"/>
        <v>142</v>
      </c>
      <c r="AZ1072">
        <f t="shared" si="507"/>
        <v>110</v>
      </c>
      <c r="BA1072">
        <f t="shared" si="508"/>
        <v>99</v>
      </c>
      <c r="BB1072">
        <f t="shared" si="509"/>
        <v>85</v>
      </c>
    </row>
    <row r="1073" spans="1:54" x14ac:dyDescent="0.15">
      <c r="B1073" t="s">
        <v>3749</v>
      </c>
      <c r="C1073">
        <v>827</v>
      </c>
      <c r="D1073">
        <v>0</v>
      </c>
      <c r="E1073" t="s">
        <v>3750</v>
      </c>
      <c r="G1073" t="s">
        <v>3750</v>
      </c>
      <c r="J1073" t="s">
        <v>244</v>
      </c>
      <c r="K1073">
        <v>8.9</v>
      </c>
      <c r="L1073">
        <v>0.6</v>
      </c>
      <c r="M1073" t="s">
        <v>140</v>
      </c>
      <c r="O1073" t="s">
        <v>92</v>
      </c>
      <c r="P1073" t="s">
        <v>624</v>
      </c>
      <c r="Q1073" t="s">
        <v>3339</v>
      </c>
      <c r="R1073">
        <v>8</v>
      </c>
      <c r="S1073">
        <v>40</v>
      </c>
      <c r="T1073">
        <v>28</v>
      </c>
      <c r="U1073">
        <v>28</v>
      </c>
      <c r="V1073">
        <v>47</v>
      </c>
      <c r="W1073">
        <v>52</v>
      </c>
      <c r="X1073">
        <v>50</v>
      </c>
      <c r="Y1073">
        <f t="shared" si="480"/>
        <v>147</v>
      </c>
      <c r="Z1073">
        <f t="shared" si="481"/>
        <v>147</v>
      </c>
      <c r="AA1073">
        <f t="shared" si="482"/>
        <v>115</v>
      </c>
      <c r="AB1073">
        <f t="shared" si="483"/>
        <v>115</v>
      </c>
      <c r="AC1073">
        <f t="shared" si="484"/>
        <v>100</v>
      </c>
      <c r="AD1073">
        <f t="shared" si="485"/>
        <v>88</v>
      </c>
      <c r="AE1073">
        <f t="shared" si="486"/>
        <v>80</v>
      </c>
      <c r="AF1073">
        <f t="shared" si="487"/>
        <v>48</v>
      </c>
      <c r="AG1073">
        <f t="shared" si="488"/>
        <v>43</v>
      </c>
      <c r="AH1073">
        <f t="shared" si="489"/>
        <v>29</v>
      </c>
      <c r="AI1073">
        <f t="shared" si="490"/>
        <v>88</v>
      </c>
      <c r="AJ1073">
        <f t="shared" si="491"/>
        <v>80</v>
      </c>
      <c r="AK1073">
        <f t="shared" si="492"/>
        <v>48</v>
      </c>
      <c r="AL1073">
        <f t="shared" si="493"/>
        <v>43</v>
      </c>
      <c r="AM1073">
        <f t="shared" si="494"/>
        <v>29</v>
      </c>
      <c r="AN1073">
        <f t="shared" si="495"/>
        <v>108</v>
      </c>
      <c r="AO1073">
        <f t="shared" si="496"/>
        <v>99</v>
      </c>
      <c r="AP1073">
        <f t="shared" si="497"/>
        <v>67</v>
      </c>
      <c r="AQ1073">
        <f t="shared" si="498"/>
        <v>60</v>
      </c>
      <c r="AR1073">
        <f t="shared" si="499"/>
        <v>46</v>
      </c>
      <c r="AS1073">
        <f t="shared" si="500"/>
        <v>114</v>
      </c>
      <c r="AT1073">
        <f t="shared" si="501"/>
        <v>104</v>
      </c>
      <c r="AU1073">
        <f t="shared" si="502"/>
        <v>72</v>
      </c>
      <c r="AV1073">
        <f t="shared" si="503"/>
        <v>64</v>
      </c>
      <c r="AW1073">
        <f t="shared" si="504"/>
        <v>51</v>
      </c>
      <c r="AX1073">
        <f t="shared" si="505"/>
        <v>112</v>
      </c>
      <c r="AY1073">
        <f t="shared" si="506"/>
        <v>102</v>
      </c>
      <c r="AZ1073">
        <f t="shared" si="507"/>
        <v>70</v>
      </c>
      <c r="BA1073">
        <f t="shared" si="508"/>
        <v>63</v>
      </c>
      <c r="BB1073">
        <f t="shared" si="509"/>
        <v>49</v>
      </c>
    </row>
    <row r="1074" spans="1:54" x14ac:dyDescent="0.15">
      <c r="B1074" t="s">
        <v>3751</v>
      </c>
      <c r="C1074">
        <v>828</v>
      </c>
      <c r="D1074">
        <v>0</v>
      </c>
      <c r="E1074" t="s">
        <v>3752</v>
      </c>
      <c r="G1074" t="s">
        <v>3752</v>
      </c>
      <c r="J1074" t="s">
        <v>244</v>
      </c>
      <c r="K1074">
        <v>19.899999999999999</v>
      </c>
      <c r="L1074">
        <v>1.2</v>
      </c>
      <c r="M1074" t="s">
        <v>140</v>
      </c>
      <c r="O1074" t="s">
        <v>92</v>
      </c>
      <c r="P1074" t="s">
        <v>624</v>
      </c>
      <c r="Q1074" t="s">
        <v>3339</v>
      </c>
      <c r="R1074">
        <v>8</v>
      </c>
      <c r="S1074">
        <v>70</v>
      </c>
      <c r="T1074">
        <v>58</v>
      </c>
      <c r="U1074">
        <v>58</v>
      </c>
      <c r="V1074">
        <v>87</v>
      </c>
      <c r="W1074">
        <v>92</v>
      </c>
      <c r="X1074">
        <v>90</v>
      </c>
      <c r="Y1074">
        <f t="shared" si="480"/>
        <v>177</v>
      </c>
      <c r="Z1074">
        <f t="shared" si="481"/>
        <v>177</v>
      </c>
      <c r="AA1074">
        <f t="shared" si="482"/>
        <v>145</v>
      </c>
      <c r="AB1074">
        <f t="shared" si="483"/>
        <v>145</v>
      </c>
      <c r="AC1074">
        <f t="shared" si="484"/>
        <v>130</v>
      </c>
      <c r="AD1074">
        <f t="shared" si="485"/>
        <v>121</v>
      </c>
      <c r="AE1074">
        <f t="shared" si="486"/>
        <v>110</v>
      </c>
      <c r="AF1074">
        <f t="shared" si="487"/>
        <v>78</v>
      </c>
      <c r="AG1074">
        <f t="shared" si="488"/>
        <v>70</v>
      </c>
      <c r="AH1074">
        <f t="shared" si="489"/>
        <v>56</v>
      </c>
      <c r="AI1074">
        <f t="shared" si="490"/>
        <v>121</v>
      </c>
      <c r="AJ1074">
        <f t="shared" si="491"/>
        <v>110</v>
      </c>
      <c r="AK1074">
        <f t="shared" si="492"/>
        <v>78</v>
      </c>
      <c r="AL1074">
        <f t="shared" si="493"/>
        <v>70</v>
      </c>
      <c r="AM1074">
        <f t="shared" si="494"/>
        <v>56</v>
      </c>
      <c r="AN1074">
        <f t="shared" si="495"/>
        <v>152</v>
      </c>
      <c r="AO1074">
        <f t="shared" si="496"/>
        <v>139</v>
      </c>
      <c r="AP1074">
        <f t="shared" si="497"/>
        <v>107</v>
      </c>
      <c r="AQ1074">
        <f t="shared" si="498"/>
        <v>96</v>
      </c>
      <c r="AR1074">
        <f t="shared" si="499"/>
        <v>82</v>
      </c>
      <c r="AS1074">
        <f t="shared" si="500"/>
        <v>158</v>
      </c>
      <c r="AT1074">
        <f t="shared" si="501"/>
        <v>144</v>
      </c>
      <c r="AU1074">
        <f t="shared" si="502"/>
        <v>112</v>
      </c>
      <c r="AV1074">
        <f t="shared" si="503"/>
        <v>100</v>
      </c>
      <c r="AW1074">
        <f t="shared" si="504"/>
        <v>87</v>
      </c>
      <c r="AX1074">
        <f t="shared" si="505"/>
        <v>156</v>
      </c>
      <c r="AY1074">
        <f t="shared" si="506"/>
        <v>142</v>
      </c>
      <c r="AZ1074">
        <f t="shared" si="507"/>
        <v>110</v>
      </c>
      <c r="BA1074">
        <f t="shared" si="508"/>
        <v>99</v>
      </c>
      <c r="BB1074">
        <f t="shared" si="509"/>
        <v>85</v>
      </c>
    </row>
    <row r="1075" spans="1:54" x14ac:dyDescent="0.15">
      <c r="B1075" t="s">
        <v>3753</v>
      </c>
      <c r="C1075">
        <v>829</v>
      </c>
      <c r="D1075">
        <v>0</v>
      </c>
      <c r="E1075" t="s">
        <v>3754</v>
      </c>
      <c r="G1075" t="s">
        <v>3754</v>
      </c>
      <c r="J1075" t="s">
        <v>2477</v>
      </c>
      <c r="K1075">
        <v>2.2000000000000002</v>
      </c>
      <c r="L1075">
        <v>0.4</v>
      </c>
      <c r="M1075" t="s">
        <v>26</v>
      </c>
      <c r="O1075" t="s">
        <v>3755</v>
      </c>
      <c r="P1075" t="s">
        <v>471</v>
      </c>
      <c r="Q1075" t="s">
        <v>284</v>
      </c>
      <c r="R1075">
        <v>8</v>
      </c>
      <c r="S1075">
        <v>40</v>
      </c>
      <c r="T1075">
        <v>40</v>
      </c>
      <c r="U1075">
        <v>60</v>
      </c>
      <c r="V1075">
        <v>40</v>
      </c>
      <c r="W1075">
        <v>60</v>
      </c>
      <c r="X1075">
        <v>10</v>
      </c>
      <c r="Y1075">
        <f t="shared" si="480"/>
        <v>147</v>
      </c>
      <c r="Z1075">
        <f t="shared" si="481"/>
        <v>147</v>
      </c>
      <c r="AA1075">
        <f t="shared" si="482"/>
        <v>115</v>
      </c>
      <c r="AB1075">
        <f t="shared" si="483"/>
        <v>115</v>
      </c>
      <c r="AC1075">
        <f t="shared" si="484"/>
        <v>100</v>
      </c>
      <c r="AD1075">
        <f t="shared" si="485"/>
        <v>101</v>
      </c>
      <c r="AE1075">
        <f t="shared" si="486"/>
        <v>92</v>
      </c>
      <c r="AF1075">
        <f t="shared" si="487"/>
        <v>60</v>
      </c>
      <c r="AG1075">
        <f t="shared" si="488"/>
        <v>54</v>
      </c>
      <c r="AH1075">
        <f t="shared" si="489"/>
        <v>40</v>
      </c>
      <c r="AI1075">
        <f t="shared" si="490"/>
        <v>123</v>
      </c>
      <c r="AJ1075">
        <f t="shared" si="491"/>
        <v>112</v>
      </c>
      <c r="AK1075">
        <f t="shared" si="492"/>
        <v>80</v>
      </c>
      <c r="AL1075">
        <f t="shared" si="493"/>
        <v>72</v>
      </c>
      <c r="AM1075">
        <f t="shared" si="494"/>
        <v>58</v>
      </c>
      <c r="AN1075">
        <f t="shared" si="495"/>
        <v>101</v>
      </c>
      <c r="AO1075">
        <f t="shared" si="496"/>
        <v>92</v>
      </c>
      <c r="AP1075">
        <f t="shared" si="497"/>
        <v>60</v>
      </c>
      <c r="AQ1075">
        <f t="shared" si="498"/>
        <v>54</v>
      </c>
      <c r="AR1075">
        <f t="shared" si="499"/>
        <v>40</v>
      </c>
      <c r="AS1075">
        <f t="shared" si="500"/>
        <v>123</v>
      </c>
      <c r="AT1075">
        <f t="shared" si="501"/>
        <v>112</v>
      </c>
      <c r="AU1075">
        <f t="shared" si="502"/>
        <v>80</v>
      </c>
      <c r="AV1075">
        <f t="shared" si="503"/>
        <v>72</v>
      </c>
      <c r="AW1075">
        <f t="shared" si="504"/>
        <v>58</v>
      </c>
      <c r="AX1075">
        <f t="shared" si="505"/>
        <v>68</v>
      </c>
      <c r="AY1075">
        <f t="shared" si="506"/>
        <v>62</v>
      </c>
      <c r="AZ1075">
        <f t="shared" si="507"/>
        <v>30</v>
      </c>
      <c r="BA1075">
        <f t="shared" si="508"/>
        <v>27</v>
      </c>
      <c r="BB1075">
        <f t="shared" si="509"/>
        <v>13</v>
      </c>
    </row>
    <row r="1076" spans="1:54" x14ac:dyDescent="0.15">
      <c r="B1076" t="s">
        <v>3756</v>
      </c>
      <c r="C1076">
        <v>830</v>
      </c>
      <c r="D1076">
        <v>0</v>
      </c>
      <c r="E1076" t="s">
        <v>3757</v>
      </c>
      <c r="G1076" t="s">
        <v>3757</v>
      </c>
      <c r="J1076" t="s">
        <v>3758</v>
      </c>
      <c r="K1076">
        <v>2.5</v>
      </c>
      <c r="L1076">
        <v>0.5</v>
      </c>
      <c r="M1076" t="s">
        <v>26</v>
      </c>
      <c r="O1076" t="s">
        <v>3755</v>
      </c>
      <c r="P1076" t="s">
        <v>471</v>
      </c>
      <c r="Q1076" t="s">
        <v>284</v>
      </c>
      <c r="R1076">
        <v>8</v>
      </c>
      <c r="S1076">
        <v>60</v>
      </c>
      <c r="T1076">
        <v>50</v>
      </c>
      <c r="U1076">
        <v>90</v>
      </c>
      <c r="V1076">
        <v>80</v>
      </c>
      <c r="W1076">
        <v>120</v>
      </c>
      <c r="X1076">
        <v>60</v>
      </c>
      <c r="Y1076">
        <f t="shared" si="480"/>
        <v>167</v>
      </c>
      <c r="Z1076">
        <f t="shared" si="481"/>
        <v>167</v>
      </c>
      <c r="AA1076">
        <f t="shared" si="482"/>
        <v>135</v>
      </c>
      <c r="AB1076">
        <f t="shared" si="483"/>
        <v>135</v>
      </c>
      <c r="AC1076">
        <f t="shared" si="484"/>
        <v>120</v>
      </c>
      <c r="AD1076">
        <f t="shared" si="485"/>
        <v>112</v>
      </c>
      <c r="AE1076">
        <f t="shared" si="486"/>
        <v>102</v>
      </c>
      <c r="AF1076">
        <f t="shared" si="487"/>
        <v>70</v>
      </c>
      <c r="AG1076">
        <f t="shared" si="488"/>
        <v>63</v>
      </c>
      <c r="AH1076">
        <f t="shared" si="489"/>
        <v>49</v>
      </c>
      <c r="AI1076">
        <f t="shared" si="490"/>
        <v>156</v>
      </c>
      <c r="AJ1076">
        <f t="shared" si="491"/>
        <v>142</v>
      </c>
      <c r="AK1076">
        <f t="shared" si="492"/>
        <v>110</v>
      </c>
      <c r="AL1076">
        <f t="shared" si="493"/>
        <v>99</v>
      </c>
      <c r="AM1076">
        <f t="shared" si="494"/>
        <v>85</v>
      </c>
      <c r="AN1076">
        <f t="shared" si="495"/>
        <v>145</v>
      </c>
      <c r="AO1076">
        <f t="shared" si="496"/>
        <v>132</v>
      </c>
      <c r="AP1076">
        <f t="shared" si="497"/>
        <v>100</v>
      </c>
      <c r="AQ1076">
        <f t="shared" si="498"/>
        <v>90</v>
      </c>
      <c r="AR1076">
        <f t="shared" si="499"/>
        <v>76</v>
      </c>
      <c r="AS1076">
        <f t="shared" si="500"/>
        <v>189</v>
      </c>
      <c r="AT1076">
        <f t="shared" si="501"/>
        <v>172</v>
      </c>
      <c r="AU1076">
        <f t="shared" si="502"/>
        <v>140</v>
      </c>
      <c r="AV1076">
        <f t="shared" si="503"/>
        <v>126</v>
      </c>
      <c r="AW1076">
        <f t="shared" si="504"/>
        <v>112</v>
      </c>
      <c r="AX1076">
        <f t="shared" si="505"/>
        <v>123</v>
      </c>
      <c r="AY1076">
        <f t="shared" si="506"/>
        <v>112</v>
      </c>
      <c r="AZ1076">
        <f t="shared" si="507"/>
        <v>80</v>
      </c>
      <c r="BA1076">
        <f t="shared" si="508"/>
        <v>72</v>
      </c>
      <c r="BB1076">
        <f t="shared" si="509"/>
        <v>58</v>
      </c>
    </row>
    <row r="1077" spans="1:54" x14ac:dyDescent="0.15">
      <c r="B1077" t="s">
        <v>3759</v>
      </c>
      <c r="C1077">
        <v>831</v>
      </c>
      <c r="D1077">
        <v>0</v>
      </c>
      <c r="E1077" t="s">
        <v>3760</v>
      </c>
      <c r="G1077" t="s">
        <v>3760</v>
      </c>
      <c r="J1077" t="s">
        <v>3761</v>
      </c>
      <c r="K1077">
        <v>6</v>
      </c>
      <c r="L1077">
        <v>0.6</v>
      </c>
      <c r="M1077" t="s">
        <v>120</v>
      </c>
      <c r="O1077" t="s">
        <v>3463</v>
      </c>
      <c r="P1077" t="s">
        <v>92</v>
      </c>
      <c r="Q1077" t="s">
        <v>2917</v>
      </c>
      <c r="R1077">
        <v>8</v>
      </c>
      <c r="S1077">
        <v>42</v>
      </c>
      <c r="T1077">
        <v>40</v>
      </c>
      <c r="U1077">
        <v>55</v>
      </c>
      <c r="V1077">
        <v>40</v>
      </c>
      <c r="W1077">
        <v>45</v>
      </c>
      <c r="X1077">
        <v>48</v>
      </c>
      <c r="Y1077">
        <f t="shared" si="480"/>
        <v>149</v>
      </c>
      <c r="Z1077">
        <f t="shared" si="481"/>
        <v>149</v>
      </c>
      <c r="AA1077">
        <f t="shared" si="482"/>
        <v>117</v>
      </c>
      <c r="AB1077">
        <f t="shared" si="483"/>
        <v>117</v>
      </c>
      <c r="AC1077">
        <f t="shared" si="484"/>
        <v>102</v>
      </c>
      <c r="AD1077">
        <f t="shared" si="485"/>
        <v>101</v>
      </c>
      <c r="AE1077">
        <f t="shared" si="486"/>
        <v>92</v>
      </c>
      <c r="AF1077">
        <f t="shared" si="487"/>
        <v>60</v>
      </c>
      <c r="AG1077">
        <f t="shared" si="488"/>
        <v>54</v>
      </c>
      <c r="AH1077">
        <f t="shared" si="489"/>
        <v>40</v>
      </c>
      <c r="AI1077">
        <f t="shared" si="490"/>
        <v>117</v>
      </c>
      <c r="AJ1077">
        <f t="shared" si="491"/>
        <v>107</v>
      </c>
      <c r="AK1077">
        <f t="shared" si="492"/>
        <v>75</v>
      </c>
      <c r="AL1077">
        <f t="shared" si="493"/>
        <v>67</v>
      </c>
      <c r="AM1077">
        <f t="shared" si="494"/>
        <v>54</v>
      </c>
      <c r="AN1077">
        <f t="shared" si="495"/>
        <v>101</v>
      </c>
      <c r="AO1077">
        <f t="shared" si="496"/>
        <v>92</v>
      </c>
      <c r="AP1077">
        <f t="shared" si="497"/>
        <v>60</v>
      </c>
      <c r="AQ1077">
        <f t="shared" si="498"/>
        <v>54</v>
      </c>
      <c r="AR1077">
        <f t="shared" si="499"/>
        <v>40</v>
      </c>
      <c r="AS1077">
        <f t="shared" si="500"/>
        <v>106</v>
      </c>
      <c r="AT1077">
        <f t="shared" si="501"/>
        <v>97</v>
      </c>
      <c r="AU1077">
        <f t="shared" si="502"/>
        <v>65</v>
      </c>
      <c r="AV1077">
        <f t="shared" si="503"/>
        <v>58</v>
      </c>
      <c r="AW1077">
        <f t="shared" si="504"/>
        <v>45</v>
      </c>
      <c r="AX1077">
        <f t="shared" si="505"/>
        <v>110</v>
      </c>
      <c r="AY1077">
        <f t="shared" si="506"/>
        <v>100</v>
      </c>
      <c r="AZ1077">
        <f t="shared" si="507"/>
        <v>68</v>
      </c>
      <c r="BA1077">
        <f t="shared" si="508"/>
        <v>61</v>
      </c>
      <c r="BB1077">
        <f t="shared" si="509"/>
        <v>47</v>
      </c>
    </row>
    <row r="1078" spans="1:54" x14ac:dyDescent="0.15">
      <c r="B1078" t="s">
        <v>3762</v>
      </c>
      <c r="C1078">
        <v>832</v>
      </c>
      <c r="D1078">
        <v>0</v>
      </c>
      <c r="E1078" t="s">
        <v>3763</v>
      </c>
      <c r="G1078" t="s">
        <v>3763</v>
      </c>
      <c r="J1078" t="s">
        <v>3761</v>
      </c>
      <c r="K1078">
        <v>43</v>
      </c>
      <c r="L1078">
        <v>1.3</v>
      </c>
      <c r="M1078" t="s">
        <v>120</v>
      </c>
      <c r="O1078" t="s">
        <v>3463</v>
      </c>
      <c r="P1078" t="s">
        <v>404</v>
      </c>
      <c r="Q1078" t="s">
        <v>2917</v>
      </c>
      <c r="R1078">
        <v>8</v>
      </c>
      <c r="S1078">
        <v>72</v>
      </c>
      <c r="T1078">
        <v>80</v>
      </c>
      <c r="U1078">
        <v>100</v>
      </c>
      <c r="V1078">
        <v>60</v>
      </c>
      <c r="W1078">
        <v>90</v>
      </c>
      <c r="X1078">
        <v>88</v>
      </c>
      <c r="Y1078">
        <f t="shared" si="480"/>
        <v>179</v>
      </c>
      <c r="Z1078">
        <f t="shared" si="481"/>
        <v>179</v>
      </c>
      <c r="AA1078">
        <f t="shared" si="482"/>
        <v>147</v>
      </c>
      <c r="AB1078">
        <f t="shared" si="483"/>
        <v>147</v>
      </c>
      <c r="AC1078">
        <f t="shared" si="484"/>
        <v>132</v>
      </c>
      <c r="AD1078">
        <f t="shared" si="485"/>
        <v>145</v>
      </c>
      <c r="AE1078">
        <f t="shared" si="486"/>
        <v>132</v>
      </c>
      <c r="AF1078">
        <f t="shared" si="487"/>
        <v>100</v>
      </c>
      <c r="AG1078">
        <f t="shared" si="488"/>
        <v>90</v>
      </c>
      <c r="AH1078">
        <f t="shared" si="489"/>
        <v>76</v>
      </c>
      <c r="AI1078">
        <f t="shared" si="490"/>
        <v>167</v>
      </c>
      <c r="AJ1078">
        <f t="shared" si="491"/>
        <v>152</v>
      </c>
      <c r="AK1078">
        <f t="shared" si="492"/>
        <v>120</v>
      </c>
      <c r="AL1078">
        <f t="shared" si="493"/>
        <v>108</v>
      </c>
      <c r="AM1078">
        <f t="shared" si="494"/>
        <v>94</v>
      </c>
      <c r="AN1078">
        <f t="shared" si="495"/>
        <v>123</v>
      </c>
      <c r="AO1078">
        <f t="shared" si="496"/>
        <v>112</v>
      </c>
      <c r="AP1078">
        <f t="shared" si="497"/>
        <v>80</v>
      </c>
      <c r="AQ1078">
        <f t="shared" si="498"/>
        <v>72</v>
      </c>
      <c r="AR1078">
        <f t="shared" si="499"/>
        <v>58</v>
      </c>
      <c r="AS1078">
        <f t="shared" si="500"/>
        <v>156</v>
      </c>
      <c r="AT1078">
        <f t="shared" si="501"/>
        <v>142</v>
      </c>
      <c r="AU1078">
        <f t="shared" si="502"/>
        <v>110</v>
      </c>
      <c r="AV1078">
        <f t="shared" si="503"/>
        <v>99</v>
      </c>
      <c r="AW1078">
        <f t="shared" si="504"/>
        <v>85</v>
      </c>
      <c r="AX1078">
        <f t="shared" si="505"/>
        <v>154</v>
      </c>
      <c r="AY1078">
        <f t="shared" si="506"/>
        <v>140</v>
      </c>
      <c r="AZ1078">
        <f t="shared" si="507"/>
        <v>108</v>
      </c>
      <c r="BA1078">
        <f t="shared" si="508"/>
        <v>97</v>
      </c>
      <c r="BB1078">
        <f t="shared" si="509"/>
        <v>83</v>
      </c>
    </row>
    <row r="1079" spans="1:54" x14ac:dyDescent="0.15">
      <c r="A1079">
        <v>702</v>
      </c>
      <c r="B1079" t="s">
        <v>3764</v>
      </c>
      <c r="C1079">
        <v>833</v>
      </c>
      <c r="D1079">
        <v>0</v>
      </c>
      <c r="E1079" t="s">
        <v>3765</v>
      </c>
      <c r="G1079" t="s">
        <v>3765</v>
      </c>
      <c r="H1079" t="s">
        <v>3766</v>
      </c>
      <c r="J1079" t="s">
        <v>3767</v>
      </c>
      <c r="K1079">
        <v>8.5</v>
      </c>
      <c r="L1079">
        <v>0.3</v>
      </c>
      <c r="M1079" t="s">
        <v>71</v>
      </c>
      <c r="O1079" t="s">
        <v>1513</v>
      </c>
      <c r="P1079" t="s">
        <v>481</v>
      </c>
      <c r="Q1079" t="s">
        <v>346</v>
      </c>
      <c r="R1079">
        <v>9</v>
      </c>
      <c r="S1079">
        <v>50</v>
      </c>
      <c r="T1079">
        <v>64</v>
      </c>
      <c r="U1079">
        <v>50</v>
      </c>
      <c r="V1079">
        <v>38</v>
      </c>
      <c r="W1079">
        <v>38</v>
      </c>
      <c r="X1079">
        <v>44</v>
      </c>
      <c r="Y1079">
        <f t="shared" si="480"/>
        <v>157</v>
      </c>
      <c r="Z1079">
        <f t="shared" si="481"/>
        <v>157</v>
      </c>
      <c r="AA1079">
        <f t="shared" si="482"/>
        <v>125</v>
      </c>
      <c r="AB1079">
        <f t="shared" si="483"/>
        <v>125</v>
      </c>
      <c r="AC1079">
        <f t="shared" si="484"/>
        <v>110</v>
      </c>
      <c r="AD1079">
        <f t="shared" si="485"/>
        <v>127</v>
      </c>
      <c r="AE1079">
        <f t="shared" si="486"/>
        <v>116</v>
      </c>
      <c r="AF1079">
        <f t="shared" si="487"/>
        <v>84</v>
      </c>
      <c r="AG1079">
        <f t="shared" si="488"/>
        <v>75</v>
      </c>
      <c r="AH1079">
        <f t="shared" si="489"/>
        <v>62</v>
      </c>
      <c r="AI1079">
        <f t="shared" si="490"/>
        <v>112</v>
      </c>
      <c r="AJ1079">
        <f t="shared" si="491"/>
        <v>102</v>
      </c>
      <c r="AK1079">
        <f t="shared" si="492"/>
        <v>70</v>
      </c>
      <c r="AL1079">
        <f t="shared" si="493"/>
        <v>63</v>
      </c>
      <c r="AM1079">
        <f t="shared" si="494"/>
        <v>49</v>
      </c>
      <c r="AN1079">
        <f t="shared" si="495"/>
        <v>99</v>
      </c>
      <c r="AO1079">
        <f t="shared" si="496"/>
        <v>90</v>
      </c>
      <c r="AP1079">
        <f t="shared" si="497"/>
        <v>58</v>
      </c>
      <c r="AQ1079">
        <f t="shared" si="498"/>
        <v>52</v>
      </c>
      <c r="AR1079">
        <f t="shared" si="499"/>
        <v>38</v>
      </c>
      <c r="AS1079">
        <f t="shared" si="500"/>
        <v>99</v>
      </c>
      <c r="AT1079">
        <f t="shared" si="501"/>
        <v>90</v>
      </c>
      <c r="AU1079">
        <f t="shared" si="502"/>
        <v>58</v>
      </c>
      <c r="AV1079">
        <f t="shared" si="503"/>
        <v>52</v>
      </c>
      <c r="AW1079">
        <f t="shared" si="504"/>
        <v>38</v>
      </c>
      <c r="AX1079">
        <f t="shared" si="505"/>
        <v>105</v>
      </c>
      <c r="AY1079">
        <f t="shared" si="506"/>
        <v>96</v>
      </c>
      <c r="AZ1079">
        <f t="shared" si="507"/>
        <v>64</v>
      </c>
      <c r="BA1079">
        <f t="shared" si="508"/>
        <v>57</v>
      </c>
      <c r="BB1079">
        <f t="shared" si="509"/>
        <v>44</v>
      </c>
    </row>
    <row r="1080" spans="1:54" x14ac:dyDescent="0.15">
      <c r="A1080">
        <v>703</v>
      </c>
      <c r="B1080" t="s">
        <v>3768</v>
      </c>
      <c r="C1080">
        <v>834</v>
      </c>
      <c r="D1080">
        <v>0</v>
      </c>
      <c r="E1080" t="s">
        <v>3769</v>
      </c>
      <c r="G1080" t="s">
        <v>3769</v>
      </c>
      <c r="H1080" t="s">
        <v>3770</v>
      </c>
      <c r="J1080" t="s">
        <v>1291</v>
      </c>
      <c r="K1080">
        <v>115.5</v>
      </c>
      <c r="L1080">
        <v>1</v>
      </c>
      <c r="M1080" t="s">
        <v>71</v>
      </c>
      <c r="N1080" t="s">
        <v>371</v>
      </c>
      <c r="O1080" t="s">
        <v>1513</v>
      </c>
      <c r="P1080" t="s">
        <v>481</v>
      </c>
      <c r="Q1080" t="s">
        <v>346</v>
      </c>
      <c r="R1080">
        <v>9</v>
      </c>
      <c r="S1080">
        <v>90</v>
      </c>
      <c r="T1080">
        <v>115</v>
      </c>
      <c r="U1080">
        <v>90</v>
      </c>
      <c r="V1080">
        <v>48</v>
      </c>
      <c r="W1080">
        <v>68</v>
      </c>
      <c r="X1080">
        <v>74</v>
      </c>
      <c r="Y1080">
        <f t="shared" si="480"/>
        <v>197</v>
      </c>
      <c r="Z1080">
        <f t="shared" si="481"/>
        <v>197</v>
      </c>
      <c r="AA1080">
        <f t="shared" si="482"/>
        <v>165</v>
      </c>
      <c r="AB1080">
        <f t="shared" si="483"/>
        <v>165</v>
      </c>
      <c r="AC1080">
        <f t="shared" si="484"/>
        <v>150</v>
      </c>
      <c r="AD1080">
        <f t="shared" si="485"/>
        <v>183</v>
      </c>
      <c r="AE1080">
        <f t="shared" si="486"/>
        <v>167</v>
      </c>
      <c r="AF1080">
        <f t="shared" si="487"/>
        <v>135</v>
      </c>
      <c r="AG1080">
        <f t="shared" si="488"/>
        <v>121</v>
      </c>
      <c r="AH1080">
        <f t="shared" si="489"/>
        <v>108</v>
      </c>
      <c r="AI1080">
        <f t="shared" si="490"/>
        <v>156</v>
      </c>
      <c r="AJ1080">
        <f t="shared" si="491"/>
        <v>142</v>
      </c>
      <c r="AK1080">
        <f t="shared" si="492"/>
        <v>110</v>
      </c>
      <c r="AL1080">
        <f t="shared" si="493"/>
        <v>99</v>
      </c>
      <c r="AM1080">
        <f t="shared" si="494"/>
        <v>85</v>
      </c>
      <c r="AN1080">
        <f t="shared" si="495"/>
        <v>110</v>
      </c>
      <c r="AO1080">
        <f t="shared" si="496"/>
        <v>100</v>
      </c>
      <c r="AP1080">
        <f t="shared" si="497"/>
        <v>68</v>
      </c>
      <c r="AQ1080">
        <f t="shared" si="498"/>
        <v>61</v>
      </c>
      <c r="AR1080">
        <f t="shared" si="499"/>
        <v>47</v>
      </c>
      <c r="AS1080">
        <f t="shared" si="500"/>
        <v>132</v>
      </c>
      <c r="AT1080">
        <f t="shared" si="501"/>
        <v>120</v>
      </c>
      <c r="AU1080">
        <f t="shared" si="502"/>
        <v>88</v>
      </c>
      <c r="AV1080">
        <f t="shared" si="503"/>
        <v>79</v>
      </c>
      <c r="AW1080">
        <f t="shared" si="504"/>
        <v>65</v>
      </c>
      <c r="AX1080">
        <f t="shared" si="505"/>
        <v>138</v>
      </c>
      <c r="AY1080">
        <f t="shared" si="506"/>
        <v>126</v>
      </c>
      <c r="AZ1080">
        <f t="shared" si="507"/>
        <v>94</v>
      </c>
      <c r="BA1080">
        <f t="shared" si="508"/>
        <v>84</v>
      </c>
      <c r="BB1080">
        <f t="shared" si="509"/>
        <v>71</v>
      </c>
    </row>
    <row r="1081" spans="1:54" x14ac:dyDescent="0.15">
      <c r="B1081" t="s">
        <v>3771</v>
      </c>
      <c r="C1081">
        <v>834</v>
      </c>
      <c r="D1081">
        <v>999</v>
      </c>
      <c r="E1081" t="s">
        <v>3769</v>
      </c>
      <c r="F1081" t="s">
        <v>40</v>
      </c>
      <c r="G1081" t="s">
        <v>3772</v>
      </c>
      <c r="J1081" t="s">
        <v>42</v>
      </c>
      <c r="K1081">
        <v>9999.9</v>
      </c>
      <c r="L1081">
        <v>24</v>
      </c>
      <c r="M1081" t="s">
        <v>71</v>
      </c>
      <c r="N1081" t="s">
        <v>371</v>
      </c>
      <c r="O1081" t="s">
        <v>1513</v>
      </c>
      <c r="P1081" t="s">
        <v>481</v>
      </c>
      <c r="Q1081" t="s">
        <v>346</v>
      </c>
      <c r="R1081">
        <v>8</v>
      </c>
      <c r="S1081">
        <v>90</v>
      </c>
      <c r="T1081">
        <v>115</v>
      </c>
      <c r="U1081">
        <v>90</v>
      </c>
      <c r="V1081">
        <v>48</v>
      </c>
      <c r="W1081">
        <v>68</v>
      </c>
      <c r="X1081">
        <v>74</v>
      </c>
      <c r="Y1081">
        <f t="shared" si="480"/>
        <v>197</v>
      </c>
      <c r="Z1081">
        <f t="shared" si="481"/>
        <v>197</v>
      </c>
      <c r="AA1081">
        <f t="shared" si="482"/>
        <v>165</v>
      </c>
      <c r="AB1081">
        <f t="shared" si="483"/>
        <v>165</v>
      </c>
      <c r="AC1081">
        <f t="shared" si="484"/>
        <v>150</v>
      </c>
      <c r="AD1081">
        <f t="shared" si="485"/>
        <v>183</v>
      </c>
      <c r="AE1081">
        <f t="shared" si="486"/>
        <v>167</v>
      </c>
      <c r="AF1081">
        <f t="shared" si="487"/>
        <v>135</v>
      </c>
      <c r="AG1081">
        <f t="shared" si="488"/>
        <v>121</v>
      </c>
      <c r="AH1081">
        <f t="shared" si="489"/>
        <v>108</v>
      </c>
      <c r="AI1081">
        <f t="shared" si="490"/>
        <v>156</v>
      </c>
      <c r="AJ1081">
        <f t="shared" si="491"/>
        <v>142</v>
      </c>
      <c r="AK1081">
        <f t="shared" si="492"/>
        <v>110</v>
      </c>
      <c r="AL1081">
        <f t="shared" si="493"/>
        <v>99</v>
      </c>
      <c r="AM1081">
        <f t="shared" si="494"/>
        <v>85</v>
      </c>
      <c r="AN1081">
        <f t="shared" si="495"/>
        <v>110</v>
      </c>
      <c r="AO1081">
        <f t="shared" si="496"/>
        <v>100</v>
      </c>
      <c r="AP1081">
        <f t="shared" si="497"/>
        <v>68</v>
      </c>
      <c r="AQ1081">
        <f t="shared" si="498"/>
        <v>61</v>
      </c>
      <c r="AR1081">
        <f t="shared" si="499"/>
        <v>47</v>
      </c>
      <c r="AS1081">
        <f t="shared" si="500"/>
        <v>132</v>
      </c>
      <c r="AT1081">
        <f t="shared" si="501"/>
        <v>120</v>
      </c>
      <c r="AU1081">
        <f t="shared" si="502"/>
        <v>88</v>
      </c>
      <c r="AV1081">
        <f t="shared" si="503"/>
        <v>79</v>
      </c>
      <c r="AW1081">
        <f t="shared" si="504"/>
        <v>65</v>
      </c>
      <c r="AX1081">
        <f t="shared" si="505"/>
        <v>138</v>
      </c>
      <c r="AY1081">
        <f t="shared" si="506"/>
        <v>126</v>
      </c>
      <c r="AZ1081">
        <f t="shared" si="507"/>
        <v>94</v>
      </c>
      <c r="BA1081">
        <f t="shared" si="508"/>
        <v>84</v>
      </c>
      <c r="BB1081">
        <f t="shared" si="509"/>
        <v>71</v>
      </c>
    </row>
    <row r="1082" spans="1:54" x14ac:dyDescent="0.15">
      <c r="B1082" t="s">
        <v>3773</v>
      </c>
      <c r="C1082">
        <v>835</v>
      </c>
      <c r="D1082">
        <v>0</v>
      </c>
      <c r="E1082" t="s">
        <v>3774</v>
      </c>
      <c r="G1082" t="s">
        <v>3774</v>
      </c>
      <c r="J1082" t="s">
        <v>364</v>
      </c>
      <c r="K1082">
        <v>13.5</v>
      </c>
      <c r="L1082">
        <v>0.3</v>
      </c>
      <c r="M1082" t="s">
        <v>164</v>
      </c>
      <c r="O1082" t="s">
        <v>3775</v>
      </c>
      <c r="P1082" t="s">
        <v>736</v>
      </c>
      <c r="R1082">
        <v>8</v>
      </c>
      <c r="S1082">
        <v>59</v>
      </c>
      <c r="T1082">
        <v>45</v>
      </c>
      <c r="U1082">
        <v>50</v>
      </c>
      <c r="V1082">
        <v>40</v>
      </c>
      <c r="W1082">
        <v>50</v>
      </c>
      <c r="X1082">
        <v>26</v>
      </c>
      <c r="Y1082">
        <f t="shared" si="480"/>
        <v>166</v>
      </c>
      <c r="Z1082">
        <f t="shared" si="481"/>
        <v>166</v>
      </c>
      <c r="AA1082">
        <f t="shared" si="482"/>
        <v>134</v>
      </c>
      <c r="AB1082">
        <f t="shared" si="483"/>
        <v>134</v>
      </c>
      <c r="AC1082">
        <f t="shared" si="484"/>
        <v>119</v>
      </c>
      <c r="AD1082">
        <f t="shared" si="485"/>
        <v>106</v>
      </c>
      <c r="AE1082">
        <f t="shared" si="486"/>
        <v>97</v>
      </c>
      <c r="AF1082">
        <f t="shared" si="487"/>
        <v>65</v>
      </c>
      <c r="AG1082">
        <f t="shared" si="488"/>
        <v>58</v>
      </c>
      <c r="AH1082">
        <f t="shared" si="489"/>
        <v>45</v>
      </c>
      <c r="AI1082">
        <f t="shared" si="490"/>
        <v>112</v>
      </c>
      <c r="AJ1082">
        <f t="shared" si="491"/>
        <v>102</v>
      </c>
      <c r="AK1082">
        <f t="shared" si="492"/>
        <v>70</v>
      </c>
      <c r="AL1082">
        <f t="shared" si="493"/>
        <v>63</v>
      </c>
      <c r="AM1082">
        <f t="shared" si="494"/>
        <v>49</v>
      </c>
      <c r="AN1082">
        <f t="shared" si="495"/>
        <v>101</v>
      </c>
      <c r="AO1082">
        <f t="shared" si="496"/>
        <v>92</v>
      </c>
      <c r="AP1082">
        <f t="shared" si="497"/>
        <v>60</v>
      </c>
      <c r="AQ1082">
        <f t="shared" si="498"/>
        <v>54</v>
      </c>
      <c r="AR1082">
        <f t="shared" si="499"/>
        <v>40</v>
      </c>
      <c r="AS1082">
        <f t="shared" si="500"/>
        <v>112</v>
      </c>
      <c r="AT1082">
        <f t="shared" si="501"/>
        <v>102</v>
      </c>
      <c r="AU1082">
        <f t="shared" si="502"/>
        <v>70</v>
      </c>
      <c r="AV1082">
        <f t="shared" si="503"/>
        <v>63</v>
      </c>
      <c r="AW1082">
        <f t="shared" si="504"/>
        <v>49</v>
      </c>
      <c r="AX1082">
        <f t="shared" si="505"/>
        <v>85</v>
      </c>
      <c r="AY1082">
        <f t="shared" si="506"/>
        <v>78</v>
      </c>
      <c r="AZ1082">
        <f t="shared" si="507"/>
        <v>46</v>
      </c>
      <c r="BA1082">
        <f t="shared" si="508"/>
        <v>41</v>
      </c>
      <c r="BB1082">
        <f t="shared" si="509"/>
        <v>27</v>
      </c>
    </row>
    <row r="1083" spans="1:54" x14ac:dyDescent="0.15">
      <c r="B1083" t="s">
        <v>3776</v>
      </c>
      <c r="C1083">
        <v>836</v>
      </c>
      <c r="D1083">
        <v>0</v>
      </c>
      <c r="E1083" t="s">
        <v>3777</v>
      </c>
      <c r="G1083" t="s">
        <v>3777</v>
      </c>
      <c r="J1083" t="s">
        <v>3778</v>
      </c>
      <c r="K1083">
        <v>34</v>
      </c>
      <c r="L1083">
        <v>1</v>
      </c>
      <c r="M1083" t="s">
        <v>164</v>
      </c>
      <c r="O1083" t="s">
        <v>1513</v>
      </c>
      <c r="P1083" t="s">
        <v>260</v>
      </c>
      <c r="R1083">
        <v>8</v>
      </c>
      <c r="S1083">
        <v>69</v>
      </c>
      <c r="T1083">
        <v>90</v>
      </c>
      <c r="U1083">
        <v>60</v>
      </c>
      <c r="V1083">
        <v>90</v>
      </c>
      <c r="W1083">
        <v>60</v>
      </c>
      <c r="X1083">
        <v>121</v>
      </c>
      <c r="Y1083">
        <f t="shared" si="480"/>
        <v>176</v>
      </c>
      <c r="Z1083">
        <f t="shared" si="481"/>
        <v>176</v>
      </c>
      <c r="AA1083">
        <f t="shared" si="482"/>
        <v>144</v>
      </c>
      <c r="AB1083">
        <f t="shared" si="483"/>
        <v>144</v>
      </c>
      <c r="AC1083">
        <f t="shared" si="484"/>
        <v>129</v>
      </c>
      <c r="AD1083">
        <f t="shared" si="485"/>
        <v>156</v>
      </c>
      <c r="AE1083">
        <f t="shared" si="486"/>
        <v>142</v>
      </c>
      <c r="AF1083">
        <f t="shared" si="487"/>
        <v>110</v>
      </c>
      <c r="AG1083">
        <f t="shared" si="488"/>
        <v>99</v>
      </c>
      <c r="AH1083">
        <f t="shared" si="489"/>
        <v>85</v>
      </c>
      <c r="AI1083">
        <f t="shared" si="490"/>
        <v>123</v>
      </c>
      <c r="AJ1083">
        <f t="shared" si="491"/>
        <v>112</v>
      </c>
      <c r="AK1083">
        <f t="shared" si="492"/>
        <v>80</v>
      </c>
      <c r="AL1083">
        <f t="shared" si="493"/>
        <v>72</v>
      </c>
      <c r="AM1083">
        <f t="shared" si="494"/>
        <v>58</v>
      </c>
      <c r="AN1083">
        <f t="shared" si="495"/>
        <v>156</v>
      </c>
      <c r="AO1083">
        <f t="shared" si="496"/>
        <v>142</v>
      </c>
      <c r="AP1083">
        <f t="shared" si="497"/>
        <v>110</v>
      </c>
      <c r="AQ1083">
        <f t="shared" si="498"/>
        <v>99</v>
      </c>
      <c r="AR1083">
        <f t="shared" si="499"/>
        <v>85</v>
      </c>
      <c r="AS1083">
        <f t="shared" si="500"/>
        <v>123</v>
      </c>
      <c r="AT1083">
        <f t="shared" si="501"/>
        <v>112</v>
      </c>
      <c r="AU1083">
        <f t="shared" si="502"/>
        <v>80</v>
      </c>
      <c r="AV1083">
        <f t="shared" si="503"/>
        <v>72</v>
      </c>
      <c r="AW1083">
        <f t="shared" si="504"/>
        <v>58</v>
      </c>
      <c r="AX1083">
        <f t="shared" si="505"/>
        <v>190</v>
      </c>
      <c r="AY1083">
        <f t="shared" si="506"/>
        <v>173</v>
      </c>
      <c r="AZ1083">
        <f t="shared" si="507"/>
        <v>141</v>
      </c>
      <c r="BA1083">
        <f t="shared" si="508"/>
        <v>126</v>
      </c>
      <c r="BB1083">
        <f t="shared" si="509"/>
        <v>113</v>
      </c>
    </row>
    <row r="1084" spans="1:54" x14ac:dyDescent="0.15">
      <c r="A1084">
        <v>731</v>
      </c>
      <c r="B1084" t="s">
        <v>3779</v>
      </c>
      <c r="C1084">
        <v>837</v>
      </c>
      <c r="D1084">
        <v>0</v>
      </c>
      <c r="E1084" t="s">
        <v>3780</v>
      </c>
      <c r="G1084" t="s">
        <v>3780</v>
      </c>
      <c r="H1084" t="s">
        <v>3781</v>
      </c>
      <c r="J1084" t="s">
        <v>1535</v>
      </c>
      <c r="K1084">
        <v>12</v>
      </c>
      <c r="L1084">
        <v>0.3</v>
      </c>
      <c r="M1084" t="s">
        <v>371</v>
      </c>
      <c r="O1084" t="s">
        <v>3782</v>
      </c>
      <c r="P1084" t="s">
        <v>2002</v>
      </c>
      <c r="Q1084" t="s">
        <v>245</v>
      </c>
      <c r="R1084">
        <v>9</v>
      </c>
      <c r="S1084">
        <v>30</v>
      </c>
      <c r="T1084">
        <v>40</v>
      </c>
      <c r="U1084">
        <v>50</v>
      </c>
      <c r="V1084">
        <v>40</v>
      </c>
      <c r="W1084">
        <v>50</v>
      </c>
      <c r="X1084">
        <v>30</v>
      </c>
      <c r="Y1084">
        <f t="shared" si="480"/>
        <v>137</v>
      </c>
      <c r="Z1084">
        <f t="shared" si="481"/>
        <v>137</v>
      </c>
      <c r="AA1084">
        <f t="shared" si="482"/>
        <v>105</v>
      </c>
      <c r="AB1084">
        <f t="shared" si="483"/>
        <v>105</v>
      </c>
      <c r="AC1084">
        <f t="shared" si="484"/>
        <v>90</v>
      </c>
      <c r="AD1084">
        <f t="shared" si="485"/>
        <v>101</v>
      </c>
      <c r="AE1084">
        <f t="shared" si="486"/>
        <v>92</v>
      </c>
      <c r="AF1084">
        <f t="shared" si="487"/>
        <v>60</v>
      </c>
      <c r="AG1084">
        <f t="shared" si="488"/>
        <v>54</v>
      </c>
      <c r="AH1084">
        <f t="shared" si="489"/>
        <v>40</v>
      </c>
      <c r="AI1084">
        <f t="shared" si="490"/>
        <v>112</v>
      </c>
      <c r="AJ1084">
        <f t="shared" si="491"/>
        <v>102</v>
      </c>
      <c r="AK1084">
        <f t="shared" si="492"/>
        <v>70</v>
      </c>
      <c r="AL1084">
        <f t="shared" si="493"/>
        <v>63</v>
      </c>
      <c r="AM1084">
        <f t="shared" si="494"/>
        <v>49</v>
      </c>
      <c r="AN1084">
        <f t="shared" si="495"/>
        <v>101</v>
      </c>
      <c r="AO1084">
        <f t="shared" si="496"/>
        <v>92</v>
      </c>
      <c r="AP1084">
        <f t="shared" si="497"/>
        <v>60</v>
      </c>
      <c r="AQ1084">
        <f t="shared" si="498"/>
        <v>54</v>
      </c>
      <c r="AR1084">
        <f t="shared" si="499"/>
        <v>40</v>
      </c>
      <c r="AS1084">
        <f t="shared" si="500"/>
        <v>112</v>
      </c>
      <c r="AT1084">
        <f t="shared" si="501"/>
        <v>102</v>
      </c>
      <c r="AU1084">
        <f t="shared" si="502"/>
        <v>70</v>
      </c>
      <c r="AV1084">
        <f t="shared" si="503"/>
        <v>63</v>
      </c>
      <c r="AW1084">
        <f t="shared" si="504"/>
        <v>49</v>
      </c>
      <c r="AX1084">
        <f t="shared" si="505"/>
        <v>90</v>
      </c>
      <c r="AY1084">
        <f t="shared" si="506"/>
        <v>82</v>
      </c>
      <c r="AZ1084">
        <f t="shared" si="507"/>
        <v>50</v>
      </c>
      <c r="BA1084">
        <f t="shared" si="508"/>
        <v>45</v>
      </c>
      <c r="BB1084">
        <f t="shared" si="509"/>
        <v>31</v>
      </c>
    </row>
    <row r="1085" spans="1:54" x14ac:dyDescent="0.15">
      <c r="A1085">
        <v>732</v>
      </c>
      <c r="B1085" t="s">
        <v>3783</v>
      </c>
      <c r="C1085">
        <v>838</v>
      </c>
      <c r="D1085">
        <v>0</v>
      </c>
      <c r="E1085" t="s">
        <v>3784</v>
      </c>
      <c r="G1085" t="s">
        <v>3784</v>
      </c>
      <c r="H1085" t="s">
        <v>3785</v>
      </c>
      <c r="J1085" t="s">
        <v>1535</v>
      </c>
      <c r="K1085">
        <v>78</v>
      </c>
      <c r="L1085">
        <v>1.1000000000000001</v>
      </c>
      <c r="M1085" t="s">
        <v>371</v>
      </c>
      <c r="N1085" t="s">
        <v>47</v>
      </c>
      <c r="O1085" t="s">
        <v>3782</v>
      </c>
      <c r="P1085" t="s">
        <v>456</v>
      </c>
      <c r="Q1085" t="s">
        <v>245</v>
      </c>
      <c r="R1085">
        <v>9</v>
      </c>
      <c r="S1085">
        <v>80</v>
      </c>
      <c r="T1085">
        <v>60</v>
      </c>
      <c r="U1085">
        <v>90</v>
      </c>
      <c r="V1085">
        <v>60</v>
      </c>
      <c r="W1085">
        <v>70</v>
      </c>
      <c r="X1085">
        <v>50</v>
      </c>
      <c r="Y1085">
        <f t="shared" si="480"/>
        <v>187</v>
      </c>
      <c r="Z1085">
        <f t="shared" si="481"/>
        <v>187</v>
      </c>
      <c r="AA1085">
        <f t="shared" si="482"/>
        <v>155</v>
      </c>
      <c r="AB1085">
        <f t="shared" si="483"/>
        <v>155</v>
      </c>
      <c r="AC1085">
        <f t="shared" si="484"/>
        <v>140</v>
      </c>
      <c r="AD1085">
        <f t="shared" si="485"/>
        <v>123</v>
      </c>
      <c r="AE1085">
        <f t="shared" si="486"/>
        <v>112</v>
      </c>
      <c r="AF1085">
        <f t="shared" si="487"/>
        <v>80</v>
      </c>
      <c r="AG1085">
        <f t="shared" si="488"/>
        <v>72</v>
      </c>
      <c r="AH1085">
        <f t="shared" si="489"/>
        <v>58</v>
      </c>
      <c r="AI1085">
        <f t="shared" si="490"/>
        <v>156</v>
      </c>
      <c r="AJ1085">
        <f t="shared" si="491"/>
        <v>142</v>
      </c>
      <c r="AK1085">
        <f t="shared" si="492"/>
        <v>110</v>
      </c>
      <c r="AL1085">
        <f t="shared" si="493"/>
        <v>99</v>
      </c>
      <c r="AM1085">
        <f t="shared" si="494"/>
        <v>85</v>
      </c>
      <c r="AN1085">
        <f t="shared" si="495"/>
        <v>123</v>
      </c>
      <c r="AO1085">
        <f t="shared" si="496"/>
        <v>112</v>
      </c>
      <c r="AP1085">
        <f t="shared" si="497"/>
        <v>80</v>
      </c>
      <c r="AQ1085">
        <f t="shared" si="498"/>
        <v>72</v>
      </c>
      <c r="AR1085">
        <f t="shared" si="499"/>
        <v>58</v>
      </c>
      <c r="AS1085">
        <f t="shared" si="500"/>
        <v>134</v>
      </c>
      <c r="AT1085">
        <f t="shared" si="501"/>
        <v>122</v>
      </c>
      <c r="AU1085">
        <f t="shared" si="502"/>
        <v>90</v>
      </c>
      <c r="AV1085">
        <f t="shared" si="503"/>
        <v>81</v>
      </c>
      <c r="AW1085">
        <f t="shared" si="504"/>
        <v>67</v>
      </c>
      <c r="AX1085">
        <f t="shared" si="505"/>
        <v>112</v>
      </c>
      <c r="AY1085">
        <f t="shared" si="506"/>
        <v>102</v>
      </c>
      <c r="AZ1085">
        <f t="shared" si="507"/>
        <v>70</v>
      </c>
      <c r="BA1085">
        <f t="shared" si="508"/>
        <v>63</v>
      </c>
      <c r="BB1085">
        <f t="shared" si="509"/>
        <v>49</v>
      </c>
    </row>
    <row r="1086" spans="1:54" x14ac:dyDescent="0.15">
      <c r="A1086">
        <v>733</v>
      </c>
      <c r="B1086" t="s">
        <v>3786</v>
      </c>
      <c r="C1086">
        <v>839</v>
      </c>
      <c r="D1086">
        <v>0</v>
      </c>
      <c r="E1086" t="s">
        <v>3787</v>
      </c>
      <c r="G1086" t="s">
        <v>3787</v>
      </c>
      <c r="H1086" t="s">
        <v>3788</v>
      </c>
      <c r="J1086" t="s">
        <v>1535</v>
      </c>
      <c r="K1086">
        <v>310.5</v>
      </c>
      <c r="L1086">
        <v>2.8</v>
      </c>
      <c r="M1086" t="s">
        <v>371</v>
      </c>
      <c r="N1086" t="s">
        <v>47</v>
      </c>
      <c r="O1086" t="s">
        <v>3782</v>
      </c>
      <c r="P1086" t="s">
        <v>456</v>
      </c>
      <c r="Q1086" t="s">
        <v>245</v>
      </c>
      <c r="R1086">
        <v>9</v>
      </c>
      <c r="S1086">
        <v>110</v>
      </c>
      <c r="T1086">
        <v>80</v>
      </c>
      <c r="U1086">
        <v>120</v>
      </c>
      <c r="V1086">
        <v>80</v>
      </c>
      <c r="W1086">
        <v>90</v>
      </c>
      <c r="X1086">
        <v>30</v>
      </c>
      <c r="Y1086">
        <f t="shared" si="480"/>
        <v>217</v>
      </c>
      <c r="Z1086">
        <f t="shared" si="481"/>
        <v>217</v>
      </c>
      <c r="AA1086">
        <f t="shared" si="482"/>
        <v>185</v>
      </c>
      <c r="AB1086">
        <f t="shared" si="483"/>
        <v>185</v>
      </c>
      <c r="AC1086">
        <f t="shared" si="484"/>
        <v>170</v>
      </c>
      <c r="AD1086">
        <f t="shared" si="485"/>
        <v>145</v>
      </c>
      <c r="AE1086">
        <f t="shared" si="486"/>
        <v>132</v>
      </c>
      <c r="AF1086">
        <f t="shared" si="487"/>
        <v>100</v>
      </c>
      <c r="AG1086">
        <f t="shared" si="488"/>
        <v>90</v>
      </c>
      <c r="AH1086">
        <f t="shared" si="489"/>
        <v>76</v>
      </c>
      <c r="AI1086">
        <f t="shared" si="490"/>
        <v>189</v>
      </c>
      <c r="AJ1086">
        <f t="shared" si="491"/>
        <v>172</v>
      </c>
      <c r="AK1086">
        <f t="shared" si="492"/>
        <v>140</v>
      </c>
      <c r="AL1086">
        <f t="shared" si="493"/>
        <v>126</v>
      </c>
      <c r="AM1086">
        <f t="shared" si="494"/>
        <v>112</v>
      </c>
      <c r="AN1086">
        <f t="shared" si="495"/>
        <v>145</v>
      </c>
      <c r="AO1086">
        <f t="shared" si="496"/>
        <v>132</v>
      </c>
      <c r="AP1086">
        <f t="shared" si="497"/>
        <v>100</v>
      </c>
      <c r="AQ1086">
        <f t="shared" si="498"/>
        <v>90</v>
      </c>
      <c r="AR1086">
        <f t="shared" si="499"/>
        <v>76</v>
      </c>
      <c r="AS1086">
        <f t="shared" si="500"/>
        <v>156</v>
      </c>
      <c r="AT1086">
        <f t="shared" si="501"/>
        <v>142</v>
      </c>
      <c r="AU1086">
        <f t="shared" si="502"/>
        <v>110</v>
      </c>
      <c r="AV1086">
        <f t="shared" si="503"/>
        <v>99</v>
      </c>
      <c r="AW1086">
        <f t="shared" si="504"/>
        <v>85</v>
      </c>
      <c r="AX1086">
        <f t="shared" si="505"/>
        <v>90</v>
      </c>
      <c r="AY1086">
        <f t="shared" si="506"/>
        <v>82</v>
      </c>
      <c r="AZ1086">
        <f t="shared" si="507"/>
        <v>50</v>
      </c>
      <c r="BA1086">
        <f t="shared" si="508"/>
        <v>45</v>
      </c>
      <c r="BB1086">
        <f t="shared" si="509"/>
        <v>31</v>
      </c>
    </row>
    <row r="1087" spans="1:54" x14ac:dyDescent="0.15">
      <c r="B1087" t="s">
        <v>3789</v>
      </c>
      <c r="C1087">
        <v>839</v>
      </c>
      <c r="D1087">
        <v>999</v>
      </c>
      <c r="E1087" t="s">
        <v>3787</v>
      </c>
      <c r="F1087" t="s">
        <v>40</v>
      </c>
      <c r="G1087" t="s">
        <v>3790</v>
      </c>
      <c r="J1087" t="s">
        <v>42</v>
      </c>
      <c r="K1087">
        <v>9999.9</v>
      </c>
      <c r="L1087">
        <v>42</v>
      </c>
      <c r="M1087" t="s">
        <v>371</v>
      </c>
      <c r="N1087" t="s">
        <v>47</v>
      </c>
      <c r="O1087" t="s">
        <v>3782</v>
      </c>
      <c r="P1087" t="s">
        <v>456</v>
      </c>
      <c r="Q1087" t="s">
        <v>245</v>
      </c>
      <c r="R1087">
        <v>8</v>
      </c>
      <c r="S1087">
        <v>110</v>
      </c>
      <c r="T1087">
        <v>80</v>
      </c>
      <c r="U1087">
        <v>120</v>
      </c>
      <c r="V1087">
        <v>80</v>
      </c>
      <c r="W1087">
        <v>90</v>
      </c>
      <c r="X1087">
        <v>30</v>
      </c>
      <c r="Y1087">
        <f t="shared" si="480"/>
        <v>217</v>
      </c>
      <c r="Z1087">
        <f t="shared" si="481"/>
        <v>217</v>
      </c>
      <c r="AA1087">
        <f t="shared" si="482"/>
        <v>185</v>
      </c>
      <c r="AB1087">
        <f t="shared" si="483"/>
        <v>185</v>
      </c>
      <c r="AC1087">
        <f t="shared" si="484"/>
        <v>170</v>
      </c>
      <c r="AD1087">
        <f t="shared" si="485"/>
        <v>145</v>
      </c>
      <c r="AE1087">
        <f t="shared" si="486"/>
        <v>132</v>
      </c>
      <c r="AF1087">
        <f t="shared" si="487"/>
        <v>100</v>
      </c>
      <c r="AG1087">
        <f t="shared" si="488"/>
        <v>90</v>
      </c>
      <c r="AH1087">
        <f t="shared" si="489"/>
        <v>76</v>
      </c>
      <c r="AI1087">
        <f t="shared" si="490"/>
        <v>189</v>
      </c>
      <c r="AJ1087">
        <f t="shared" si="491"/>
        <v>172</v>
      </c>
      <c r="AK1087">
        <f t="shared" si="492"/>
        <v>140</v>
      </c>
      <c r="AL1087">
        <f t="shared" si="493"/>
        <v>126</v>
      </c>
      <c r="AM1087">
        <f t="shared" si="494"/>
        <v>112</v>
      </c>
      <c r="AN1087">
        <f t="shared" si="495"/>
        <v>145</v>
      </c>
      <c r="AO1087">
        <f t="shared" si="496"/>
        <v>132</v>
      </c>
      <c r="AP1087">
        <f t="shared" si="497"/>
        <v>100</v>
      </c>
      <c r="AQ1087">
        <f t="shared" si="498"/>
        <v>90</v>
      </c>
      <c r="AR1087">
        <f t="shared" si="499"/>
        <v>76</v>
      </c>
      <c r="AS1087">
        <f t="shared" si="500"/>
        <v>156</v>
      </c>
      <c r="AT1087">
        <f t="shared" si="501"/>
        <v>142</v>
      </c>
      <c r="AU1087">
        <f t="shared" si="502"/>
        <v>110</v>
      </c>
      <c r="AV1087">
        <f t="shared" si="503"/>
        <v>99</v>
      </c>
      <c r="AW1087">
        <f t="shared" si="504"/>
        <v>85</v>
      </c>
      <c r="AX1087">
        <f t="shared" si="505"/>
        <v>90</v>
      </c>
      <c r="AY1087">
        <f t="shared" si="506"/>
        <v>82</v>
      </c>
      <c r="AZ1087">
        <f t="shared" si="507"/>
        <v>50</v>
      </c>
      <c r="BA1087">
        <f t="shared" si="508"/>
        <v>45</v>
      </c>
      <c r="BB1087">
        <f t="shared" si="509"/>
        <v>31</v>
      </c>
    </row>
    <row r="1088" spans="1:54" x14ac:dyDescent="0.15">
      <c r="A1088">
        <v>761</v>
      </c>
      <c r="B1088" t="s">
        <v>3791</v>
      </c>
      <c r="C1088">
        <v>840</v>
      </c>
      <c r="D1088">
        <v>0</v>
      </c>
      <c r="E1088" t="s">
        <v>3792</v>
      </c>
      <c r="G1088" t="s">
        <v>3792</v>
      </c>
      <c r="H1088" t="s">
        <v>3793</v>
      </c>
      <c r="J1088" t="s">
        <v>3794</v>
      </c>
      <c r="K1088">
        <v>0.5</v>
      </c>
      <c r="L1088">
        <v>0.2</v>
      </c>
      <c r="M1088" t="s">
        <v>26</v>
      </c>
      <c r="N1088" t="s">
        <v>60</v>
      </c>
      <c r="O1088" t="s">
        <v>3795</v>
      </c>
      <c r="P1088" t="s">
        <v>141</v>
      </c>
      <c r="Q1088" t="s">
        <v>2917</v>
      </c>
      <c r="R1088">
        <v>9</v>
      </c>
      <c r="S1088">
        <v>40</v>
      </c>
      <c r="T1088">
        <v>40</v>
      </c>
      <c r="U1088">
        <v>80</v>
      </c>
      <c r="V1088">
        <v>40</v>
      </c>
      <c r="W1088">
        <v>40</v>
      </c>
      <c r="X1088">
        <v>20</v>
      </c>
      <c r="Y1088">
        <f t="shared" si="480"/>
        <v>147</v>
      </c>
      <c r="Z1088">
        <f t="shared" si="481"/>
        <v>147</v>
      </c>
      <c r="AA1088">
        <f t="shared" si="482"/>
        <v>115</v>
      </c>
      <c r="AB1088">
        <f t="shared" si="483"/>
        <v>115</v>
      </c>
      <c r="AC1088">
        <f t="shared" si="484"/>
        <v>100</v>
      </c>
      <c r="AD1088">
        <f t="shared" si="485"/>
        <v>101</v>
      </c>
      <c r="AE1088">
        <f t="shared" si="486"/>
        <v>92</v>
      </c>
      <c r="AF1088">
        <f t="shared" si="487"/>
        <v>60</v>
      </c>
      <c r="AG1088">
        <f t="shared" si="488"/>
        <v>54</v>
      </c>
      <c r="AH1088">
        <f t="shared" si="489"/>
        <v>40</v>
      </c>
      <c r="AI1088">
        <f t="shared" si="490"/>
        <v>145</v>
      </c>
      <c r="AJ1088">
        <f t="shared" si="491"/>
        <v>132</v>
      </c>
      <c r="AK1088">
        <f t="shared" si="492"/>
        <v>100</v>
      </c>
      <c r="AL1088">
        <f t="shared" si="493"/>
        <v>90</v>
      </c>
      <c r="AM1088">
        <f t="shared" si="494"/>
        <v>76</v>
      </c>
      <c r="AN1088">
        <f t="shared" si="495"/>
        <v>101</v>
      </c>
      <c r="AO1088">
        <f t="shared" si="496"/>
        <v>92</v>
      </c>
      <c r="AP1088">
        <f t="shared" si="497"/>
        <v>60</v>
      </c>
      <c r="AQ1088">
        <f t="shared" si="498"/>
        <v>54</v>
      </c>
      <c r="AR1088">
        <f t="shared" si="499"/>
        <v>40</v>
      </c>
      <c r="AS1088">
        <f t="shared" si="500"/>
        <v>101</v>
      </c>
      <c r="AT1088">
        <f t="shared" si="501"/>
        <v>92</v>
      </c>
      <c r="AU1088">
        <f t="shared" si="502"/>
        <v>60</v>
      </c>
      <c r="AV1088">
        <f t="shared" si="503"/>
        <v>54</v>
      </c>
      <c r="AW1088">
        <f t="shared" si="504"/>
        <v>40</v>
      </c>
      <c r="AX1088">
        <f t="shared" si="505"/>
        <v>79</v>
      </c>
      <c r="AY1088">
        <f t="shared" si="506"/>
        <v>72</v>
      </c>
      <c r="AZ1088">
        <f t="shared" si="507"/>
        <v>40</v>
      </c>
      <c r="BA1088">
        <f t="shared" si="508"/>
        <v>36</v>
      </c>
      <c r="BB1088">
        <f t="shared" si="509"/>
        <v>22</v>
      </c>
    </row>
    <row r="1089" spans="1:54" x14ac:dyDescent="0.15">
      <c r="A1089">
        <v>762</v>
      </c>
      <c r="B1089" t="s">
        <v>3796</v>
      </c>
      <c r="C1089">
        <v>841</v>
      </c>
      <c r="D1089">
        <v>0</v>
      </c>
      <c r="E1089" t="s">
        <v>3797</v>
      </c>
      <c r="G1089" t="s">
        <v>3797</v>
      </c>
      <c r="H1089" t="s">
        <v>3798</v>
      </c>
      <c r="J1089" t="s">
        <v>3799</v>
      </c>
      <c r="K1089">
        <v>1</v>
      </c>
      <c r="L1089">
        <v>0.3</v>
      </c>
      <c r="M1089" t="s">
        <v>26</v>
      </c>
      <c r="N1089" t="s">
        <v>60</v>
      </c>
      <c r="O1089" t="s">
        <v>3795</v>
      </c>
      <c r="P1089" t="s">
        <v>141</v>
      </c>
      <c r="Q1089" t="s">
        <v>136</v>
      </c>
      <c r="R1089">
        <v>9</v>
      </c>
      <c r="S1089">
        <v>70</v>
      </c>
      <c r="T1089">
        <v>110</v>
      </c>
      <c r="U1089">
        <v>80</v>
      </c>
      <c r="V1089">
        <v>95</v>
      </c>
      <c r="W1089">
        <v>60</v>
      </c>
      <c r="X1089">
        <v>70</v>
      </c>
      <c r="Y1089">
        <f t="shared" si="480"/>
        <v>177</v>
      </c>
      <c r="Z1089">
        <f t="shared" si="481"/>
        <v>177</v>
      </c>
      <c r="AA1089">
        <f t="shared" si="482"/>
        <v>145</v>
      </c>
      <c r="AB1089">
        <f t="shared" si="483"/>
        <v>145</v>
      </c>
      <c r="AC1089">
        <f t="shared" si="484"/>
        <v>130</v>
      </c>
      <c r="AD1089">
        <f t="shared" si="485"/>
        <v>178</v>
      </c>
      <c r="AE1089">
        <f t="shared" si="486"/>
        <v>162</v>
      </c>
      <c r="AF1089">
        <f t="shared" si="487"/>
        <v>130</v>
      </c>
      <c r="AG1089">
        <f t="shared" si="488"/>
        <v>117</v>
      </c>
      <c r="AH1089">
        <f t="shared" si="489"/>
        <v>103</v>
      </c>
      <c r="AI1089">
        <f t="shared" si="490"/>
        <v>145</v>
      </c>
      <c r="AJ1089">
        <f t="shared" si="491"/>
        <v>132</v>
      </c>
      <c r="AK1089">
        <f t="shared" si="492"/>
        <v>100</v>
      </c>
      <c r="AL1089">
        <f t="shared" si="493"/>
        <v>90</v>
      </c>
      <c r="AM1089">
        <f t="shared" si="494"/>
        <v>76</v>
      </c>
      <c r="AN1089">
        <f t="shared" si="495"/>
        <v>161</v>
      </c>
      <c r="AO1089">
        <f t="shared" si="496"/>
        <v>147</v>
      </c>
      <c r="AP1089">
        <f t="shared" si="497"/>
        <v>115</v>
      </c>
      <c r="AQ1089">
        <f t="shared" si="498"/>
        <v>103</v>
      </c>
      <c r="AR1089">
        <f t="shared" si="499"/>
        <v>90</v>
      </c>
      <c r="AS1089">
        <f t="shared" si="500"/>
        <v>123</v>
      </c>
      <c r="AT1089">
        <f t="shared" si="501"/>
        <v>112</v>
      </c>
      <c r="AU1089">
        <f t="shared" si="502"/>
        <v>80</v>
      </c>
      <c r="AV1089">
        <f t="shared" si="503"/>
        <v>72</v>
      </c>
      <c r="AW1089">
        <f t="shared" si="504"/>
        <v>58</v>
      </c>
      <c r="AX1089">
        <f t="shared" si="505"/>
        <v>134</v>
      </c>
      <c r="AY1089">
        <f t="shared" si="506"/>
        <v>122</v>
      </c>
      <c r="AZ1089">
        <f t="shared" si="507"/>
        <v>90</v>
      </c>
      <c r="BA1089">
        <f t="shared" si="508"/>
        <v>81</v>
      </c>
      <c r="BB1089">
        <f t="shared" si="509"/>
        <v>67</v>
      </c>
    </row>
    <row r="1090" spans="1:54" x14ac:dyDescent="0.15">
      <c r="B1090" t="s">
        <v>3800</v>
      </c>
      <c r="C1090">
        <v>841</v>
      </c>
      <c r="D1090">
        <v>999</v>
      </c>
      <c r="E1090" t="s">
        <v>3797</v>
      </c>
      <c r="F1090" t="s">
        <v>40</v>
      </c>
      <c r="G1090" t="s">
        <v>3801</v>
      </c>
      <c r="J1090" t="s">
        <v>42</v>
      </c>
      <c r="K1090">
        <v>9999.9</v>
      </c>
      <c r="L1090">
        <v>24</v>
      </c>
      <c r="M1090" t="s">
        <v>26</v>
      </c>
      <c r="N1090" t="s">
        <v>60</v>
      </c>
      <c r="O1090" t="s">
        <v>3795</v>
      </c>
      <c r="P1090" t="s">
        <v>141</v>
      </c>
      <c r="Q1090" t="s">
        <v>136</v>
      </c>
      <c r="R1090">
        <v>8</v>
      </c>
      <c r="S1090">
        <v>70</v>
      </c>
      <c r="T1090">
        <v>110</v>
      </c>
      <c r="U1090">
        <v>80</v>
      </c>
      <c r="V1090">
        <v>95</v>
      </c>
      <c r="W1090">
        <v>60</v>
      </c>
      <c r="X1090">
        <v>70</v>
      </c>
      <c r="Y1090">
        <f t="shared" ref="Y1090:Y1153" si="510">IF(S1090="", "", S1090+107)</f>
        <v>177</v>
      </c>
      <c r="Z1090">
        <f t="shared" ref="Z1090:Z1153" si="511">IF(S1090="", "", S1090+107)</f>
        <v>177</v>
      </c>
      <c r="AA1090">
        <f t="shared" ref="AA1090:AA1153" si="512">IF(S1090="", "", INT(INT(S1090*2 + 31)/2) + 60)</f>
        <v>145</v>
      </c>
      <c r="AB1090">
        <f t="shared" ref="AB1090:AB1153" si="513">IF(S1090="", "", INT(INT(S1090*2 + 31)/2) + 60)</f>
        <v>145</v>
      </c>
      <c r="AC1090">
        <f t="shared" ref="AC1090:AC1153" si="514">IF(S1090="", "", S1090 + 60)</f>
        <v>130</v>
      </c>
      <c r="AD1090">
        <f t="shared" ref="AD1090:AD1153" si="515">IF(T1090="","",INT((T1090+52)*1.1))</f>
        <v>178</v>
      </c>
      <c r="AE1090">
        <f t="shared" ref="AE1090:AE1153" si="516">IF(T1090="","",T1090+52)</f>
        <v>162</v>
      </c>
      <c r="AF1090">
        <f t="shared" ref="AF1090:AF1153" si="517">IF(T1090="", "", INT((T1090*2 + 31)/2) + 5)</f>
        <v>130</v>
      </c>
      <c r="AG1090">
        <f t="shared" ref="AG1090:AG1153" si="518">IF(T1090="", "", INT((INT((T1090*2 + 31)/2) + 5)*0.9) )</f>
        <v>117</v>
      </c>
      <c r="AH1090">
        <f t="shared" ref="AH1090:AH1153" si="519">IF(T1090="", "", INT((T1090 + 5) * 0.9))</f>
        <v>103</v>
      </c>
      <c r="AI1090">
        <f t="shared" ref="AI1090:AI1153" si="520">IF(U1090="","",INT((U1090+52)*1.1))</f>
        <v>145</v>
      </c>
      <c r="AJ1090">
        <f t="shared" ref="AJ1090:AJ1153" si="521">IF(U1090="","",U1090+52)</f>
        <v>132</v>
      </c>
      <c r="AK1090">
        <f t="shared" ref="AK1090:AK1153" si="522">IF(U1090="", "", INT((U1090*2 + 31)/2) + 5)</f>
        <v>100</v>
      </c>
      <c r="AL1090">
        <f t="shared" ref="AL1090:AL1153" si="523">IF(U1090="", "", INT((INT((U1090*2 + 31)/2) + 5)*0.9) )</f>
        <v>90</v>
      </c>
      <c r="AM1090">
        <f t="shared" ref="AM1090:AM1153" si="524">IF(U1090="", "", INT((U1090 + 5) * 0.9))</f>
        <v>76</v>
      </c>
      <c r="AN1090">
        <f t="shared" ref="AN1090:AN1153" si="525">IF(V1090="","",INT((V1090+52)*1.1))</f>
        <v>161</v>
      </c>
      <c r="AO1090">
        <f t="shared" ref="AO1090:AO1153" si="526">IF(V1090="","",V1090+52)</f>
        <v>147</v>
      </c>
      <c r="AP1090">
        <f t="shared" ref="AP1090:AP1153" si="527">IF(V1090="", "", INT((V1090*2 + 31)/2) + 5)</f>
        <v>115</v>
      </c>
      <c r="AQ1090">
        <f t="shared" ref="AQ1090:AQ1153" si="528">IF(V1090="", "", INT((INT((V1090*2 + 31)/2) + 5)*0.9) )</f>
        <v>103</v>
      </c>
      <c r="AR1090">
        <f t="shared" ref="AR1090:AR1153" si="529">IF(V1090="", "", INT((V1090 + 5) * 0.9))</f>
        <v>90</v>
      </c>
      <c r="AS1090">
        <f t="shared" ref="AS1090:AS1153" si="530">IF(W1090="","",INT((W1090+52)*1.1))</f>
        <v>123</v>
      </c>
      <c r="AT1090">
        <f t="shared" ref="AT1090:AT1153" si="531">IF(W1090="","",W1090+52)</f>
        <v>112</v>
      </c>
      <c r="AU1090">
        <f t="shared" ref="AU1090:AU1153" si="532">IF(W1090="", "", INT((W1090*2 + 31)/2) + 5)</f>
        <v>80</v>
      </c>
      <c r="AV1090">
        <f t="shared" ref="AV1090:AV1153" si="533">IF(W1090="", "", INT((INT((W1090*2 + 31)/2) + 5)*0.9) )</f>
        <v>72</v>
      </c>
      <c r="AW1090">
        <f t="shared" ref="AW1090:AW1153" si="534">IF(W1090="", "", INT((W1090 + 5) * 0.9))</f>
        <v>58</v>
      </c>
      <c r="AX1090">
        <f t="shared" ref="AX1090:AX1153" si="535">IF(X1090="","",INT((X1090+52)*1.1))</f>
        <v>134</v>
      </c>
      <c r="AY1090">
        <f t="shared" ref="AY1090:AY1153" si="536">IF(X1090="","",X1090+52)</f>
        <v>122</v>
      </c>
      <c r="AZ1090">
        <f t="shared" ref="AZ1090:AZ1153" si="537">IF(X1090="", "", INT((X1090*2 + 31)/2) + 5)</f>
        <v>90</v>
      </c>
      <c r="BA1090">
        <f t="shared" ref="BA1090:BA1153" si="538">IF(X1090="", "", INT((INT((X1090*2 + 31)/2) + 5)*0.9) )</f>
        <v>81</v>
      </c>
      <c r="BB1090">
        <f t="shared" ref="BB1090:BB1153" si="539">IF(X1090="", "", INT((X1090 + 5) * 0.9))</f>
        <v>67</v>
      </c>
    </row>
    <row r="1091" spans="1:54" x14ac:dyDescent="0.15">
      <c r="A1091">
        <v>763</v>
      </c>
      <c r="B1091" t="s">
        <v>3802</v>
      </c>
      <c r="C1091">
        <v>842</v>
      </c>
      <c r="D1091">
        <v>0</v>
      </c>
      <c r="E1091" t="s">
        <v>3803</v>
      </c>
      <c r="G1091" t="s">
        <v>3803</v>
      </c>
      <c r="H1091" t="s">
        <v>3804</v>
      </c>
      <c r="J1091" t="s">
        <v>3805</v>
      </c>
      <c r="K1091">
        <v>13</v>
      </c>
      <c r="L1091">
        <v>0.4</v>
      </c>
      <c r="M1091" t="s">
        <v>26</v>
      </c>
      <c r="N1091" t="s">
        <v>60</v>
      </c>
      <c r="O1091" t="s">
        <v>3795</v>
      </c>
      <c r="P1091" t="s">
        <v>141</v>
      </c>
      <c r="Q1091" t="s">
        <v>38</v>
      </c>
      <c r="R1091">
        <v>9</v>
      </c>
      <c r="S1091">
        <v>110</v>
      </c>
      <c r="T1091">
        <v>85</v>
      </c>
      <c r="U1091">
        <v>80</v>
      </c>
      <c r="V1091">
        <v>100</v>
      </c>
      <c r="W1091">
        <v>80</v>
      </c>
      <c r="X1091">
        <v>30</v>
      </c>
      <c r="Y1091">
        <f t="shared" si="510"/>
        <v>217</v>
      </c>
      <c r="Z1091">
        <f t="shared" si="511"/>
        <v>217</v>
      </c>
      <c r="AA1091">
        <f t="shared" si="512"/>
        <v>185</v>
      </c>
      <c r="AB1091">
        <f t="shared" si="513"/>
        <v>185</v>
      </c>
      <c r="AC1091">
        <f t="shared" si="514"/>
        <v>170</v>
      </c>
      <c r="AD1091">
        <f t="shared" si="515"/>
        <v>150</v>
      </c>
      <c r="AE1091">
        <f t="shared" si="516"/>
        <v>137</v>
      </c>
      <c r="AF1091">
        <f t="shared" si="517"/>
        <v>105</v>
      </c>
      <c r="AG1091">
        <f t="shared" si="518"/>
        <v>94</v>
      </c>
      <c r="AH1091">
        <f t="shared" si="519"/>
        <v>81</v>
      </c>
      <c r="AI1091">
        <f t="shared" si="520"/>
        <v>145</v>
      </c>
      <c r="AJ1091">
        <f t="shared" si="521"/>
        <v>132</v>
      </c>
      <c r="AK1091">
        <f t="shared" si="522"/>
        <v>100</v>
      </c>
      <c r="AL1091">
        <f t="shared" si="523"/>
        <v>90</v>
      </c>
      <c r="AM1091">
        <f t="shared" si="524"/>
        <v>76</v>
      </c>
      <c r="AN1091">
        <f t="shared" si="525"/>
        <v>167</v>
      </c>
      <c r="AO1091">
        <f t="shared" si="526"/>
        <v>152</v>
      </c>
      <c r="AP1091">
        <f t="shared" si="527"/>
        <v>120</v>
      </c>
      <c r="AQ1091">
        <f t="shared" si="528"/>
        <v>108</v>
      </c>
      <c r="AR1091">
        <f t="shared" si="529"/>
        <v>94</v>
      </c>
      <c r="AS1091">
        <f t="shared" si="530"/>
        <v>145</v>
      </c>
      <c r="AT1091">
        <f t="shared" si="531"/>
        <v>132</v>
      </c>
      <c r="AU1091">
        <f t="shared" si="532"/>
        <v>100</v>
      </c>
      <c r="AV1091">
        <f t="shared" si="533"/>
        <v>90</v>
      </c>
      <c r="AW1091">
        <f t="shared" si="534"/>
        <v>76</v>
      </c>
      <c r="AX1091">
        <f t="shared" si="535"/>
        <v>90</v>
      </c>
      <c r="AY1091">
        <f t="shared" si="536"/>
        <v>82</v>
      </c>
      <c r="AZ1091">
        <f t="shared" si="537"/>
        <v>50</v>
      </c>
      <c r="BA1091">
        <f t="shared" si="538"/>
        <v>45</v>
      </c>
      <c r="BB1091">
        <f t="shared" si="539"/>
        <v>31</v>
      </c>
    </row>
    <row r="1092" spans="1:54" x14ac:dyDescent="0.15">
      <c r="B1092" t="s">
        <v>3806</v>
      </c>
      <c r="C1092">
        <v>842</v>
      </c>
      <c r="D1092">
        <v>999</v>
      </c>
      <c r="E1092" t="s">
        <v>3803</v>
      </c>
      <c r="F1092" t="s">
        <v>40</v>
      </c>
      <c r="G1092" t="s">
        <v>3807</v>
      </c>
      <c r="J1092" t="s">
        <v>42</v>
      </c>
      <c r="K1092">
        <v>9999.9</v>
      </c>
      <c r="L1092">
        <v>24</v>
      </c>
      <c r="M1092" t="s">
        <v>26</v>
      </c>
      <c r="N1092" t="s">
        <v>60</v>
      </c>
      <c r="O1092" t="s">
        <v>3795</v>
      </c>
      <c r="P1092" t="s">
        <v>141</v>
      </c>
      <c r="Q1092" t="s">
        <v>38</v>
      </c>
      <c r="R1092">
        <v>8</v>
      </c>
      <c r="S1092">
        <v>110</v>
      </c>
      <c r="T1092">
        <v>85</v>
      </c>
      <c r="U1092">
        <v>80</v>
      </c>
      <c r="V1092">
        <v>100</v>
      </c>
      <c r="W1092">
        <v>80</v>
      </c>
      <c r="X1092">
        <v>30</v>
      </c>
      <c r="Y1092">
        <f t="shared" si="510"/>
        <v>217</v>
      </c>
      <c r="Z1092">
        <f t="shared" si="511"/>
        <v>217</v>
      </c>
      <c r="AA1092">
        <f t="shared" si="512"/>
        <v>185</v>
      </c>
      <c r="AB1092">
        <f t="shared" si="513"/>
        <v>185</v>
      </c>
      <c r="AC1092">
        <f t="shared" si="514"/>
        <v>170</v>
      </c>
      <c r="AD1092">
        <f t="shared" si="515"/>
        <v>150</v>
      </c>
      <c r="AE1092">
        <f t="shared" si="516"/>
        <v>137</v>
      </c>
      <c r="AF1092">
        <f t="shared" si="517"/>
        <v>105</v>
      </c>
      <c r="AG1092">
        <f t="shared" si="518"/>
        <v>94</v>
      </c>
      <c r="AH1092">
        <f t="shared" si="519"/>
        <v>81</v>
      </c>
      <c r="AI1092">
        <f t="shared" si="520"/>
        <v>145</v>
      </c>
      <c r="AJ1092">
        <f t="shared" si="521"/>
        <v>132</v>
      </c>
      <c r="AK1092">
        <f t="shared" si="522"/>
        <v>100</v>
      </c>
      <c r="AL1092">
        <f t="shared" si="523"/>
        <v>90</v>
      </c>
      <c r="AM1092">
        <f t="shared" si="524"/>
        <v>76</v>
      </c>
      <c r="AN1092">
        <f t="shared" si="525"/>
        <v>167</v>
      </c>
      <c r="AO1092">
        <f t="shared" si="526"/>
        <v>152</v>
      </c>
      <c r="AP1092">
        <f t="shared" si="527"/>
        <v>120</v>
      </c>
      <c r="AQ1092">
        <f t="shared" si="528"/>
        <v>108</v>
      </c>
      <c r="AR1092">
        <f t="shared" si="529"/>
        <v>94</v>
      </c>
      <c r="AS1092">
        <f t="shared" si="530"/>
        <v>145</v>
      </c>
      <c r="AT1092">
        <f t="shared" si="531"/>
        <v>132</v>
      </c>
      <c r="AU1092">
        <f t="shared" si="532"/>
        <v>100</v>
      </c>
      <c r="AV1092">
        <f t="shared" si="533"/>
        <v>90</v>
      </c>
      <c r="AW1092">
        <f t="shared" si="534"/>
        <v>76</v>
      </c>
      <c r="AX1092">
        <f t="shared" si="535"/>
        <v>90</v>
      </c>
      <c r="AY1092">
        <f t="shared" si="536"/>
        <v>82</v>
      </c>
      <c r="AZ1092">
        <f t="shared" si="537"/>
        <v>50</v>
      </c>
      <c r="BA1092">
        <f t="shared" si="538"/>
        <v>45</v>
      </c>
      <c r="BB1092">
        <f t="shared" si="539"/>
        <v>31</v>
      </c>
    </row>
    <row r="1093" spans="1:54" x14ac:dyDescent="0.15">
      <c r="A1093">
        <v>734</v>
      </c>
      <c r="B1093" t="s">
        <v>3808</v>
      </c>
      <c r="C1093">
        <v>843</v>
      </c>
      <c r="D1093">
        <v>0</v>
      </c>
      <c r="E1093" t="s">
        <v>3809</v>
      </c>
      <c r="G1093" t="s">
        <v>3809</v>
      </c>
      <c r="H1093" t="s">
        <v>3810</v>
      </c>
      <c r="J1093" t="s">
        <v>3811</v>
      </c>
      <c r="K1093">
        <v>7.6</v>
      </c>
      <c r="L1093">
        <v>2.2000000000000002</v>
      </c>
      <c r="M1093" t="s">
        <v>196</v>
      </c>
      <c r="O1093" t="s">
        <v>3812</v>
      </c>
      <c r="P1093" t="s">
        <v>96</v>
      </c>
      <c r="Q1093" t="s">
        <v>197</v>
      </c>
      <c r="R1093">
        <v>9</v>
      </c>
      <c r="S1093">
        <v>52</v>
      </c>
      <c r="T1093">
        <v>57</v>
      </c>
      <c r="U1093">
        <v>75</v>
      </c>
      <c r="V1093">
        <v>35</v>
      </c>
      <c r="W1093">
        <v>50</v>
      </c>
      <c r="X1093">
        <v>46</v>
      </c>
      <c r="Y1093">
        <f t="shared" si="510"/>
        <v>159</v>
      </c>
      <c r="Z1093">
        <f t="shared" si="511"/>
        <v>159</v>
      </c>
      <c r="AA1093">
        <f t="shared" si="512"/>
        <v>127</v>
      </c>
      <c r="AB1093">
        <f t="shared" si="513"/>
        <v>127</v>
      </c>
      <c r="AC1093">
        <f t="shared" si="514"/>
        <v>112</v>
      </c>
      <c r="AD1093">
        <f t="shared" si="515"/>
        <v>119</v>
      </c>
      <c r="AE1093">
        <f t="shared" si="516"/>
        <v>109</v>
      </c>
      <c r="AF1093">
        <f t="shared" si="517"/>
        <v>77</v>
      </c>
      <c r="AG1093">
        <f t="shared" si="518"/>
        <v>69</v>
      </c>
      <c r="AH1093">
        <f t="shared" si="519"/>
        <v>55</v>
      </c>
      <c r="AI1093">
        <f t="shared" si="520"/>
        <v>139</v>
      </c>
      <c r="AJ1093">
        <f t="shared" si="521"/>
        <v>127</v>
      </c>
      <c r="AK1093">
        <f t="shared" si="522"/>
        <v>95</v>
      </c>
      <c r="AL1093">
        <f t="shared" si="523"/>
        <v>85</v>
      </c>
      <c r="AM1093">
        <f t="shared" si="524"/>
        <v>72</v>
      </c>
      <c r="AN1093">
        <f t="shared" si="525"/>
        <v>95</v>
      </c>
      <c r="AO1093">
        <f t="shared" si="526"/>
        <v>87</v>
      </c>
      <c r="AP1093">
        <f t="shared" si="527"/>
        <v>55</v>
      </c>
      <c r="AQ1093">
        <f t="shared" si="528"/>
        <v>49</v>
      </c>
      <c r="AR1093">
        <f t="shared" si="529"/>
        <v>36</v>
      </c>
      <c r="AS1093">
        <f t="shared" si="530"/>
        <v>112</v>
      </c>
      <c r="AT1093">
        <f t="shared" si="531"/>
        <v>102</v>
      </c>
      <c r="AU1093">
        <f t="shared" si="532"/>
        <v>70</v>
      </c>
      <c r="AV1093">
        <f t="shared" si="533"/>
        <v>63</v>
      </c>
      <c r="AW1093">
        <f t="shared" si="534"/>
        <v>49</v>
      </c>
      <c r="AX1093">
        <f t="shared" si="535"/>
        <v>107</v>
      </c>
      <c r="AY1093">
        <f t="shared" si="536"/>
        <v>98</v>
      </c>
      <c r="AZ1093">
        <f t="shared" si="537"/>
        <v>66</v>
      </c>
      <c r="BA1093">
        <f t="shared" si="538"/>
        <v>59</v>
      </c>
      <c r="BB1093">
        <f t="shared" si="539"/>
        <v>45</v>
      </c>
    </row>
    <row r="1094" spans="1:54" x14ac:dyDescent="0.15">
      <c r="A1094">
        <v>735</v>
      </c>
      <c r="B1094" t="s">
        <v>3813</v>
      </c>
      <c r="C1094">
        <v>844</v>
      </c>
      <c r="D1094">
        <v>0</v>
      </c>
      <c r="E1094" t="s">
        <v>3814</v>
      </c>
      <c r="G1094" t="s">
        <v>3814</v>
      </c>
      <c r="H1094" t="s">
        <v>3815</v>
      </c>
      <c r="J1094" t="s">
        <v>3811</v>
      </c>
      <c r="K1094">
        <v>65.5</v>
      </c>
      <c r="L1094">
        <v>3.8</v>
      </c>
      <c r="M1094" t="s">
        <v>196</v>
      </c>
      <c r="O1094" t="s">
        <v>3812</v>
      </c>
      <c r="P1094" t="s">
        <v>96</v>
      </c>
      <c r="Q1094" t="s">
        <v>197</v>
      </c>
      <c r="R1094">
        <v>9</v>
      </c>
      <c r="S1094">
        <v>72</v>
      </c>
      <c r="T1094">
        <v>107</v>
      </c>
      <c r="U1094">
        <v>125</v>
      </c>
      <c r="V1094">
        <v>65</v>
      </c>
      <c r="W1094">
        <v>70</v>
      </c>
      <c r="X1094">
        <v>71</v>
      </c>
      <c r="Y1094">
        <f t="shared" si="510"/>
        <v>179</v>
      </c>
      <c r="Z1094">
        <f t="shared" si="511"/>
        <v>179</v>
      </c>
      <c r="AA1094">
        <f t="shared" si="512"/>
        <v>147</v>
      </c>
      <c r="AB1094">
        <f t="shared" si="513"/>
        <v>147</v>
      </c>
      <c r="AC1094">
        <f t="shared" si="514"/>
        <v>132</v>
      </c>
      <c r="AD1094">
        <f t="shared" si="515"/>
        <v>174</v>
      </c>
      <c r="AE1094">
        <f t="shared" si="516"/>
        <v>159</v>
      </c>
      <c r="AF1094">
        <f t="shared" si="517"/>
        <v>127</v>
      </c>
      <c r="AG1094">
        <f t="shared" si="518"/>
        <v>114</v>
      </c>
      <c r="AH1094">
        <f t="shared" si="519"/>
        <v>100</v>
      </c>
      <c r="AI1094">
        <f t="shared" si="520"/>
        <v>194</v>
      </c>
      <c r="AJ1094">
        <f t="shared" si="521"/>
        <v>177</v>
      </c>
      <c r="AK1094">
        <f t="shared" si="522"/>
        <v>145</v>
      </c>
      <c r="AL1094">
        <f t="shared" si="523"/>
        <v>130</v>
      </c>
      <c r="AM1094">
        <f t="shared" si="524"/>
        <v>117</v>
      </c>
      <c r="AN1094">
        <f t="shared" si="525"/>
        <v>128</v>
      </c>
      <c r="AO1094">
        <f t="shared" si="526"/>
        <v>117</v>
      </c>
      <c r="AP1094">
        <f t="shared" si="527"/>
        <v>85</v>
      </c>
      <c r="AQ1094">
        <f t="shared" si="528"/>
        <v>76</v>
      </c>
      <c r="AR1094">
        <f t="shared" si="529"/>
        <v>63</v>
      </c>
      <c r="AS1094">
        <f t="shared" si="530"/>
        <v>134</v>
      </c>
      <c r="AT1094">
        <f t="shared" si="531"/>
        <v>122</v>
      </c>
      <c r="AU1094">
        <f t="shared" si="532"/>
        <v>90</v>
      </c>
      <c r="AV1094">
        <f t="shared" si="533"/>
        <v>81</v>
      </c>
      <c r="AW1094">
        <f t="shared" si="534"/>
        <v>67</v>
      </c>
      <c r="AX1094">
        <f t="shared" si="535"/>
        <v>135</v>
      </c>
      <c r="AY1094">
        <f t="shared" si="536"/>
        <v>123</v>
      </c>
      <c r="AZ1094">
        <f t="shared" si="537"/>
        <v>91</v>
      </c>
      <c r="BA1094">
        <f t="shared" si="538"/>
        <v>81</v>
      </c>
      <c r="BB1094">
        <f t="shared" si="539"/>
        <v>68</v>
      </c>
    </row>
    <row r="1095" spans="1:54" x14ac:dyDescent="0.15">
      <c r="B1095" t="s">
        <v>3816</v>
      </c>
      <c r="C1095">
        <v>844</v>
      </c>
      <c r="D1095">
        <v>999</v>
      </c>
      <c r="E1095" t="s">
        <v>3814</v>
      </c>
      <c r="F1095" t="s">
        <v>40</v>
      </c>
      <c r="G1095" t="s">
        <v>3817</v>
      </c>
      <c r="J1095" t="s">
        <v>42</v>
      </c>
      <c r="K1095">
        <v>9999.9</v>
      </c>
      <c r="L1095">
        <v>22</v>
      </c>
      <c r="M1095" t="s">
        <v>196</v>
      </c>
      <c r="O1095" t="s">
        <v>3812</v>
      </c>
      <c r="P1095" t="s">
        <v>96</v>
      </c>
      <c r="Q1095" t="s">
        <v>197</v>
      </c>
      <c r="R1095">
        <v>8</v>
      </c>
      <c r="S1095">
        <v>72</v>
      </c>
      <c r="T1095">
        <v>107</v>
      </c>
      <c r="U1095">
        <v>125</v>
      </c>
      <c r="V1095">
        <v>65</v>
      </c>
      <c r="W1095">
        <v>70</v>
      </c>
      <c r="X1095">
        <v>71</v>
      </c>
      <c r="Y1095">
        <f t="shared" si="510"/>
        <v>179</v>
      </c>
      <c r="Z1095">
        <f t="shared" si="511"/>
        <v>179</v>
      </c>
      <c r="AA1095">
        <f t="shared" si="512"/>
        <v>147</v>
      </c>
      <c r="AB1095">
        <f t="shared" si="513"/>
        <v>147</v>
      </c>
      <c r="AC1095">
        <f t="shared" si="514"/>
        <v>132</v>
      </c>
      <c r="AD1095">
        <f t="shared" si="515"/>
        <v>174</v>
      </c>
      <c r="AE1095">
        <f t="shared" si="516"/>
        <v>159</v>
      </c>
      <c r="AF1095">
        <f t="shared" si="517"/>
        <v>127</v>
      </c>
      <c r="AG1095">
        <f t="shared" si="518"/>
        <v>114</v>
      </c>
      <c r="AH1095">
        <f t="shared" si="519"/>
        <v>100</v>
      </c>
      <c r="AI1095">
        <f t="shared" si="520"/>
        <v>194</v>
      </c>
      <c r="AJ1095">
        <f t="shared" si="521"/>
        <v>177</v>
      </c>
      <c r="AK1095">
        <f t="shared" si="522"/>
        <v>145</v>
      </c>
      <c r="AL1095">
        <f t="shared" si="523"/>
        <v>130</v>
      </c>
      <c r="AM1095">
        <f t="shared" si="524"/>
        <v>117</v>
      </c>
      <c r="AN1095">
        <f t="shared" si="525"/>
        <v>128</v>
      </c>
      <c r="AO1095">
        <f t="shared" si="526"/>
        <v>117</v>
      </c>
      <c r="AP1095">
        <f t="shared" si="527"/>
        <v>85</v>
      </c>
      <c r="AQ1095">
        <f t="shared" si="528"/>
        <v>76</v>
      </c>
      <c r="AR1095">
        <f t="shared" si="529"/>
        <v>63</v>
      </c>
      <c r="AS1095">
        <f t="shared" si="530"/>
        <v>134</v>
      </c>
      <c r="AT1095">
        <f t="shared" si="531"/>
        <v>122</v>
      </c>
      <c r="AU1095">
        <f t="shared" si="532"/>
        <v>90</v>
      </c>
      <c r="AV1095">
        <f t="shared" si="533"/>
        <v>81</v>
      </c>
      <c r="AW1095">
        <f t="shared" si="534"/>
        <v>67</v>
      </c>
      <c r="AX1095">
        <f t="shared" si="535"/>
        <v>135</v>
      </c>
      <c r="AY1095">
        <f t="shared" si="536"/>
        <v>123</v>
      </c>
      <c r="AZ1095">
        <f t="shared" si="537"/>
        <v>91</v>
      </c>
      <c r="BA1095">
        <f t="shared" si="538"/>
        <v>81</v>
      </c>
      <c r="BB1095">
        <f t="shared" si="539"/>
        <v>68</v>
      </c>
    </row>
    <row r="1096" spans="1:54" x14ac:dyDescent="0.15">
      <c r="A1096">
        <v>708</v>
      </c>
      <c r="B1096" t="s">
        <v>3818</v>
      </c>
      <c r="C1096">
        <v>845</v>
      </c>
      <c r="D1096">
        <v>0</v>
      </c>
      <c r="E1096" t="s">
        <v>3819</v>
      </c>
      <c r="G1096" t="s">
        <v>3819</v>
      </c>
      <c r="H1096" t="s">
        <v>3820</v>
      </c>
      <c r="J1096" t="s">
        <v>3821</v>
      </c>
      <c r="K1096">
        <v>18</v>
      </c>
      <c r="L1096">
        <v>0.8</v>
      </c>
      <c r="M1096" t="s">
        <v>57</v>
      </c>
      <c r="N1096" t="s">
        <v>71</v>
      </c>
      <c r="O1096" t="s">
        <v>3822</v>
      </c>
      <c r="R1096">
        <v>9</v>
      </c>
      <c r="S1096">
        <v>70</v>
      </c>
      <c r="T1096">
        <v>85</v>
      </c>
      <c r="U1096">
        <v>55</v>
      </c>
      <c r="V1096">
        <v>85</v>
      </c>
      <c r="W1096">
        <v>95</v>
      </c>
      <c r="X1096">
        <v>85</v>
      </c>
      <c r="Y1096">
        <f t="shared" si="510"/>
        <v>177</v>
      </c>
      <c r="Z1096">
        <f t="shared" si="511"/>
        <v>177</v>
      </c>
      <c r="AA1096">
        <f t="shared" si="512"/>
        <v>145</v>
      </c>
      <c r="AB1096">
        <f t="shared" si="513"/>
        <v>145</v>
      </c>
      <c r="AC1096">
        <f t="shared" si="514"/>
        <v>130</v>
      </c>
      <c r="AD1096">
        <f t="shared" si="515"/>
        <v>150</v>
      </c>
      <c r="AE1096">
        <f t="shared" si="516"/>
        <v>137</v>
      </c>
      <c r="AF1096">
        <f t="shared" si="517"/>
        <v>105</v>
      </c>
      <c r="AG1096">
        <f t="shared" si="518"/>
        <v>94</v>
      </c>
      <c r="AH1096">
        <f t="shared" si="519"/>
        <v>81</v>
      </c>
      <c r="AI1096">
        <f t="shared" si="520"/>
        <v>117</v>
      </c>
      <c r="AJ1096">
        <f t="shared" si="521"/>
        <v>107</v>
      </c>
      <c r="AK1096">
        <f t="shared" si="522"/>
        <v>75</v>
      </c>
      <c r="AL1096">
        <f t="shared" si="523"/>
        <v>67</v>
      </c>
      <c r="AM1096">
        <f t="shared" si="524"/>
        <v>54</v>
      </c>
      <c r="AN1096">
        <f t="shared" si="525"/>
        <v>150</v>
      </c>
      <c r="AO1096">
        <f t="shared" si="526"/>
        <v>137</v>
      </c>
      <c r="AP1096">
        <f t="shared" si="527"/>
        <v>105</v>
      </c>
      <c r="AQ1096">
        <f t="shared" si="528"/>
        <v>94</v>
      </c>
      <c r="AR1096">
        <f t="shared" si="529"/>
        <v>81</v>
      </c>
      <c r="AS1096">
        <f t="shared" si="530"/>
        <v>161</v>
      </c>
      <c r="AT1096">
        <f t="shared" si="531"/>
        <v>147</v>
      </c>
      <c r="AU1096">
        <f t="shared" si="532"/>
        <v>115</v>
      </c>
      <c r="AV1096">
        <f t="shared" si="533"/>
        <v>103</v>
      </c>
      <c r="AW1096">
        <f t="shared" si="534"/>
        <v>90</v>
      </c>
      <c r="AX1096">
        <f t="shared" si="535"/>
        <v>150</v>
      </c>
      <c r="AY1096">
        <f t="shared" si="536"/>
        <v>137</v>
      </c>
      <c r="AZ1096">
        <f t="shared" si="537"/>
        <v>105</v>
      </c>
      <c r="BA1096">
        <f t="shared" si="538"/>
        <v>94</v>
      </c>
      <c r="BB1096">
        <f t="shared" si="539"/>
        <v>81</v>
      </c>
    </row>
    <row r="1097" spans="1:54" x14ac:dyDescent="0.15">
      <c r="A1097">
        <v>706</v>
      </c>
      <c r="B1097" t="s">
        <v>3823</v>
      </c>
      <c r="C1097">
        <v>846</v>
      </c>
      <c r="D1097">
        <v>0</v>
      </c>
      <c r="E1097" t="s">
        <v>3824</v>
      </c>
      <c r="G1097" t="s">
        <v>3824</v>
      </c>
      <c r="H1097" t="s">
        <v>3825</v>
      </c>
      <c r="J1097" t="s">
        <v>3826</v>
      </c>
      <c r="K1097">
        <v>1</v>
      </c>
      <c r="L1097">
        <v>0.5</v>
      </c>
      <c r="M1097" t="s">
        <v>71</v>
      </c>
      <c r="O1097" t="s">
        <v>346</v>
      </c>
      <c r="P1097" t="s">
        <v>3827</v>
      </c>
      <c r="R1097">
        <v>9</v>
      </c>
      <c r="S1097">
        <v>41</v>
      </c>
      <c r="T1097">
        <v>63</v>
      </c>
      <c r="U1097">
        <v>40</v>
      </c>
      <c r="V1097">
        <v>40</v>
      </c>
      <c r="W1097">
        <v>30</v>
      </c>
      <c r="X1097">
        <v>66</v>
      </c>
      <c r="Y1097">
        <f t="shared" si="510"/>
        <v>148</v>
      </c>
      <c r="Z1097">
        <f t="shared" si="511"/>
        <v>148</v>
      </c>
      <c r="AA1097">
        <f t="shared" si="512"/>
        <v>116</v>
      </c>
      <c r="AB1097">
        <f t="shared" si="513"/>
        <v>116</v>
      </c>
      <c r="AC1097">
        <f t="shared" si="514"/>
        <v>101</v>
      </c>
      <c r="AD1097">
        <f t="shared" si="515"/>
        <v>126</v>
      </c>
      <c r="AE1097">
        <f t="shared" si="516"/>
        <v>115</v>
      </c>
      <c r="AF1097">
        <f t="shared" si="517"/>
        <v>83</v>
      </c>
      <c r="AG1097">
        <f t="shared" si="518"/>
        <v>74</v>
      </c>
      <c r="AH1097">
        <f t="shared" si="519"/>
        <v>61</v>
      </c>
      <c r="AI1097">
        <f t="shared" si="520"/>
        <v>101</v>
      </c>
      <c r="AJ1097">
        <f t="shared" si="521"/>
        <v>92</v>
      </c>
      <c r="AK1097">
        <f t="shared" si="522"/>
        <v>60</v>
      </c>
      <c r="AL1097">
        <f t="shared" si="523"/>
        <v>54</v>
      </c>
      <c r="AM1097">
        <f t="shared" si="524"/>
        <v>40</v>
      </c>
      <c r="AN1097">
        <f t="shared" si="525"/>
        <v>101</v>
      </c>
      <c r="AO1097">
        <f t="shared" si="526"/>
        <v>92</v>
      </c>
      <c r="AP1097">
        <f t="shared" si="527"/>
        <v>60</v>
      </c>
      <c r="AQ1097">
        <f t="shared" si="528"/>
        <v>54</v>
      </c>
      <c r="AR1097">
        <f t="shared" si="529"/>
        <v>40</v>
      </c>
      <c r="AS1097">
        <f t="shared" si="530"/>
        <v>90</v>
      </c>
      <c r="AT1097">
        <f t="shared" si="531"/>
        <v>82</v>
      </c>
      <c r="AU1097">
        <f t="shared" si="532"/>
        <v>50</v>
      </c>
      <c r="AV1097">
        <f t="shared" si="533"/>
        <v>45</v>
      </c>
      <c r="AW1097">
        <f t="shared" si="534"/>
        <v>31</v>
      </c>
      <c r="AX1097">
        <f t="shared" si="535"/>
        <v>129</v>
      </c>
      <c r="AY1097">
        <f t="shared" si="536"/>
        <v>118</v>
      </c>
      <c r="AZ1097">
        <f t="shared" si="537"/>
        <v>86</v>
      </c>
      <c r="BA1097">
        <f t="shared" si="538"/>
        <v>77</v>
      </c>
      <c r="BB1097">
        <f t="shared" si="539"/>
        <v>63</v>
      </c>
    </row>
    <row r="1098" spans="1:54" x14ac:dyDescent="0.15">
      <c r="A1098">
        <v>707</v>
      </c>
      <c r="B1098" t="s">
        <v>3828</v>
      </c>
      <c r="C1098">
        <v>847</v>
      </c>
      <c r="D1098">
        <v>0</v>
      </c>
      <c r="E1098" t="s">
        <v>3829</v>
      </c>
      <c r="G1098" t="s">
        <v>3829</v>
      </c>
      <c r="H1098" t="s">
        <v>3830</v>
      </c>
      <c r="J1098" t="s">
        <v>3831</v>
      </c>
      <c r="K1098">
        <v>30</v>
      </c>
      <c r="L1098">
        <v>1.3</v>
      </c>
      <c r="M1098" t="s">
        <v>71</v>
      </c>
      <c r="O1098" t="s">
        <v>346</v>
      </c>
      <c r="P1098" t="s">
        <v>3827</v>
      </c>
      <c r="R1098">
        <v>9</v>
      </c>
      <c r="S1098">
        <v>61</v>
      </c>
      <c r="T1098">
        <v>123</v>
      </c>
      <c r="U1098">
        <v>60</v>
      </c>
      <c r="V1098">
        <v>60</v>
      </c>
      <c r="W1098">
        <v>50</v>
      </c>
      <c r="X1098">
        <v>136</v>
      </c>
      <c r="Y1098">
        <f t="shared" si="510"/>
        <v>168</v>
      </c>
      <c r="Z1098">
        <f t="shared" si="511"/>
        <v>168</v>
      </c>
      <c r="AA1098">
        <f t="shared" si="512"/>
        <v>136</v>
      </c>
      <c r="AB1098">
        <f t="shared" si="513"/>
        <v>136</v>
      </c>
      <c r="AC1098">
        <f t="shared" si="514"/>
        <v>121</v>
      </c>
      <c r="AD1098">
        <f t="shared" si="515"/>
        <v>192</v>
      </c>
      <c r="AE1098">
        <f t="shared" si="516"/>
        <v>175</v>
      </c>
      <c r="AF1098">
        <f t="shared" si="517"/>
        <v>143</v>
      </c>
      <c r="AG1098">
        <f t="shared" si="518"/>
        <v>128</v>
      </c>
      <c r="AH1098">
        <f t="shared" si="519"/>
        <v>115</v>
      </c>
      <c r="AI1098">
        <f t="shared" si="520"/>
        <v>123</v>
      </c>
      <c r="AJ1098">
        <f t="shared" si="521"/>
        <v>112</v>
      </c>
      <c r="AK1098">
        <f t="shared" si="522"/>
        <v>80</v>
      </c>
      <c r="AL1098">
        <f t="shared" si="523"/>
        <v>72</v>
      </c>
      <c r="AM1098">
        <f t="shared" si="524"/>
        <v>58</v>
      </c>
      <c r="AN1098">
        <f t="shared" si="525"/>
        <v>123</v>
      </c>
      <c r="AO1098">
        <f t="shared" si="526"/>
        <v>112</v>
      </c>
      <c r="AP1098">
        <f t="shared" si="527"/>
        <v>80</v>
      </c>
      <c r="AQ1098">
        <f t="shared" si="528"/>
        <v>72</v>
      </c>
      <c r="AR1098">
        <f t="shared" si="529"/>
        <v>58</v>
      </c>
      <c r="AS1098">
        <f t="shared" si="530"/>
        <v>112</v>
      </c>
      <c r="AT1098">
        <f t="shared" si="531"/>
        <v>102</v>
      </c>
      <c r="AU1098">
        <f t="shared" si="532"/>
        <v>70</v>
      </c>
      <c r="AV1098">
        <f t="shared" si="533"/>
        <v>63</v>
      </c>
      <c r="AW1098">
        <f t="shared" si="534"/>
        <v>49</v>
      </c>
      <c r="AX1098">
        <f t="shared" si="535"/>
        <v>206</v>
      </c>
      <c r="AY1098">
        <f t="shared" si="536"/>
        <v>188</v>
      </c>
      <c r="AZ1098">
        <f t="shared" si="537"/>
        <v>156</v>
      </c>
      <c r="BA1098">
        <f t="shared" si="538"/>
        <v>140</v>
      </c>
      <c r="BB1098">
        <f t="shared" si="539"/>
        <v>126</v>
      </c>
    </row>
    <row r="1099" spans="1:54" x14ac:dyDescent="0.15">
      <c r="A1099">
        <v>714</v>
      </c>
      <c r="B1099" t="s">
        <v>3832</v>
      </c>
      <c r="C1099">
        <v>848</v>
      </c>
      <c r="D1099">
        <v>0</v>
      </c>
      <c r="E1099" t="s">
        <v>3833</v>
      </c>
      <c r="G1099" t="s">
        <v>3833</v>
      </c>
      <c r="H1099" t="s">
        <v>3834</v>
      </c>
      <c r="J1099" t="s">
        <v>3835</v>
      </c>
      <c r="K1099">
        <v>11</v>
      </c>
      <c r="L1099">
        <v>0.4</v>
      </c>
      <c r="M1099" t="s">
        <v>164</v>
      </c>
      <c r="N1099" t="s">
        <v>27</v>
      </c>
      <c r="O1099" t="s">
        <v>736</v>
      </c>
      <c r="P1099" t="s">
        <v>165</v>
      </c>
      <c r="Q1099" t="s">
        <v>1968</v>
      </c>
      <c r="R1099">
        <v>9</v>
      </c>
      <c r="S1099">
        <v>40</v>
      </c>
      <c r="T1099">
        <v>38</v>
      </c>
      <c r="U1099">
        <v>35</v>
      </c>
      <c r="V1099">
        <v>54</v>
      </c>
      <c r="W1099">
        <v>35</v>
      </c>
      <c r="X1099">
        <v>40</v>
      </c>
      <c r="Y1099">
        <f t="shared" si="510"/>
        <v>147</v>
      </c>
      <c r="Z1099">
        <f t="shared" si="511"/>
        <v>147</v>
      </c>
      <c r="AA1099">
        <f t="shared" si="512"/>
        <v>115</v>
      </c>
      <c r="AB1099">
        <f t="shared" si="513"/>
        <v>115</v>
      </c>
      <c r="AC1099">
        <f t="shared" si="514"/>
        <v>100</v>
      </c>
      <c r="AD1099">
        <f t="shared" si="515"/>
        <v>99</v>
      </c>
      <c r="AE1099">
        <f t="shared" si="516"/>
        <v>90</v>
      </c>
      <c r="AF1099">
        <f t="shared" si="517"/>
        <v>58</v>
      </c>
      <c r="AG1099">
        <f t="shared" si="518"/>
        <v>52</v>
      </c>
      <c r="AH1099">
        <f t="shared" si="519"/>
        <v>38</v>
      </c>
      <c r="AI1099">
        <f t="shared" si="520"/>
        <v>95</v>
      </c>
      <c r="AJ1099">
        <f t="shared" si="521"/>
        <v>87</v>
      </c>
      <c r="AK1099">
        <f t="shared" si="522"/>
        <v>55</v>
      </c>
      <c r="AL1099">
        <f t="shared" si="523"/>
        <v>49</v>
      </c>
      <c r="AM1099">
        <f t="shared" si="524"/>
        <v>36</v>
      </c>
      <c r="AN1099">
        <f t="shared" si="525"/>
        <v>116</v>
      </c>
      <c r="AO1099">
        <f t="shared" si="526"/>
        <v>106</v>
      </c>
      <c r="AP1099">
        <f t="shared" si="527"/>
        <v>74</v>
      </c>
      <c r="AQ1099">
        <f t="shared" si="528"/>
        <v>66</v>
      </c>
      <c r="AR1099">
        <f t="shared" si="529"/>
        <v>53</v>
      </c>
      <c r="AS1099">
        <f t="shared" si="530"/>
        <v>95</v>
      </c>
      <c r="AT1099">
        <f t="shared" si="531"/>
        <v>87</v>
      </c>
      <c r="AU1099">
        <f t="shared" si="532"/>
        <v>55</v>
      </c>
      <c r="AV1099">
        <f t="shared" si="533"/>
        <v>49</v>
      </c>
      <c r="AW1099">
        <f t="shared" si="534"/>
        <v>36</v>
      </c>
      <c r="AX1099">
        <f t="shared" si="535"/>
        <v>101</v>
      </c>
      <c r="AY1099">
        <f t="shared" si="536"/>
        <v>92</v>
      </c>
      <c r="AZ1099">
        <f t="shared" si="537"/>
        <v>60</v>
      </c>
      <c r="BA1099">
        <f t="shared" si="538"/>
        <v>54</v>
      </c>
      <c r="BB1099">
        <f t="shared" si="539"/>
        <v>40</v>
      </c>
    </row>
    <row r="1100" spans="1:54" x14ac:dyDescent="0.15">
      <c r="A1100">
        <v>715</v>
      </c>
      <c r="B1100" t="s">
        <v>3836</v>
      </c>
      <c r="C1100">
        <v>849</v>
      </c>
      <c r="D1100">
        <v>0</v>
      </c>
      <c r="E1100" t="s">
        <v>3837</v>
      </c>
      <c r="F1100" t="s">
        <v>3838</v>
      </c>
      <c r="G1100" t="s">
        <v>3839</v>
      </c>
      <c r="H1100" t="s">
        <v>3840</v>
      </c>
      <c r="J1100" t="s">
        <v>3841</v>
      </c>
      <c r="K1100">
        <v>40</v>
      </c>
      <c r="L1100">
        <v>1.6</v>
      </c>
      <c r="M1100" t="s">
        <v>164</v>
      </c>
      <c r="N1100" t="s">
        <v>27</v>
      </c>
      <c r="O1100" t="s">
        <v>3842</v>
      </c>
      <c r="P1100" t="s">
        <v>948</v>
      </c>
      <c r="Q1100" t="s">
        <v>322</v>
      </c>
      <c r="R1100">
        <v>9</v>
      </c>
      <c r="S1100">
        <v>75</v>
      </c>
      <c r="T1100">
        <v>98</v>
      </c>
      <c r="U1100">
        <v>70</v>
      </c>
      <c r="V1100">
        <v>114</v>
      </c>
      <c r="W1100">
        <v>70</v>
      </c>
      <c r="X1100">
        <v>75</v>
      </c>
      <c r="Y1100">
        <f t="shared" si="510"/>
        <v>182</v>
      </c>
      <c r="Z1100">
        <f t="shared" si="511"/>
        <v>182</v>
      </c>
      <c r="AA1100">
        <f t="shared" si="512"/>
        <v>150</v>
      </c>
      <c r="AB1100">
        <f t="shared" si="513"/>
        <v>150</v>
      </c>
      <c r="AC1100">
        <f t="shared" si="514"/>
        <v>135</v>
      </c>
      <c r="AD1100">
        <f t="shared" si="515"/>
        <v>165</v>
      </c>
      <c r="AE1100">
        <f t="shared" si="516"/>
        <v>150</v>
      </c>
      <c r="AF1100">
        <f t="shared" si="517"/>
        <v>118</v>
      </c>
      <c r="AG1100">
        <f t="shared" si="518"/>
        <v>106</v>
      </c>
      <c r="AH1100">
        <f t="shared" si="519"/>
        <v>92</v>
      </c>
      <c r="AI1100">
        <f t="shared" si="520"/>
        <v>134</v>
      </c>
      <c r="AJ1100">
        <f t="shared" si="521"/>
        <v>122</v>
      </c>
      <c r="AK1100">
        <f t="shared" si="522"/>
        <v>90</v>
      </c>
      <c r="AL1100">
        <f t="shared" si="523"/>
        <v>81</v>
      </c>
      <c r="AM1100">
        <f t="shared" si="524"/>
        <v>67</v>
      </c>
      <c r="AN1100">
        <f t="shared" si="525"/>
        <v>182</v>
      </c>
      <c r="AO1100">
        <f t="shared" si="526"/>
        <v>166</v>
      </c>
      <c r="AP1100">
        <f t="shared" si="527"/>
        <v>134</v>
      </c>
      <c r="AQ1100">
        <f t="shared" si="528"/>
        <v>120</v>
      </c>
      <c r="AR1100">
        <f t="shared" si="529"/>
        <v>107</v>
      </c>
      <c r="AS1100">
        <f t="shared" si="530"/>
        <v>134</v>
      </c>
      <c r="AT1100">
        <f t="shared" si="531"/>
        <v>122</v>
      </c>
      <c r="AU1100">
        <f t="shared" si="532"/>
        <v>90</v>
      </c>
      <c r="AV1100">
        <f t="shared" si="533"/>
        <v>81</v>
      </c>
      <c r="AW1100">
        <f t="shared" si="534"/>
        <v>67</v>
      </c>
      <c r="AX1100">
        <f t="shared" si="535"/>
        <v>139</v>
      </c>
      <c r="AY1100">
        <f t="shared" si="536"/>
        <v>127</v>
      </c>
      <c r="AZ1100">
        <f t="shared" si="537"/>
        <v>95</v>
      </c>
      <c r="BA1100">
        <f t="shared" si="538"/>
        <v>85</v>
      </c>
      <c r="BB1100">
        <f t="shared" si="539"/>
        <v>72</v>
      </c>
    </row>
    <row r="1101" spans="1:54" x14ac:dyDescent="0.15">
      <c r="A1101">
        <v>716</v>
      </c>
      <c r="B1101" t="s">
        <v>3843</v>
      </c>
      <c r="C1101">
        <v>849</v>
      </c>
      <c r="D1101">
        <v>1</v>
      </c>
      <c r="E1101" t="s">
        <v>3837</v>
      </c>
      <c r="F1101" t="s">
        <v>3844</v>
      </c>
      <c r="G1101" t="s">
        <v>3845</v>
      </c>
      <c r="H1101" t="s">
        <v>3846</v>
      </c>
      <c r="J1101" t="s">
        <v>3841</v>
      </c>
      <c r="K1101">
        <v>40</v>
      </c>
      <c r="L1101">
        <v>1.6</v>
      </c>
      <c r="M1101" t="s">
        <v>164</v>
      </c>
      <c r="N1101" t="s">
        <v>27</v>
      </c>
      <c r="O1101" t="s">
        <v>3842</v>
      </c>
      <c r="P1101" t="s">
        <v>1473</v>
      </c>
      <c r="Q1101" t="s">
        <v>322</v>
      </c>
      <c r="R1101">
        <v>9</v>
      </c>
      <c r="S1101">
        <v>75</v>
      </c>
      <c r="T1101">
        <v>98</v>
      </c>
      <c r="U1101">
        <v>70</v>
      </c>
      <c r="V1101">
        <v>114</v>
      </c>
      <c r="W1101">
        <v>70</v>
      </c>
      <c r="X1101">
        <v>75</v>
      </c>
      <c r="Y1101">
        <f t="shared" si="510"/>
        <v>182</v>
      </c>
      <c r="Z1101">
        <f t="shared" si="511"/>
        <v>182</v>
      </c>
      <c r="AA1101">
        <f t="shared" si="512"/>
        <v>150</v>
      </c>
      <c r="AB1101">
        <f t="shared" si="513"/>
        <v>150</v>
      </c>
      <c r="AC1101">
        <f t="shared" si="514"/>
        <v>135</v>
      </c>
      <c r="AD1101">
        <f t="shared" si="515"/>
        <v>165</v>
      </c>
      <c r="AE1101">
        <f t="shared" si="516"/>
        <v>150</v>
      </c>
      <c r="AF1101">
        <f t="shared" si="517"/>
        <v>118</v>
      </c>
      <c r="AG1101">
        <f t="shared" si="518"/>
        <v>106</v>
      </c>
      <c r="AH1101">
        <f t="shared" si="519"/>
        <v>92</v>
      </c>
      <c r="AI1101">
        <f t="shared" si="520"/>
        <v>134</v>
      </c>
      <c r="AJ1101">
        <f t="shared" si="521"/>
        <v>122</v>
      </c>
      <c r="AK1101">
        <f t="shared" si="522"/>
        <v>90</v>
      </c>
      <c r="AL1101">
        <f t="shared" si="523"/>
        <v>81</v>
      </c>
      <c r="AM1101">
        <f t="shared" si="524"/>
        <v>67</v>
      </c>
      <c r="AN1101">
        <f t="shared" si="525"/>
        <v>182</v>
      </c>
      <c r="AO1101">
        <f t="shared" si="526"/>
        <v>166</v>
      </c>
      <c r="AP1101">
        <f t="shared" si="527"/>
        <v>134</v>
      </c>
      <c r="AQ1101">
        <f t="shared" si="528"/>
        <v>120</v>
      </c>
      <c r="AR1101">
        <f t="shared" si="529"/>
        <v>107</v>
      </c>
      <c r="AS1101">
        <f t="shared" si="530"/>
        <v>134</v>
      </c>
      <c r="AT1101">
        <f t="shared" si="531"/>
        <v>122</v>
      </c>
      <c r="AU1101">
        <f t="shared" si="532"/>
        <v>90</v>
      </c>
      <c r="AV1101">
        <f t="shared" si="533"/>
        <v>81</v>
      </c>
      <c r="AW1101">
        <f t="shared" si="534"/>
        <v>67</v>
      </c>
      <c r="AX1101">
        <f t="shared" si="535"/>
        <v>139</v>
      </c>
      <c r="AY1101">
        <f t="shared" si="536"/>
        <v>127</v>
      </c>
      <c r="AZ1101">
        <f t="shared" si="537"/>
        <v>95</v>
      </c>
      <c r="BA1101">
        <f t="shared" si="538"/>
        <v>85</v>
      </c>
      <c r="BB1101">
        <f t="shared" si="539"/>
        <v>72</v>
      </c>
    </row>
    <row r="1102" spans="1:54" x14ac:dyDescent="0.15">
      <c r="B1102" t="s">
        <v>3847</v>
      </c>
      <c r="C1102">
        <v>849</v>
      </c>
      <c r="D1102">
        <v>999</v>
      </c>
      <c r="E1102" t="s">
        <v>3837</v>
      </c>
      <c r="F1102" t="s">
        <v>40</v>
      </c>
      <c r="G1102" t="s">
        <v>3848</v>
      </c>
      <c r="J1102" t="s">
        <v>42</v>
      </c>
      <c r="K1102">
        <v>9999.9</v>
      </c>
      <c r="L1102">
        <v>24</v>
      </c>
      <c r="M1102" t="s">
        <v>164</v>
      </c>
      <c r="N1102" t="s">
        <v>27</v>
      </c>
      <c r="O1102" t="s">
        <v>3842</v>
      </c>
      <c r="P1102" t="s">
        <v>948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f t="shared" si="510"/>
        <v>107</v>
      </c>
      <c r="Z1102">
        <f t="shared" si="511"/>
        <v>107</v>
      </c>
      <c r="AA1102">
        <f t="shared" si="512"/>
        <v>75</v>
      </c>
      <c r="AB1102">
        <f t="shared" si="513"/>
        <v>75</v>
      </c>
      <c r="AC1102">
        <f t="shared" si="514"/>
        <v>60</v>
      </c>
      <c r="AD1102">
        <f t="shared" si="515"/>
        <v>57</v>
      </c>
      <c r="AE1102">
        <f t="shared" si="516"/>
        <v>52</v>
      </c>
      <c r="AF1102">
        <f t="shared" si="517"/>
        <v>20</v>
      </c>
      <c r="AG1102">
        <f t="shared" si="518"/>
        <v>18</v>
      </c>
      <c r="AH1102">
        <f t="shared" si="519"/>
        <v>4</v>
      </c>
      <c r="AI1102">
        <f t="shared" si="520"/>
        <v>57</v>
      </c>
      <c r="AJ1102">
        <f t="shared" si="521"/>
        <v>52</v>
      </c>
      <c r="AK1102">
        <f t="shared" si="522"/>
        <v>20</v>
      </c>
      <c r="AL1102">
        <f t="shared" si="523"/>
        <v>18</v>
      </c>
      <c r="AM1102">
        <f t="shared" si="524"/>
        <v>4</v>
      </c>
      <c r="AN1102">
        <f t="shared" si="525"/>
        <v>57</v>
      </c>
      <c r="AO1102">
        <f t="shared" si="526"/>
        <v>52</v>
      </c>
      <c r="AP1102">
        <f t="shared" si="527"/>
        <v>20</v>
      </c>
      <c r="AQ1102">
        <f t="shared" si="528"/>
        <v>18</v>
      </c>
      <c r="AR1102">
        <f t="shared" si="529"/>
        <v>4</v>
      </c>
      <c r="AS1102">
        <f t="shared" si="530"/>
        <v>57</v>
      </c>
      <c r="AT1102">
        <f t="shared" si="531"/>
        <v>52</v>
      </c>
      <c r="AU1102">
        <f t="shared" si="532"/>
        <v>20</v>
      </c>
      <c r="AV1102">
        <f t="shared" si="533"/>
        <v>18</v>
      </c>
      <c r="AW1102">
        <f t="shared" si="534"/>
        <v>4</v>
      </c>
      <c r="AX1102">
        <f t="shared" si="535"/>
        <v>57</v>
      </c>
      <c r="AY1102">
        <f t="shared" si="536"/>
        <v>52</v>
      </c>
      <c r="AZ1102">
        <f t="shared" si="537"/>
        <v>20</v>
      </c>
      <c r="BA1102">
        <f t="shared" si="538"/>
        <v>18</v>
      </c>
      <c r="BB1102">
        <f t="shared" si="539"/>
        <v>4</v>
      </c>
    </row>
    <row r="1103" spans="1:54" x14ac:dyDescent="0.15">
      <c r="B1103" t="s">
        <v>3849</v>
      </c>
      <c r="C1103">
        <v>850</v>
      </c>
      <c r="D1103">
        <v>0</v>
      </c>
      <c r="E1103" t="s">
        <v>3850</v>
      </c>
      <c r="G1103" t="s">
        <v>3850</v>
      </c>
      <c r="J1103" t="s">
        <v>3851</v>
      </c>
      <c r="K1103">
        <v>1</v>
      </c>
      <c r="L1103">
        <v>0.7</v>
      </c>
      <c r="M1103" t="s">
        <v>47</v>
      </c>
      <c r="N1103" t="s">
        <v>90</v>
      </c>
      <c r="O1103" t="s">
        <v>245</v>
      </c>
      <c r="P1103" t="s">
        <v>1536</v>
      </c>
      <c r="Q1103" t="s">
        <v>456</v>
      </c>
      <c r="R1103">
        <v>8</v>
      </c>
      <c r="S1103">
        <v>50</v>
      </c>
      <c r="T1103">
        <v>65</v>
      </c>
      <c r="U1103">
        <v>45</v>
      </c>
      <c r="V1103">
        <v>50</v>
      </c>
      <c r="W1103">
        <v>50</v>
      </c>
      <c r="X1103">
        <v>45</v>
      </c>
      <c r="Y1103">
        <f t="shared" si="510"/>
        <v>157</v>
      </c>
      <c r="Z1103">
        <f t="shared" si="511"/>
        <v>157</v>
      </c>
      <c r="AA1103">
        <f t="shared" si="512"/>
        <v>125</v>
      </c>
      <c r="AB1103">
        <f t="shared" si="513"/>
        <v>125</v>
      </c>
      <c r="AC1103">
        <f t="shared" si="514"/>
        <v>110</v>
      </c>
      <c r="AD1103">
        <f t="shared" si="515"/>
        <v>128</v>
      </c>
      <c r="AE1103">
        <f t="shared" si="516"/>
        <v>117</v>
      </c>
      <c r="AF1103">
        <f t="shared" si="517"/>
        <v>85</v>
      </c>
      <c r="AG1103">
        <f t="shared" si="518"/>
        <v>76</v>
      </c>
      <c r="AH1103">
        <f t="shared" si="519"/>
        <v>63</v>
      </c>
      <c r="AI1103">
        <f t="shared" si="520"/>
        <v>106</v>
      </c>
      <c r="AJ1103">
        <f t="shared" si="521"/>
        <v>97</v>
      </c>
      <c r="AK1103">
        <f t="shared" si="522"/>
        <v>65</v>
      </c>
      <c r="AL1103">
        <f t="shared" si="523"/>
        <v>58</v>
      </c>
      <c r="AM1103">
        <f t="shared" si="524"/>
        <v>45</v>
      </c>
      <c r="AN1103">
        <f t="shared" si="525"/>
        <v>112</v>
      </c>
      <c r="AO1103">
        <f t="shared" si="526"/>
        <v>102</v>
      </c>
      <c r="AP1103">
        <f t="shared" si="527"/>
        <v>70</v>
      </c>
      <c r="AQ1103">
        <f t="shared" si="528"/>
        <v>63</v>
      </c>
      <c r="AR1103">
        <f t="shared" si="529"/>
        <v>49</v>
      </c>
      <c r="AS1103">
        <f t="shared" si="530"/>
        <v>112</v>
      </c>
      <c r="AT1103">
        <f t="shared" si="531"/>
        <v>102</v>
      </c>
      <c r="AU1103">
        <f t="shared" si="532"/>
        <v>70</v>
      </c>
      <c r="AV1103">
        <f t="shared" si="533"/>
        <v>63</v>
      </c>
      <c r="AW1103">
        <f t="shared" si="534"/>
        <v>49</v>
      </c>
      <c r="AX1103">
        <f t="shared" si="535"/>
        <v>106</v>
      </c>
      <c r="AY1103">
        <f t="shared" si="536"/>
        <v>97</v>
      </c>
      <c r="AZ1103">
        <f t="shared" si="537"/>
        <v>65</v>
      </c>
      <c r="BA1103">
        <f t="shared" si="538"/>
        <v>58</v>
      </c>
      <c r="BB1103">
        <f t="shared" si="539"/>
        <v>45</v>
      </c>
    </row>
    <row r="1104" spans="1:54" x14ac:dyDescent="0.15">
      <c r="B1104" t="s">
        <v>3852</v>
      </c>
      <c r="C1104">
        <v>851</v>
      </c>
      <c r="D1104">
        <v>0</v>
      </c>
      <c r="E1104" t="s">
        <v>3853</v>
      </c>
      <c r="G1104" t="s">
        <v>3853</v>
      </c>
      <c r="J1104" t="s">
        <v>3851</v>
      </c>
      <c r="K1104">
        <v>120</v>
      </c>
      <c r="L1104">
        <v>3</v>
      </c>
      <c r="M1104" t="s">
        <v>47</v>
      </c>
      <c r="N1104" t="s">
        <v>90</v>
      </c>
      <c r="O1104" t="s">
        <v>245</v>
      </c>
      <c r="P1104" t="s">
        <v>1536</v>
      </c>
      <c r="Q1104" t="s">
        <v>456</v>
      </c>
      <c r="R1104">
        <v>8</v>
      </c>
      <c r="S1104">
        <v>100</v>
      </c>
      <c r="T1104">
        <v>115</v>
      </c>
      <c r="U1104">
        <v>65</v>
      </c>
      <c r="V1104">
        <v>90</v>
      </c>
      <c r="W1104">
        <v>90</v>
      </c>
      <c r="X1104">
        <v>65</v>
      </c>
      <c r="Y1104">
        <f t="shared" si="510"/>
        <v>207</v>
      </c>
      <c r="Z1104">
        <f t="shared" si="511"/>
        <v>207</v>
      </c>
      <c r="AA1104">
        <f t="shared" si="512"/>
        <v>175</v>
      </c>
      <c r="AB1104">
        <f t="shared" si="513"/>
        <v>175</v>
      </c>
      <c r="AC1104">
        <f t="shared" si="514"/>
        <v>160</v>
      </c>
      <c r="AD1104">
        <f t="shared" si="515"/>
        <v>183</v>
      </c>
      <c r="AE1104">
        <f t="shared" si="516"/>
        <v>167</v>
      </c>
      <c r="AF1104">
        <f t="shared" si="517"/>
        <v>135</v>
      </c>
      <c r="AG1104">
        <f t="shared" si="518"/>
        <v>121</v>
      </c>
      <c r="AH1104">
        <f t="shared" si="519"/>
        <v>108</v>
      </c>
      <c r="AI1104">
        <f t="shared" si="520"/>
        <v>128</v>
      </c>
      <c r="AJ1104">
        <f t="shared" si="521"/>
        <v>117</v>
      </c>
      <c r="AK1104">
        <f t="shared" si="522"/>
        <v>85</v>
      </c>
      <c r="AL1104">
        <f t="shared" si="523"/>
        <v>76</v>
      </c>
      <c r="AM1104">
        <f t="shared" si="524"/>
        <v>63</v>
      </c>
      <c r="AN1104">
        <f t="shared" si="525"/>
        <v>156</v>
      </c>
      <c r="AO1104">
        <f t="shared" si="526"/>
        <v>142</v>
      </c>
      <c r="AP1104">
        <f t="shared" si="527"/>
        <v>110</v>
      </c>
      <c r="AQ1104">
        <f t="shared" si="528"/>
        <v>99</v>
      </c>
      <c r="AR1104">
        <f t="shared" si="529"/>
        <v>85</v>
      </c>
      <c r="AS1104">
        <f t="shared" si="530"/>
        <v>156</v>
      </c>
      <c r="AT1104">
        <f t="shared" si="531"/>
        <v>142</v>
      </c>
      <c r="AU1104">
        <f t="shared" si="532"/>
        <v>110</v>
      </c>
      <c r="AV1104">
        <f t="shared" si="533"/>
        <v>99</v>
      </c>
      <c r="AW1104">
        <f t="shared" si="534"/>
        <v>85</v>
      </c>
      <c r="AX1104">
        <f t="shared" si="535"/>
        <v>128</v>
      </c>
      <c r="AY1104">
        <f t="shared" si="536"/>
        <v>117</v>
      </c>
      <c r="AZ1104">
        <f t="shared" si="537"/>
        <v>85</v>
      </c>
      <c r="BA1104">
        <f t="shared" si="538"/>
        <v>76</v>
      </c>
      <c r="BB1104">
        <f t="shared" si="539"/>
        <v>63</v>
      </c>
    </row>
    <row r="1105" spans="1:54" x14ac:dyDescent="0.15">
      <c r="B1105" t="s">
        <v>3854</v>
      </c>
      <c r="C1105">
        <v>851</v>
      </c>
      <c r="D1105">
        <v>999</v>
      </c>
      <c r="E1105" t="s">
        <v>3853</v>
      </c>
      <c r="F1105" t="s">
        <v>40</v>
      </c>
      <c r="G1105" t="s">
        <v>3855</v>
      </c>
      <c r="J1105" t="s">
        <v>42</v>
      </c>
      <c r="K1105">
        <v>9999.9</v>
      </c>
      <c r="L1105">
        <v>75</v>
      </c>
      <c r="M1105" t="s">
        <v>47</v>
      </c>
      <c r="N1105" t="s">
        <v>90</v>
      </c>
      <c r="O1105" t="s">
        <v>245</v>
      </c>
      <c r="P1105" t="s">
        <v>1536</v>
      </c>
      <c r="Q1105" t="s">
        <v>456</v>
      </c>
      <c r="R1105">
        <v>8</v>
      </c>
      <c r="S1105">
        <v>100</v>
      </c>
      <c r="T1105">
        <v>115</v>
      </c>
      <c r="U1105">
        <v>65</v>
      </c>
      <c r="V1105">
        <v>90</v>
      </c>
      <c r="W1105">
        <v>90</v>
      </c>
      <c r="X1105">
        <v>65</v>
      </c>
      <c r="Y1105">
        <f t="shared" si="510"/>
        <v>207</v>
      </c>
      <c r="Z1105">
        <f t="shared" si="511"/>
        <v>207</v>
      </c>
      <c r="AA1105">
        <f t="shared" si="512"/>
        <v>175</v>
      </c>
      <c r="AB1105">
        <f t="shared" si="513"/>
        <v>175</v>
      </c>
      <c r="AC1105">
        <f t="shared" si="514"/>
        <v>160</v>
      </c>
      <c r="AD1105">
        <f t="shared" si="515"/>
        <v>183</v>
      </c>
      <c r="AE1105">
        <f t="shared" si="516"/>
        <v>167</v>
      </c>
      <c r="AF1105">
        <f t="shared" si="517"/>
        <v>135</v>
      </c>
      <c r="AG1105">
        <f t="shared" si="518"/>
        <v>121</v>
      </c>
      <c r="AH1105">
        <f t="shared" si="519"/>
        <v>108</v>
      </c>
      <c r="AI1105">
        <f t="shared" si="520"/>
        <v>128</v>
      </c>
      <c r="AJ1105">
        <f t="shared" si="521"/>
        <v>117</v>
      </c>
      <c r="AK1105">
        <f t="shared" si="522"/>
        <v>85</v>
      </c>
      <c r="AL1105">
        <f t="shared" si="523"/>
        <v>76</v>
      </c>
      <c r="AM1105">
        <f t="shared" si="524"/>
        <v>63</v>
      </c>
      <c r="AN1105">
        <f t="shared" si="525"/>
        <v>156</v>
      </c>
      <c r="AO1105">
        <f t="shared" si="526"/>
        <v>142</v>
      </c>
      <c r="AP1105">
        <f t="shared" si="527"/>
        <v>110</v>
      </c>
      <c r="AQ1105">
        <f t="shared" si="528"/>
        <v>99</v>
      </c>
      <c r="AR1105">
        <f t="shared" si="529"/>
        <v>85</v>
      </c>
      <c r="AS1105">
        <f t="shared" si="530"/>
        <v>156</v>
      </c>
      <c r="AT1105">
        <f t="shared" si="531"/>
        <v>142</v>
      </c>
      <c r="AU1105">
        <f t="shared" si="532"/>
        <v>110</v>
      </c>
      <c r="AV1105">
        <f t="shared" si="533"/>
        <v>99</v>
      </c>
      <c r="AW1105">
        <f t="shared" si="534"/>
        <v>85</v>
      </c>
      <c r="AX1105">
        <f t="shared" si="535"/>
        <v>128</v>
      </c>
      <c r="AY1105">
        <f t="shared" si="536"/>
        <v>117</v>
      </c>
      <c r="AZ1105">
        <f t="shared" si="537"/>
        <v>85</v>
      </c>
      <c r="BA1105">
        <f t="shared" si="538"/>
        <v>76</v>
      </c>
      <c r="BB1105">
        <f t="shared" si="539"/>
        <v>63</v>
      </c>
    </row>
    <row r="1106" spans="1:54" x14ac:dyDescent="0.15">
      <c r="B1106" t="s">
        <v>3856</v>
      </c>
      <c r="C1106">
        <v>852</v>
      </c>
      <c r="D1106">
        <v>0</v>
      </c>
      <c r="E1106" t="s">
        <v>3857</v>
      </c>
      <c r="G1106" t="s">
        <v>3857</v>
      </c>
      <c r="J1106" t="s">
        <v>3858</v>
      </c>
      <c r="K1106">
        <v>4</v>
      </c>
      <c r="L1106">
        <v>0.6</v>
      </c>
      <c r="M1106" t="s">
        <v>354</v>
      </c>
      <c r="O1106" t="s">
        <v>336</v>
      </c>
      <c r="P1106" t="s">
        <v>322</v>
      </c>
      <c r="R1106">
        <v>8</v>
      </c>
      <c r="S1106">
        <v>50</v>
      </c>
      <c r="T1106">
        <v>68</v>
      </c>
      <c r="U1106">
        <v>60</v>
      </c>
      <c r="V1106">
        <v>50</v>
      </c>
      <c r="W1106">
        <v>50</v>
      </c>
      <c r="X1106">
        <v>32</v>
      </c>
      <c r="Y1106">
        <f t="shared" si="510"/>
        <v>157</v>
      </c>
      <c r="Z1106">
        <f t="shared" si="511"/>
        <v>157</v>
      </c>
      <c r="AA1106">
        <f t="shared" si="512"/>
        <v>125</v>
      </c>
      <c r="AB1106">
        <f t="shared" si="513"/>
        <v>125</v>
      </c>
      <c r="AC1106">
        <f t="shared" si="514"/>
        <v>110</v>
      </c>
      <c r="AD1106">
        <f t="shared" si="515"/>
        <v>132</v>
      </c>
      <c r="AE1106">
        <f t="shared" si="516"/>
        <v>120</v>
      </c>
      <c r="AF1106">
        <f t="shared" si="517"/>
        <v>88</v>
      </c>
      <c r="AG1106">
        <f t="shared" si="518"/>
        <v>79</v>
      </c>
      <c r="AH1106">
        <f t="shared" si="519"/>
        <v>65</v>
      </c>
      <c r="AI1106">
        <f t="shared" si="520"/>
        <v>123</v>
      </c>
      <c r="AJ1106">
        <f t="shared" si="521"/>
        <v>112</v>
      </c>
      <c r="AK1106">
        <f t="shared" si="522"/>
        <v>80</v>
      </c>
      <c r="AL1106">
        <f t="shared" si="523"/>
        <v>72</v>
      </c>
      <c r="AM1106">
        <f t="shared" si="524"/>
        <v>58</v>
      </c>
      <c r="AN1106">
        <f t="shared" si="525"/>
        <v>112</v>
      </c>
      <c r="AO1106">
        <f t="shared" si="526"/>
        <v>102</v>
      </c>
      <c r="AP1106">
        <f t="shared" si="527"/>
        <v>70</v>
      </c>
      <c r="AQ1106">
        <f t="shared" si="528"/>
        <v>63</v>
      </c>
      <c r="AR1106">
        <f t="shared" si="529"/>
        <v>49</v>
      </c>
      <c r="AS1106">
        <f t="shared" si="530"/>
        <v>112</v>
      </c>
      <c r="AT1106">
        <f t="shared" si="531"/>
        <v>102</v>
      </c>
      <c r="AU1106">
        <f t="shared" si="532"/>
        <v>70</v>
      </c>
      <c r="AV1106">
        <f t="shared" si="533"/>
        <v>63</v>
      </c>
      <c r="AW1106">
        <f t="shared" si="534"/>
        <v>49</v>
      </c>
      <c r="AX1106">
        <f t="shared" si="535"/>
        <v>92</v>
      </c>
      <c r="AY1106">
        <f t="shared" si="536"/>
        <v>84</v>
      </c>
      <c r="AZ1106">
        <f t="shared" si="537"/>
        <v>52</v>
      </c>
      <c r="BA1106">
        <f t="shared" si="538"/>
        <v>46</v>
      </c>
      <c r="BB1106">
        <f t="shared" si="539"/>
        <v>33</v>
      </c>
    </row>
    <row r="1107" spans="1:54" x14ac:dyDescent="0.15">
      <c r="B1107" t="s">
        <v>3859</v>
      </c>
      <c r="C1107">
        <v>853</v>
      </c>
      <c r="D1107">
        <v>0</v>
      </c>
      <c r="E1107" t="s">
        <v>3860</v>
      </c>
      <c r="G1107" t="s">
        <v>3860</v>
      </c>
      <c r="J1107" t="s">
        <v>3861</v>
      </c>
      <c r="K1107">
        <v>39</v>
      </c>
      <c r="L1107">
        <v>1.6</v>
      </c>
      <c r="M1107" t="s">
        <v>354</v>
      </c>
      <c r="O1107" t="s">
        <v>336</v>
      </c>
      <c r="P1107" t="s">
        <v>322</v>
      </c>
      <c r="R1107">
        <v>8</v>
      </c>
      <c r="S1107">
        <v>80</v>
      </c>
      <c r="T1107">
        <v>118</v>
      </c>
      <c r="U1107">
        <v>90</v>
      </c>
      <c r="V1107">
        <v>70</v>
      </c>
      <c r="W1107">
        <v>80</v>
      </c>
      <c r="X1107">
        <v>42</v>
      </c>
      <c r="Y1107">
        <f t="shared" si="510"/>
        <v>187</v>
      </c>
      <c r="Z1107">
        <f t="shared" si="511"/>
        <v>187</v>
      </c>
      <c r="AA1107">
        <f t="shared" si="512"/>
        <v>155</v>
      </c>
      <c r="AB1107">
        <f t="shared" si="513"/>
        <v>155</v>
      </c>
      <c r="AC1107">
        <f t="shared" si="514"/>
        <v>140</v>
      </c>
      <c r="AD1107">
        <f t="shared" si="515"/>
        <v>187</v>
      </c>
      <c r="AE1107">
        <f t="shared" si="516"/>
        <v>170</v>
      </c>
      <c r="AF1107">
        <f t="shared" si="517"/>
        <v>138</v>
      </c>
      <c r="AG1107">
        <f t="shared" si="518"/>
        <v>124</v>
      </c>
      <c r="AH1107">
        <f t="shared" si="519"/>
        <v>110</v>
      </c>
      <c r="AI1107">
        <f t="shared" si="520"/>
        <v>156</v>
      </c>
      <c r="AJ1107">
        <f t="shared" si="521"/>
        <v>142</v>
      </c>
      <c r="AK1107">
        <f t="shared" si="522"/>
        <v>110</v>
      </c>
      <c r="AL1107">
        <f t="shared" si="523"/>
        <v>99</v>
      </c>
      <c r="AM1107">
        <f t="shared" si="524"/>
        <v>85</v>
      </c>
      <c r="AN1107">
        <f t="shared" si="525"/>
        <v>134</v>
      </c>
      <c r="AO1107">
        <f t="shared" si="526"/>
        <v>122</v>
      </c>
      <c r="AP1107">
        <f t="shared" si="527"/>
        <v>90</v>
      </c>
      <c r="AQ1107">
        <f t="shared" si="528"/>
        <v>81</v>
      </c>
      <c r="AR1107">
        <f t="shared" si="529"/>
        <v>67</v>
      </c>
      <c r="AS1107">
        <f t="shared" si="530"/>
        <v>145</v>
      </c>
      <c r="AT1107">
        <f t="shared" si="531"/>
        <v>132</v>
      </c>
      <c r="AU1107">
        <f t="shared" si="532"/>
        <v>100</v>
      </c>
      <c r="AV1107">
        <f t="shared" si="533"/>
        <v>90</v>
      </c>
      <c r="AW1107">
        <f t="shared" si="534"/>
        <v>76</v>
      </c>
      <c r="AX1107">
        <f t="shared" si="535"/>
        <v>103</v>
      </c>
      <c r="AY1107">
        <f t="shared" si="536"/>
        <v>94</v>
      </c>
      <c r="AZ1107">
        <f t="shared" si="537"/>
        <v>62</v>
      </c>
      <c r="BA1107">
        <f t="shared" si="538"/>
        <v>55</v>
      </c>
      <c r="BB1107">
        <f t="shared" si="539"/>
        <v>42</v>
      </c>
    </row>
    <row r="1108" spans="1:54" x14ac:dyDescent="0.15">
      <c r="A1108">
        <v>767</v>
      </c>
      <c r="B1108" t="s">
        <v>3862</v>
      </c>
      <c r="C1108">
        <v>854</v>
      </c>
      <c r="D1108">
        <v>0</v>
      </c>
      <c r="E1108" t="s">
        <v>3863</v>
      </c>
      <c r="G1108" t="s">
        <v>3863</v>
      </c>
      <c r="H1108" t="s">
        <v>3864</v>
      </c>
      <c r="J1108" t="s">
        <v>3865</v>
      </c>
      <c r="K1108">
        <v>0.2</v>
      </c>
      <c r="L1108">
        <v>0.1</v>
      </c>
      <c r="M1108" t="s">
        <v>546</v>
      </c>
      <c r="O1108" t="s">
        <v>563</v>
      </c>
      <c r="P1108" t="s">
        <v>554</v>
      </c>
      <c r="R1108">
        <v>9</v>
      </c>
      <c r="S1108">
        <v>40</v>
      </c>
      <c r="T1108">
        <v>45</v>
      </c>
      <c r="U1108">
        <v>45</v>
      </c>
      <c r="V1108">
        <v>74</v>
      </c>
      <c r="W1108">
        <v>54</v>
      </c>
      <c r="X1108">
        <v>50</v>
      </c>
      <c r="Y1108">
        <f t="shared" si="510"/>
        <v>147</v>
      </c>
      <c r="Z1108">
        <f t="shared" si="511"/>
        <v>147</v>
      </c>
      <c r="AA1108">
        <f t="shared" si="512"/>
        <v>115</v>
      </c>
      <c r="AB1108">
        <f t="shared" si="513"/>
        <v>115</v>
      </c>
      <c r="AC1108">
        <f t="shared" si="514"/>
        <v>100</v>
      </c>
      <c r="AD1108">
        <f t="shared" si="515"/>
        <v>106</v>
      </c>
      <c r="AE1108">
        <f t="shared" si="516"/>
        <v>97</v>
      </c>
      <c r="AF1108">
        <f t="shared" si="517"/>
        <v>65</v>
      </c>
      <c r="AG1108">
        <f t="shared" si="518"/>
        <v>58</v>
      </c>
      <c r="AH1108">
        <f t="shared" si="519"/>
        <v>45</v>
      </c>
      <c r="AI1108">
        <f t="shared" si="520"/>
        <v>106</v>
      </c>
      <c r="AJ1108">
        <f t="shared" si="521"/>
        <v>97</v>
      </c>
      <c r="AK1108">
        <f t="shared" si="522"/>
        <v>65</v>
      </c>
      <c r="AL1108">
        <f t="shared" si="523"/>
        <v>58</v>
      </c>
      <c r="AM1108">
        <f t="shared" si="524"/>
        <v>45</v>
      </c>
      <c r="AN1108">
        <f t="shared" si="525"/>
        <v>138</v>
      </c>
      <c r="AO1108">
        <f t="shared" si="526"/>
        <v>126</v>
      </c>
      <c r="AP1108">
        <f t="shared" si="527"/>
        <v>94</v>
      </c>
      <c r="AQ1108">
        <f t="shared" si="528"/>
        <v>84</v>
      </c>
      <c r="AR1108">
        <f t="shared" si="529"/>
        <v>71</v>
      </c>
      <c r="AS1108">
        <f t="shared" si="530"/>
        <v>116</v>
      </c>
      <c r="AT1108">
        <f t="shared" si="531"/>
        <v>106</v>
      </c>
      <c r="AU1108">
        <f t="shared" si="532"/>
        <v>74</v>
      </c>
      <c r="AV1108">
        <f t="shared" si="533"/>
        <v>66</v>
      </c>
      <c r="AW1108">
        <f t="shared" si="534"/>
        <v>53</v>
      </c>
      <c r="AX1108">
        <f t="shared" si="535"/>
        <v>112</v>
      </c>
      <c r="AY1108">
        <f t="shared" si="536"/>
        <v>102</v>
      </c>
      <c r="AZ1108">
        <f t="shared" si="537"/>
        <v>70</v>
      </c>
      <c r="BA1108">
        <f t="shared" si="538"/>
        <v>63</v>
      </c>
      <c r="BB1108">
        <f t="shared" si="539"/>
        <v>49</v>
      </c>
    </row>
    <row r="1109" spans="1:54" x14ac:dyDescent="0.15">
      <c r="A1109">
        <v>768</v>
      </c>
      <c r="B1109" t="s">
        <v>3866</v>
      </c>
      <c r="C1109">
        <v>855</v>
      </c>
      <c r="D1109">
        <v>0</v>
      </c>
      <c r="E1109" t="s">
        <v>3867</v>
      </c>
      <c r="G1109" t="s">
        <v>3867</v>
      </c>
      <c r="H1109" t="s">
        <v>3868</v>
      </c>
      <c r="J1109" t="s">
        <v>3865</v>
      </c>
      <c r="K1109">
        <v>0.4</v>
      </c>
      <c r="L1109">
        <v>0.2</v>
      </c>
      <c r="M1109" t="s">
        <v>546</v>
      </c>
      <c r="O1109" t="s">
        <v>563</v>
      </c>
      <c r="P1109" t="s">
        <v>554</v>
      </c>
      <c r="R1109">
        <v>9</v>
      </c>
      <c r="S1109">
        <v>60</v>
      </c>
      <c r="T1109">
        <v>65</v>
      </c>
      <c r="U1109">
        <v>65</v>
      </c>
      <c r="V1109">
        <v>134</v>
      </c>
      <c r="W1109">
        <v>114</v>
      </c>
      <c r="X1109">
        <v>70</v>
      </c>
      <c r="Y1109">
        <f t="shared" si="510"/>
        <v>167</v>
      </c>
      <c r="Z1109">
        <f t="shared" si="511"/>
        <v>167</v>
      </c>
      <c r="AA1109">
        <f t="shared" si="512"/>
        <v>135</v>
      </c>
      <c r="AB1109">
        <f t="shared" si="513"/>
        <v>135</v>
      </c>
      <c r="AC1109">
        <f t="shared" si="514"/>
        <v>120</v>
      </c>
      <c r="AD1109">
        <f t="shared" si="515"/>
        <v>128</v>
      </c>
      <c r="AE1109">
        <f t="shared" si="516"/>
        <v>117</v>
      </c>
      <c r="AF1109">
        <f t="shared" si="517"/>
        <v>85</v>
      </c>
      <c r="AG1109">
        <f t="shared" si="518"/>
        <v>76</v>
      </c>
      <c r="AH1109">
        <f t="shared" si="519"/>
        <v>63</v>
      </c>
      <c r="AI1109">
        <f t="shared" si="520"/>
        <v>128</v>
      </c>
      <c r="AJ1109">
        <f t="shared" si="521"/>
        <v>117</v>
      </c>
      <c r="AK1109">
        <f t="shared" si="522"/>
        <v>85</v>
      </c>
      <c r="AL1109">
        <f t="shared" si="523"/>
        <v>76</v>
      </c>
      <c r="AM1109">
        <f t="shared" si="524"/>
        <v>63</v>
      </c>
      <c r="AN1109">
        <f t="shared" si="525"/>
        <v>204</v>
      </c>
      <c r="AO1109">
        <f t="shared" si="526"/>
        <v>186</v>
      </c>
      <c r="AP1109">
        <f t="shared" si="527"/>
        <v>154</v>
      </c>
      <c r="AQ1109">
        <f t="shared" si="528"/>
        <v>138</v>
      </c>
      <c r="AR1109">
        <f t="shared" si="529"/>
        <v>125</v>
      </c>
      <c r="AS1109">
        <f t="shared" si="530"/>
        <v>182</v>
      </c>
      <c r="AT1109">
        <f t="shared" si="531"/>
        <v>166</v>
      </c>
      <c r="AU1109">
        <f t="shared" si="532"/>
        <v>134</v>
      </c>
      <c r="AV1109">
        <f t="shared" si="533"/>
        <v>120</v>
      </c>
      <c r="AW1109">
        <f t="shared" si="534"/>
        <v>107</v>
      </c>
      <c r="AX1109">
        <f t="shared" si="535"/>
        <v>134</v>
      </c>
      <c r="AY1109">
        <f t="shared" si="536"/>
        <v>122</v>
      </c>
      <c r="AZ1109">
        <f t="shared" si="537"/>
        <v>90</v>
      </c>
      <c r="BA1109">
        <f t="shared" si="538"/>
        <v>81</v>
      </c>
      <c r="BB1109">
        <f t="shared" si="539"/>
        <v>67</v>
      </c>
    </row>
    <row r="1110" spans="1:54" x14ac:dyDescent="0.15">
      <c r="A1110">
        <v>764</v>
      </c>
      <c r="B1110" t="s">
        <v>3869</v>
      </c>
      <c r="C1110">
        <v>856</v>
      </c>
      <c r="D1110">
        <v>0</v>
      </c>
      <c r="E1110" t="s">
        <v>3870</v>
      </c>
      <c r="G1110" t="s">
        <v>3870</v>
      </c>
      <c r="H1110" t="s">
        <v>3871</v>
      </c>
      <c r="J1110" t="s">
        <v>3872</v>
      </c>
      <c r="K1110">
        <v>3.4</v>
      </c>
      <c r="L1110">
        <v>0.4</v>
      </c>
      <c r="M1110" t="s">
        <v>191</v>
      </c>
      <c r="O1110" t="s">
        <v>656</v>
      </c>
      <c r="P1110" t="s">
        <v>758</v>
      </c>
      <c r="Q1110" t="s">
        <v>940</v>
      </c>
      <c r="R1110">
        <v>9</v>
      </c>
      <c r="S1110">
        <v>42</v>
      </c>
      <c r="T1110">
        <v>30</v>
      </c>
      <c r="U1110">
        <v>45</v>
      </c>
      <c r="V1110">
        <v>56</v>
      </c>
      <c r="W1110">
        <v>53</v>
      </c>
      <c r="X1110">
        <v>39</v>
      </c>
      <c r="Y1110">
        <f t="shared" si="510"/>
        <v>149</v>
      </c>
      <c r="Z1110">
        <f t="shared" si="511"/>
        <v>149</v>
      </c>
      <c r="AA1110">
        <f t="shared" si="512"/>
        <v>117</v>
      </c>
      <c r="AB1110">
        <f t="shared" si="513"/>
        <v>117</v>
      </c>
      <c r="AC1110">
        <f t="shared" si="514"/>
        <v>102</v>
      </c>
      <c r="AD1110">
        <f t="shared" si="515"/>
        <v>90</v>
      </c>
      <c r="AE1110">
        <f t="shared" si="516"/>
        <v>82</v>
      </c>
      <c r="AF1110">
        <f t="shared" si="517"/>
        <v>50</v>
      </c>
      <c r="AG1110">
        <f t="shared" si="518"/>
        <v>45</v>
      </c>
      <c r="AH1110">
        <f t="shared" si="519"/>
        <v>31</v>
      </c>
      <c r="AI1110">
        <f t="shared" si="520"/>
        <v>106</v>
      </c>
      <c r="AJ1110">
        <f t="shared" si="521"/>
        <v>97</v>
      </c>
      <c r="AK1110">
        <f t="shared" si="522"/>
        <v>65</v>
      </c>
      <c r="AL1110">
        <f t="shared" si="523"/>
        <v>58</v>
      </c>
      <c r="AM1110">
        <f t="shared" si="524"/>
        <v>45</v>
      </c>
      <c r="AN1110">
        <f t="shared" si="525"/>
        <v>118</v>
      </c>
      <c r="AO1110">
        <f t="shared" si="526"/>
        <v>108</v>
      </c>
      <c r="AP1110">
        <f t="shared" si="527"/>
        <v>76</v>
      </c>
      <c r="AQ1110">
        <f t="shared" si="528"/>
        <v>68</v>
      </c>
      <c r="AR1110">
        <f t="shared" si="529"/>
        <v>54</v>
      </c>
      <c r="AS1110">
        <f t="shared" si="530"/>
        <v>115</v>
      </c>
      <c r="AT1110">
        <f t="shared" si="531"/>
        <v>105</v>
      </c>
      <c r="AU1110">
        <f t="shared" si="532"/>
        <v>73</v>
      </c>
      <c r="AV1110">
        <f t="shared" si="533"/>
        <v>65</v>
      </c>
      <c r="AW1110">
        <f t="shared" si="534"/>
        <v>52</v>
      </c>
      <c r="AX1110">
        <f t="shared" si="535"/>
        <v>100</v>
      </c>
      <c r="AY1110">
        <f t="shared" si="536"/>
        <v>91</v>
      </c>
      <c r="AZ1110">
        <f t="shared" si="537"/>
        <v>59</v>
      </c>
      <c r="BA1110">
        <f t="shared" si="538"/>
        <v>53</v>
      </c>
      <c r="BB1110">
        <f t="shared" si="539"/>
        <v>39</v>
      </c>
    </row>
    <row r="1111" spans="1:54" x14ac:dyDescent="0.15">
      <c r="A1111">
        <v>765</v>
      </c>
      <c r="B1111" t="s">
        <v>3873</v>
      </c>
      <c r="C1111">
        <v>857</v>
      </c>
      <c r="D1111">
        <v>0</v>
      </c>
      <c r="E1111" t="s">
        <v>3874</v>
      </c>
      <c r="G1111" t="s">
        <v>3874</v>
      </c>
      <c r="H1111" t="s">
        <v>3875</v>
      </c>
      <c r="J1111" t="s">
        <v>3876</v>
      </c>
      <c r="K1111">
        <v>4.8</v>
      </c>
      <c r="L1111">
        <v>0.6</v>
      </c>
      <c r="M1111" t="s">
        <v>191</v>
      </c>
      <c r="O1111" t="s">
        <v>656</v>
      </c>
      <c r="P1111" t="s">
        <v>758</v>
      </c>
      <c r="Q1111" t="s">
        <v>940</v>
      </c>
      <c r="R1111">
        <v>9</v>
      </c>
      <c r="S1111">
        <v>57</v>
      </c>
      <c r="T1111">
        <v>40</v>
      </c>
      <c r="U1111">
        <v>65</v>
      </c>
      <c r="V1111">
        <v>86</v>
      </c>
      <c r="W1111">
        <v>73</v>
      </c>
      <c r="X1111">
        <v>49</v>
      </c>
      <c r="Y1111">
        <f t="shared" si="510"/>
        <v>164</v>
      </c>
      <c r="Z1111">
        <f t="shared" si="511"/>
        <v>164</v>
      </c>
      <c r="AA1111">
        <f t="shared" si="512"/>
        <v>132</v>
      </c>
      <c r="AB1111">
        <f t="shared" si="513"/>
        <v>132</v>
      </c>
      <c r="AC1111">
        <f t="shared" si="514"/>
        <v>117</v>
      </c>
      <c r="AD1111">
        <f t="shared" si="515"/>
        <v>101</v>
      </c>
      <c r="AE1111">
        <f t="shared" si="516"/>
        <v>92</v>
      </c>
      <c r="AF1111">
        <f t="shared" si="517"/>
        <v>60</v>
      </c>
      <c r="AG1111">
        <f t="shared" si="518"/>
        <v>54</v>
      </c>
      <c r="AH1111">
        <f t="shared" si="519"/>
        <v>40</v>
      </c>
      <c r="AI1111">
        <f t="shared" si="520"/>
        <v>128</v>
      </c>
      <c r="AJ1111">
        <f t="shared" si="521"/>
        <v>117</v>
      </c>
      <c r="AK1111">
        <f t="shared" si="522"/>
        <v>85</v>
      </c>
      <c r="AL1111">
        <f t="shared" si="523"/>
        <v>76</v>
      </c>
      <c r="AM1111">
        <f t="shared" si="524"/>
        <v>63</v>
      </c>
      <c r="AN1111">
        <f t="shared" si="525"/>
        <v>151</v>
      </c>
      <c r="AO1111">
        <f t="shared" si="526"/>
        <v>138</v>
      </c>
      <c r="AP1111">
        <f t="shared" si="527"/>
        <v>106</v>
      </c>
      <c r="AQ1111">
        <f t="shared" si="528"/>
        <v>95</v>
      </c>
      <c r="AR1111">
        <f t="shared" si="529"/>
        <v>81</v>
      </c>
      <c r="AS1111">
        <f t="shared" si="530"/>
        <v>137</v>
      </c>
      <c r="AT1111">
        <f t="shared" si="531"/>
        <v>125</v>
      </c>
      <c r="AU1111">
        <f t="shared" si="532"/>
        <v>93</v>
      </c>
      <c r="AV1111">
        <f t="shared" si="533"/>
        <v>83</v>
      </c>
      <c r="AW1111">
        <f t="shared" si="534"/>
        <v>70</v>
      </c>
      <c r="AX1111">
        <f t="shared" si="535"/>
        <v>111</v>
      </c>
      <c r="AY1111">
        <f t="shared" si="536"/>
        <v>101</v>
      </c>
      <c r="AZ1111">
        <f t="shared" si="537"/>
        <v>69</v>
      </c>
      <c r="BA1111">
        <f t="shared" si="538"/>
        <v>62</v>
      </c>
      <c r="BB1111">
        <f t="shared" si="539"/>
        <v>48</v>
      </c>
    </row>
    <row r="1112" spans="1:54" x14ac:dyDescent="0.15">
      <c r="A1112">
        <v>766</v>
      </c>
      <c r="B1112" t="s">
        <v>3877</v>
      </c>
      <c r="C1112">
        <v>858</v>
      </c>
      <c r="D1112">
        <v>0</v>
      </c>
      <c r="E1112" t="s">
        <v>3878</v>
      </c>
      <c r="G1112" t="s">
        <v>3878</v>
      </c>
      <c r="H1112" t="s">
        <v>3879</v>
      </c>
      <c r="J1112" t="s">
        <v>3880</v>
      </c>
      <c r="K1112">
        <v>5.0999999999999996</v>
      </c>
      <c r="L1112">
        <v>2.1</v>
      </c>
      <c r="M1112" t="s">
        <v>191</v>
      </c>
      <c r="N1112" t="s">
        <v>233</v>
      </c>
      <c r="O1112" t="s">
        <v>656</v>
      </c>
      <c r="P1112" t="s">
        <v>758</v>
      </c>
      <c r="Q1112" t="s">
        <v>940</v>
      </c>
      <c r="R1112">
        <v>9</v>
      </c>
      <c r="S1112">
        <v>57</v>
      </c>
      <c r="T1112">
        <v>90</v>
      </c>
      <c r="U1112">
        <v>95</v>
      </c>
      <c r="V1112">
        <v>136</v>
      </c>
      <c r="W1112">
        <v>103</v>
      </c>
      <c r="X1112">
        <v>29</v>
      </c>
      <c r="Y1112">
        <f t="shared" si="510"/>
        <v>164</v>
      </c>
      <c r="Z1112">
        <f t="shared" si="511"/>
        <v>164</v>
      </c>
      <c r="AA1112">
        <f t="shared" si="512"/>
        <v>132</v>
      </c>
      <c r="AB1112">
        <f t="shared" si="513"/>
        <v>132</v>
      </c>
      <c r="AC1112">
        <f t="shared" si="514"/>
        <v>117</v>
      </c>
      <c r="AD1112">
        <f t="shared" si="515"/>
        <v>156</v>
      </c>
      <c r="AE1112">
        <f t="shared" si="516"/>
        <v>142</v>
      </c>
      <c r="AF1112">
        <f t="shared" si="517"/>
        <v>110</v>
      </c>
      <c r="AG1112">
        <f t="shared" si="518"/>
        <v>99</v>
      </c>
      <c r="AH1112">
        <f t="shared" si="519"/>
        <v>85</v>
      </c>
      <c r="AI1112">
        <f t="shared" si="520"/>
        <v>161</v>
      </c>
      <c r="AJ1112">
        <f t="shared" si="521"/>
        <v>147</v>
      </c>
      <c r="AK1112">
        <f t="shared" si="522"/>
        <v>115</v>
      </c>
      <c r="AL1112">
        <f t="shared" si="523"/>
        <v>103</v>
      </c>
      <c r="AM1112">
        <f t="shared" si="524"/>
        <v>90</v>
      </c>
      <c r="AN1112">
        <f t="shared" si="525"/>
        <v>206</v>
      </c>
      <c r="AO1112">
        <f t="shared" si="526"/>
        <v>188</v>
      </c>
      <c r="AP1112">
        <f t="shared" si="527"/>
        <v>156</v>
      </c>
      <c r="AQ1112">
        <f t="shared" si="528"/>
        <v>140</v>
      </c>
      <c r="AR1112">
        <f t="shared" si="529"/>
        <v>126</v>
      </c>
      <c r="AS1112">
        <f t="shared" si="530"/>
        <v>170</v>
      </c>
      <c r="AT1112">
        <f t="shared" si="531"/>
        <v>155</v>
      </c>
      <c r="AU1112">
        <f t="shared" si="532"/>
        <v>123</v>
      </c>
      <c r="AV1112">
        <f t="shared" si="533"/>
        <v>110</v>
      </c>
      <c r="AW1112">
        <f t="shared" si="534"/>
        <v>97</v>
      </c>
      <c r="AX1112">
        <f t="shared" si="535"/>
        <v>89</v>
      </c>
      <c r="AY1112">
        <f t="shared" si="536"/>
        <v>81</v>
      </c>
      <c r="AZ1112">
        <f t="shared" si="537"/>
        <v>49</v>
      </c>
      <c r="BA1112">
        <f t="shared" si="538"/>
        <v>44</v>
      </c>
      <c r="BB1112">
        <f t="shared" si="539"/>
        <v>30</v>
      </c>
    </row>
    <row r="1113" spans="1:54" x14ac:dyDescent="0.15">
      <c r="B1113" t="s">
        <v>3881</v>
      </c>
      <c r="C1113">
        <v>858</v>
      </c>
      <c r="D1113">
        <v>999</v>
      </c>
      <c r="E1113" t="s">
        <v>3878</v>
      </c>
      <c r="F1113" t="s">
        <v>40</v>
      </c>
      <c r="G1113" t="s">
        <v>3882</v>
      </c>
      <c r="J1113" t="s">
        <v>42</v>
      </c>
      <c r="K1113">
        <v>9999.9</v>
      </c>
      <c r="L1113">
        <v>26</v>
      </c>
      <c r="M1113" t="s">
        <v>191</v>
      </c>
      <c r="N1113" t="s">
        <v>233</v>
      </c>
      <c r="O1113" t="s">
        <v>656</v>
      </c>
      <c r="P1113" t="s">
        <v>758</v>
      </c>
      <c r="Q1113" t="s">
        <v>940</v>
      </c>
      <c r="R1113">
        <v>8</v>
      </c>
      <c r="S1113">
        <v>57</v>
      </c>
      <c r="T1113">
        <v>90</v>
      </c>
      <c r="U1113">
        <v>95</v>
      </c>
      <c r="V1113">
        <v>136</v>
      </c>
      <c r="W1113">
        <v>103</v>
      </c>
      <c r="X1113">
        <v>29</v>
      </c>
      <c r="Y1113">
        <f t="shared" si="510"/>
        <v>164</v>
      </c>
      <c r="Z1113">
        <f t="shared" si="511"/>
        <v>164</v>
      </c>
      <c r="AA1113">
        <f t="shared" si="512"/>
        <v>132</v>
      </c>
      <c r="AB1113">
        <f t="shared" si="513"/>
        <v>132</v>
      </c>
      <c r="AC1113">
        <f t="shared" si="514"/>
        <v>117</v>
      </c>
      <c r="AD1113">
        <f t="shared" si="515"/>
        <v>156</v>
      </c>
      <c r="AE1113">
        <f t="shared" si="516"/>
        <v>142</v>
      </c>
      <c r="AF1113">
        <f t="shared" si="517"/>
        <v>110</v>
      </c>
      <c r="AG1113">
        <f t="shared" si="518"/>
        <v>99</v>
      </c>
      <c r="AH1113">
        <f t="shared" si="519"/>
        <v>85</v>
      </c>
      <c r="AI1113">
        <f t="shared" si="520"/>
        <v>161</v>
      </c>
      <c r="AJ1113">
        <f t="shared" si="521"/>
        <v>147</v>
      </c>
      <c r="AK1113">
        <f t="shared" si="522"/>
        <v>115</v>
      </c>
      <c r="AL1113">
        <f t="shared" si="523"/>
        <v>103</v>
      </c>
      <c r="AM1113">
        <f t="shared" si="524"/>
        <v>90</v>
      </c>
      <c r="AN1113">
        <f t="shared" si="525"/>
        <v>206</v>
      </c>
      <c r="AO1113">
        <f t="shared" si="526"/>
        <v>188</v>
      </c>
      <c r="AP1113">
        <f t="shared" si="527"/>
        <v>156</v>
      </c>
      <c r="AQ1113">
        <f t="shared" si="528"/>
        <v>140</v>
      </c>
      <c r="AR1113">
        <f t="shared" si="529"/>
        <v>126</v>
      </c>
      <c r="AS1113">
        <f t="shared" si="530"/>
        <v>170</v>
      </c>
      <c r="AT1113">
        <f t="shared" si="531"/>
        <v>155</v>
      </c>
      <c r="AU1113">
        <f t="shared" si="532"/>
        <v>123</v>
      </c>
      <c r="AV1113">
        <f t="shared" si="533"/>
        <v>110</v>
      </c>
      <c r="AW1113">
        <f t="shared" si="534"/>
        <v>97</v>
      </c>
      <c r="AX1113">
        <f t="shared" si="535"/>
        <v>89</v>
      </c>
      <c r="AY1113">
        <f t="shared" si="536"/>
        <v>81</v>
      </c>
      <c r="AZ1113">
        <f t="shared" si="537"/>
        <v>49</v>
      </c>
      <c r="BA1113">
        <f t="shared" si="538"/>
        <v>44</v>
      </c>
      <c r="BB1113">
        <f t="shared" si="539"/>
        <v>30</v>
      </c>
    </row>
    <row r="1114" spans="1:54" x14ac:dyDescent="0.15">
      <c r="A1114">
        <v>758</v>
      </c>
      <c r="B1114" t="s">
        <v>3883</v>
      </c>
      <c r="C1114">
        <v>859</v>
      </c>
      <c r="D1114">
        <v>0</v>
      </c>
      <c r="E1114" t="s">
        <v>3884</v>
      </c>
      <c r="G1114" t="s">
        <v>3884</v>
      </c>
      <c r="H1114" t="s">
        <v>3885</v>
      </c>
      <c r="J1114" t="s">
        <v>1334</v>
      </c>
      <c r="K1114">
        <v>5.5</v>
      </c>
      <c r="L1114">
        <v>0.4</v>
      </c>
      <c r="M1114" t="s">
        <v>140</v>
      </c>
      <c r="N1114" t="s">
        <v>233</v>
      </c>
      <c r="O1114" t="s">
        <v>1027</v>
      </c>
      <c r="P1114" t="s">
        <v>264</v>
      </c>
      <c r="Q1114" t="s">
        <v>1105</v>
      </c>
      <c r="R1114">
        <v>9</v>
      </c>
      <c r="S1114">
        <v>45</v>
      </c>
      <c r="T1114">
        <v>45</v>
      </c>
      <c r="U1114">
        <v>30</v>
      </c>
      <c r="V1114">
        <v>55</v>
      </c>
      <c r="W1114">
        <v>40</v>
      </c>
      <c r="X1114">
        <v>50</v>
      </c>
      <c r="Y1114">
        <f t="shared" si="510"/>
        <v>152</v>
      </c>
      <c r="Z1114">
        <f t="shared" si="511"/>
        <v>152</v>
      </c>
      <c r="AA1114">
        <f t="shared" si="512"/>
        <v>120</v>
      </c>
      <c r="AB1114">
        <f t="shared" si="513"/>
        <v>120</v>
      </c>
      <c r="AC1114">
        <f t="shared" si="514"/>
        <v>105</v>
      </c>
      <c r="AD1114">
        <f t="shared" si="515"/>
        <v>106</v>
      </c>
      <c r="AE1114">
        <f t="shared" si="516"/>
        <v>97</v>
      </c>
      <c r="AF1114">
        <f t="shared" si="517"/>
        <v>65</v>
      </c>
      <c r="AG1114">
        <f t="shared" si="518"/>
        <v>58</v>
      </c>
      <c r="AH1114">
        <f t="shared" si="519"/>
        <v>45</v>
      </c>
      <c r="AI1114">
        <f t="shared" si="520"/>
        <v>90</v>
      </c>
      <c r="AJ1114">
        <f t="shared" si="521"/>
        <v>82</v>
      </c>
      <c r="AK1114">
        <f t="shared" si="522"/>
        <v>50</v>
      </c>
      <c r="AL1114">
        <f t="shared" si="523"/>
        <v>45</v>
      </c>
      <c r="AM1114">
        <f t="shared" si="524"/>
        <v>31</v>
      </c>
      <c r="AN1114">
        <f t="shared" si="525"/>
        <v>117</v>
      </c>
      <c r="AO1114">
        <f t="shared" si="526"/>
        <v>107</v>
      </c>
      <c r="AP1114">
        <f t="shared" si="527"/>
        <v>75</v>
      </c>
      <c r="AQ1114">
        <f t="shared" si="528"/>
        <v>67</v>
      </c>
      <c r="AR1114">
        <f t="shared" si="529"/>
        <v>54</v>
      </c>
      <c r="AS1114">
        <f t="shared" si="530"/>
        <v>101</v>
      </c>
      <c r="AT1114">
        <f t="shared" si="531"/>
        <v>92</v>
      </c>
      <c r="AU1114">
        <f t="shared" si="532"/>
        <v>60</v>
      </c>
      <c r="AV1114">
        <f t="shared" si="533"/>
        <v>54</v>
      </c>
      <c r="AW1114">
        <f t="shared" si="534"/>
        <v>40</v>
      </c>
      <c r="AX1114">
        <f t="shared" si="535"/>
        <v>112</v>
      </c>
      <c r="AY1114">
        <f t="shared" si="536"/>
        <v>102</v>
      </c>
      <c r="AZ1114">
        <f t="shared" si="537"/>
        <v>70</v>
      </c>
      <c r="BA1114">
        <f t="shared" si="538"/>
        <v>63</v>
      </c>
      <c r="BB1114">
        <f t="shared" si="539"/>
        <v>49</v>
      </c>
    </row>
    <row r="1115" spans="1:54" x14ac:dyDescent="0.15">
      <c r="A1115">
        <v>759</v>
      </c>
      <c r="B1115" t="s">
        <v>3886</v>
      </c>
      <c r="C1115">
        <v>860</v>
      </c>
      <c r="D1115">
        <v>0</v>
      </c>
      <c r="E1115" t="s">
        <v>3887</v>
      </c>
      <c r="G1115" t="s">
        <v>3887</v>
      </c>
      <c r="H1115" t="s">
        <v>3888</v>
      </c>
      <c r="J1115" t="s">
        <v>2350</v>
      </c>
      <c r="K1115">
        <v>12.5</v>
      </c>
      <c r="L1115">
        <v>0.8</v>
      </c>
      <c r="M1115" t="s">
        <v>140</v>
      </c>
      <c r="N1115" t="s">
        <v>233</v>
      </c>
      <c r="O1115" t="s">
        <v>1027</v>
      </c>
      <c r="P1115" t="s">
        <v>264</v>
      </c>
      <c r="Q1115" t="s">
        <v>1105</v>
      </c>
      <c r="R1115">
        <v>9</v>
      </c>
      <c r="S1115">
        <v>65</v>
      </c>
      <c r="T1115">
        <v>60</v>
      </c>
      <c r="U1115">
        <v>45</v>
      </c>
      <c r="V1115">
        <v>75</v>
      </c>
      <c r="W1115">
        <v>55</v>
      </c>
      <c r="X1115">
        <v>70</v>
      </c>
      <c r="Y1115">
        <f t="shared" si="510"/>
        <v>172</v>
      </c>
      <c r="Z1115">
        <f t="shared" si="511"/>
        <v>172</v>
      </c>
      <c r="AA1115">
        <f t="shared" si="512"/>
        <v>140</v>
      </c>
      <c r="AB1115">
        <f t="shared" si="513"/>
        <v>140</v>
      </c>
      <c r="AC1115">
        <f t="shared" si="514"/>
        <v>125</v>
      </c>
      <c r="AD1115">
        <f t="shared" si="515"/>
        <v>123</v>
      </c>
      <c r="AE1115">
        <f t="shared" si="516"/>
        <v>112</v>
      </c>
      <c r="AF1115">
        <f t="shared" si="517"/>
        <v>80</v>
      </c>
      <c r="AG1115">
        <f t="shared" si="518"/>
        <v>72</v>
      </c>
      <c r="AH1115">
        <f t="shared" si="519"/>
        <v>58</v>
      </c>
      <c r="AI1115">
        <f t="shared" si="520"/>
        <v>106</v>
      </c>
      <c r="AJ1115">
        <f t="shared" si="521"/>
        <v>97</v>
      </c>
      <c r="AK1115">
        <f t="shared" si="522"/>
        <v>65</v>
      </c>
      <c r="AL1115">
        <f t="shared" si="523"/>
        <v>58</v>
      </c>
      <c r="AM1115">
        <f t="shared" si="524"/>
        <v>45</v>
      </c>
      <c r="AN1115">
        <f t="shared" si="525"/>
        <v>139</v>
      </c>
      <c r="AO1115">
        <f t="shared" si="526"/>
        <v>127</v>
      </c>
      <c r="AP1115">
        <f t="shared" si="527"/>
        <v>95</v>
      </c>
      <c r="AQ1115">
        <f t="shared" si="528"/>
        <v>85</v>
      </c>
      <c r="AR1115">
        <f t="shared" si="529"/>
        <v>72</v>
      </c>
      <c r="AS1115">
        <f t="shared" si="530"/>
        <v>117</v>
      </c>
      <c r="AT1115">
        <f t="shared" si="531"/>
        <v>107</v>
      </c>
      <c r="AU1115">
        <f t="shared" si="532"/>
        <v>75</v>
      </c>
      <c r="AV1115">
        <f t="shared" si="533"/>
        <v>67</v>
      </c>
      <c r="AW1115">
        <f t="shared" si="534"/>
        <v>54</v>
      </c>
      <c r="AX1115">
        <f t="shared" si="535"/>
        <v>134</v>
      </c>
      <c r="AY1115">
        <f t="shared" si="536"/>
        <v>122</v>
      </c>
      <c r="AZ1115">
        <f t="shared" si="537"/>
        <v>90</v>
      </c>
      <c r="BA1115">
        <f t="shared" si="538"/>
        <v>81</v>
      </c>
      <c r="BB1115">
        <f t="shared" si="539"/>
        <v>67</v>
      </c>
    </row>
    <row r="1116" spans="1:54" x14ac:dyDescent="0.15">
      <c r="A1116">
        <v>760</v>
      </c>
      <c r="B1116" t="s">
        <v>3889</v>
      </c>
      <c r="C1116">
        <v>861</v>
      </c>
      <c r="D1116">
        <v>0</v>
      </c>
      <c r="E1116" t="s">
        <v>3890</v>
      </c>
      <c r="G1116" t="s">
        <v>3890</v>
      </c>
      <c r="H1116" t="s">
        <v>3891</v>
      </c>
      <c r="J1116" t="s">
        <v>3892</v>
      </c>
      <c r="K1116">
        <v>61</v>
      </c>
      <c r="L1116">
        <v>1.5</v>
      </c>
      <c r="M1116" t="s">
        <v>140</v>
      </c>
      <c r="N1116" t="s">
        <v>233</v>
      </c>
      <c r="O1116" t="s">
        <v>1027</v>
      </c>
      <c r="P1116" t="s">
        <v>264</v>
      </c>
      <c r="Q1116" t="s">
        <v>1105</v>
      </c>
      <c r="R1116">
        <v>9</v>
      </c>
      <c r="S1116">
        <v>95</v>
      </c>
      <c r="T1116">
        <v>120</v>
      </c>
      <c r="U1116">
        <v>65</v>
      </c>
      <c r="V1116">
        <v>95</v>
      </c>
      <c r="W1116">
        <v>75</v>
      </c>
      <c r="X1116">
        <v>60</v>
      </c>
      <c r="Y1116">
        <f t="shared" si="510"/>
        <v>202</v>
      </c>
      <c r="Z1116">
        <f t="shared" si="511"/>
        <v>202</v>
      </c>
      <c r="AA1116">
        <f t="shared" si="512"/>
        <v>170</v>
      </c>
      <c r="AB1116">
        <f t="shared" si="513"/>
        <v>170</v>
      </c>
      <c r="AC1116">
        <f t="shared" si="514"/>
        <v>155</v>
      </c>
      <c r="AD1116">
        <f t="shared" si="515"/>
        <v>189</v>
      </c>
      <c r="AE1116">
        <f t="shared" si="516"/>
        <v>172</v>
      </c>
      <c r="AF1116">
        <f t="shared" si="517"/>
        <v>140</v>
      </c>
      <c r="AG1116">
        <f t="shared" si="518"/>
        <v>126</v>
      </c>
      <c r="AH1116">
        <f t="shared" si="519"/>
        <v>112</v>
      </c>
      <c r="AI1116">
        <f t="shared" si="520"/>
        <v>128</v>
      </c>
      <c r="AJ1116">
        <f t="shared" si="521"/>
        <v>117</v>
      </c>
      <c r="AK1116">
        <f t="shared" si="522"/>
        <v>85</v>
      </c>
      <c r="AL1116">
        <f t="shared" si="523"/>
        <v>76</v>
      </c>
      <c r="AM1116">
        <f t="shared" si="524"/>
        <v>63</v>
      </c>
      <c r="AN1116">
        <f t="shared" si="525"/>
        <v>161</v>
      </c>
      <c r="AO1116">
        <f t="shared" si="526"/>
        <v>147</v>
      </c>
      <c r="AP1116">
        <f t="shared" si="527"/>
        <v>115</v>
      </c>
      <c r="AQ1116">
        <f t="shared" si="528"/>
        <v>103</v>
      </c>
      <c r="AR1116">
        <f t="shared" si="529"/>
        <v>90</v>
      </c>
      <c r="AS1116">
        <f t="shared" si="530"/>
        <v>139</v>
      </c>
      <c r="AT1116">
        <f t="shared" si="531"/>
        <v>127</v>
      </c>
      <c r="AU1116">
        <f t="shared" si="532"/>
        <v>95</v>
      </c>
      <c r="AV1116">
        <f t="shared" si="533"/>
        <v>85</v>
      </c>
      <c r="AW1116">
        <f t="shared" si="534"/>
        <v>72</v>
      </c>
      <c r="AX1116">
        <f t="shared" si="535"/>
        <v>123</v>
      </c>
      <c r="AY1116">
        <f t="shared" si="536"/>
        <v>112</v>
      </c>
      <c r="AZ1116">
        <f t="shared" si="537"/>
        <v>80</v>
      </c>
      <c r="BA1116">
        <f t="shared" si="538"/>
        <v>72</v>
      </c>
      <c r="BB1116">
        <f t="shared" si="539"/>
        <v>58</v>
      </c>
    </row>
    <row r="1117" spans="1:54" x14ac:dyDescent="0.15">
      <c r="B1117" t="s">
        <v>3893</v>
      </c>
      <c r="C1117">
        <v>861</v>
      </c>
      <c r="D1117">
        <v>999</v>
      </c>
      <c r="E1117" t="s">
        <v>3890</v>
      </c>
      <c r="F1117" t="s">
        <v>40</v>
      </c>
      <c r="G1117" t="s">
        <v>3894</v>
      </c>
      <c r="J1117" t="s">
        <v>42</v>
      </c>
      <c r="K1117">
        <v>9999.9</v>
      </c>
      <c r="L1117">
        <v>32</v>
      </c>
      <c r="M1117" t="s">
        <v>140</v>
      </c>
      <c r="N1117" t="s">
        <v>233</v>
      </c>
      <c r="O1117" t="s">
        <v>1027</v>
      </c>
      <c r="P1117" t="s">
        <v>264</v>
      </c>
      <c r="Q1117" t="s">
        <v>1105</v>
      </c>
      <c r="R1117">
        <v>8</v>
      </c>
      <c r="S1117">
        <v>95</v>
      </c>
      <c r="T1117">
        <v>120</v>
      </c>
      <c r="U1117">
        <v>65</v>
      </c>
      <c r="V1117">
        <v>95</v>
      </c>
      <c r="W1117">
        <v>75</v>
      </c>
      <c r="X1117">
        <v>60</v>
      </c>
      <c r="Y1117">
        <f t="shared" si="510"/>
        <v>202</v>
      </c>
      <c r="Z1117">
        <f t="shared" si="511"/>
        <v>202</v>
      </c>
      <c r="AA1117">
        <f t="shared" si="512"/>
        <v>170</v>
      </c>
      <c r="AB1117">
        <f t="shared" si="513"/>
        <v>170</v>
      </c>
      <c r="AC1117">
        <f t="shared" si="514"/>
        <v>155</v>
      </c>
      <c r="AD1117">
        <f t="shared" si="515"/>
        <v>189</v>
      </c>
      <c r="AE1117">
        <f t="shared" si="516"/>
        <v>172</v>
      </c>
      <c r="AF1117">
        <f t="shared" si="517"/>
        <v>140</v>
      </c>
      <c r="AG1117">
        <f t="shared" si="518"/>
        <v>126</v>
      </c>
      <c r="AH1117">
        <f t="shared" si="519"/>
        <v>112</v>
      </c>
      <c r="AI1117">
        <f t="shared" si="520"/>
        <v>128</v>
      </c>
      <c r="AJ1117">
        <f t="shared" si="521"/>
        <v>117</v>
      </c>
      <c r="AK1117">
        <f t="shared" si="522"/>
        <v>85</v>
      </c>
      <c r="AL1117">
        <f t="shared" si="523"/>
        <v>76</v>
      </c>
      <c r="AM1117">
        <f t="shared" si="524"/>
        <v>63</v>
      </c>
      <c r="AN1117">
        <f t="shared" si="525"/>
        <v>161</v>
      </c>
      <c r="AO1117">
        <f t="shared" si="526"/>
        <v>147</v>
      </c>
      <c r="AP1117">
        <f t="shared" si="527"/>
        <v>115</v>
      </c>
      <c r="AQ1117">
        <f t="shared" si="528"/>
        <v>103</v>
      </c>
      <c r="AR1117">
        <f t="shared" si="529"/>
        <v>90</v>
      </c>
      <c r="AS1117">
        <f t="shared" si="530"/>
        <v>139</v>
      </c>
      <c r="AT1117">
        <f t="shared" si="531"/>
        <v>127</v>
      </c>
      <c r="AU1117">
        <f t="shared" si="532"/>
        <v>95</v>
      </c>
      <c r="AV1117">
        <f t="shared" si="533"/>
        <v>85</v>
      </c>
      <c r="AW1117">
        <f t="shared" si="534"/>
        <v>72</v>
      </c>
      <c r="AX1117">
        <f t="shared" si="535"/>
        <v>123</v>
      </c>
      <c r="AY1117">
        <f t="shared" si="536"/>
        <v>112</v>
      </c>
      <c r="AZ1117">
        <f t="shared" si="537"/>
        <v>80</v>
      </c>
      <c r="BA1117">
        <f t="shared" si="538"/>
        <v>72</v>
      </c>
      <c r="BB1117">
        <f t="shared" si="539"/>
        <v>58</v>
      </c>
    </row>
    <row r="1118" spans="1:54" x14ac:dyDescent="0.15">
      <c r="B1118" t="s">
        <v>3895</v>
      </c>
      <c r="C1118">
        <v>862</v>
      </c>
      <c r="D1118">
        <v>0</v>
      </c>
      <c r="E1118" t="s">
        <v>3896</v>
      </c>
      <c r="G1118" t="s">
        <v>3896</v>
      </c>
      <c r="J1118" t="s">
        <v>3897</v>
      </c>
      <c r="K1118">
        <v>46</v>
      </c>
      <c r="L1118">
        <v>1.6</v>
      </c>
      <c r="M1118" t="s">
        <v>140</v>
      </c>
      <c r="N1118" t="s">
        <v>120</v>
      </c>
      <c r="O1118" t="s">
        <v>623</v>
      </c>
      <c r="P1118" t="s">
        <v>135</v>
      </c>
      <c r="Q1118" t="s">
        <v>357</v>
      </c>
      <c r="R1118">
        <v>8</v>
      </c>
      <c r="S1118">
        <v>93</v>
      </c>
      <c r="T1118">
        <v>90</v>
      </c>
      <c r="U1118">
        <v>101</v>
      </c>
      <c r="V1118">
        <v>60</v>
      </c>
      <c r="W1118">
        <v>81</v>
      </c>
      <c r="X1118">
        <v>95</v>
      </c>
      <c r="Y1118">
        <f t="shared" si="510"/>
        <v>200</v>
      </c>
      <c r="Z1118">
        <f t="shared" si="511"/>
        <v>200</v>
      </c>
      <c r="AA1118">
        <f t="shared" si="512"/>
        <v>168</v>
      </c>
      <c r="AB1118">
        <f t="shared" si="513"/>
        <v>168</v>
      </c>
      <c r="AC1118">
        <f t="shared" si="514"/>
        <v>153</v>
      </c>
      <c r="AD1118">
        <f t="shared" si="515"/>
        <v>156</v>
      </c>
      <c r="AE1118">
        <f t="shared" si="516"/>
        <v>142</v>
      </c>
      <c r="AF1118">
        <f t="shared" si="517"/>
        <v>110</v>
      </c>
      <c r="AG1118">
        <f t="shared" si="518"/>
        <v>99</v>
      </c>
      <c r="AH1118">
        <f t="shared" si="519"/>
        <v>85</v>
      </c>
      <c r="AI1118">
        <f t="shared" si="520"/>
        <v>168</v>
      </c>
      <c r="AJ1118">
        <f t="shared" si="521"/>
        <v>153</v>
      </c>
      <c r="AK1118">
        <f t="shared" si="522"/>
        <v>121</v>
      </c>
      <c r="AL1118">
        <f t="shared" si="523"/>
        <v>108</v>
      </c>
      <c r="AM1118">
        <f t="shared" si="524"/>
        <v>95</v>
      </c>
      <c r="AN1118">
        <f t="shared" si="525"/>
        <v>123</v>
      </c>
      <c r="AO1118">
        <f t="shared" si="526"/>
        <v>112</v>
      </c>
      <c r="AP1118">
        <f t="shared" si="527"/>
        <v>80</v>
      </c>
      <c r="AQ1118">
        <f t="shared" si="528"/>
        <v>72</v>
      </c>
      <c r="AR1118">
        <f t="shared" si="529"/>
        <v>58</v>
      </c>
      <c r="AS1118">
        <f t="shared" si="530"/>
        <v>146</v>
      </c>
      <c r="AT1118">
        <f t="shared" si="531"/>
        <v>133</v>
      </c>
      <c r="AU1118">
        <f t="shared" si="532"/>
        <v>101</v>
      </c>
      <c r="AV1118">
        <f t="shared" si="533"/>
        <v>90</v>
      </c>
      <c r="AW1118">
        <f t="shared" si="534"/>
        <v>77</v>
      </c>
      <c r="AX1118">
        <f t="shared" si="535"/>
        <v>161</v>
      </c>
      <c r="AY1118">
        <f t="shared" si="536"/>
        <v>147</v>
      </c>
      <c r="AZ1118">
        <f t="shared" si="537"/>
        <v>115</v>
      </c>
      <c r="BA1118">
        <f t="shared" si="538"/>
        <v>103</v>
      </c>
      <c r="BB1118">
        <f t="shared" si="539"/>
        <v>90</v>
      </c>
    </row>
    <row r="1119" spans="1:54" x14ac:dyDescent="0.15">
      <c r="A1119">
        <v>745</v>
      </c>
      <c r="B1119" t="s">
        <v>3898</v>
      </c>
      <c r="C1119">
        <v>863</v>
      </c>
      <c r="D1119">
        <v>0</v>
      </c>
      <c r="E1119" t="s">
        <v>3899</v>
      </c>
      <c r="G1119" t="s">
        <v>3899</v>
      </c>
      <c r="H1119" t="s">
        <v>3900</v>
      </c>
      <c r="J1119" t="s">
        <v>3901</v>
      </c>
      <c r="K1119">
        <v>28</v>
      </c>
      <c r="L1119">
        <v>0.8</v>
      </c>
      <c r="M1119" t="s">
        <v>203</v>
      </c>
      <c r="O1119" t="s">
        <v>613</v>
      </c>
      <c r="P1119" t="s">
        <v>61</v>
      </c>
      <c r="Q1119" t="s">
        <v>3902</v>
      </c>
      <c r="R1119">
        <v>9</v>
      </c>
      <c r="S1119">
        <v>70</v>
      </c>
      <c r="T1119">
        <v>110</v>
      </c>
      <c r="U1119">
        <v>100</v>
      </c>
      <c r="V1119">
        <v>50</v>
      </c>
      <c r="W1119">
        <v>60</v>
      </c>
      <c r="X1119">
        <v>50</v>
      </c>
      <c r="Y1119">
        <f t="shared" si="510"/>
        <v>177</v>
      </c>
      <c r="Z1119">
        <f t="shared" si="511"/>
        <v>177</v>
      </c>
      <c r="AA1119">
        <f t="shared" si="512"/>
        <v>145</v>
      </c>
      <c r="AB1119">
        <f t="shared" si="513"/>
        <v>145</v>
      </c>
      <c r="AC1119">
        <f t="shared" si="514"/>
        <v>130</v>
      </c>
      <c r="AD1119">
        <f t="shared" si="515"/>
        <v>178</v>
      </c>
      <c r="AE1119">
        <f t="shared" si="516"/>
        <v>162</v>
      </c>
      <c r="AF1119">
        <f t="shared" si="517"/>
        <v>130</v>
      </c>
      <c r="AG1119">
        <f t="shared" si="518"/>
        <v>117</v>
      </c>
      <c r="AH1119">
        <f t="shared" si="519"/>
        <v>103</v>
      </c>
      <c r="AI1119">
        <f t="shared" si="520"/>
        <v>167</v>
      </c>
      <c r="AJ1119">
        <f t="shared" si="521"/>
        <v>152</v>
      </c>
      <c r="AK1119">
        <f t="shared" si="522"/>
        <v>120</v>
      </c>
      <c r="AL1119">
        <f t="shared" si="523"/>
        <v>108</v>
      </c>
      <c r="AM1119">
        <f t="shared" si="524"/>
        <v>94</v>
      </c>
      <c r="AN1119">
        <f t="shared" si="525"/>
        <v>112</v>
      </c>
      <c r="AO1119">
        <f t="shared" si="526"/>
        <v>102</v>
      </c>
      <c r="AP1119">
        <f t="shared" si="527"/>
        <v>70</v>
      </c>
      <c r="AQ1119">
        <f t="shared" si="528"/>
        <v>63</v>
      </c>
      <c r="AR1119">
        <f t="shared" si="529"/>
        <v>49</v>
      </c>
      <c r="AS1119">
        <f t="shared" si="530"/>
        <v>123</v>
      </c>
      <c r="AT1119">
        <f t="shared" si="531"/>
        <v>112</v>
      </c>
      <c r="AU1119">
        <f t="shared" si="532"/>
        <v>80</v>
      </c>
      <c r="AV1119">
        <f t="shared" si="533"/>
        <v>72</v>
      </c>
      <c r="AW1119">
        <f t="shared" si="534"/>
        <v>58</v>
      </c>
      <c r="AX1119">
        <f t="shared" si="535"/>
        <v>112</v>
      </c>
      <c r="AY1119">
        <f t="shared" si="536"/>
        <v>102</v>
      </c>
      <c r="AZ1119">
        <f t="shared" si="537"/>
        <v>70</v>
      </c>
      <c r="BA1119">
        <f t="shared" si="538"/>
        <v>63</v>
      </c>
      <c r="BB1119">
        <f t="shared" si="539"/>
        <v>49</v>
      </c>
    </row>
    <row r="1120" spans="1:54" x14ac:dyDescent="0.15">
      <c r="B1120" t="s">
        <v>3903</v>
      </c>
      <c r="C1120">
        <v>864</v>
      </c>
      <c r="D1120">
        <v>0</v>
      </c>
      <c r="E1120" t="s">
        <v>3904</v>
      </c>
      <c r="G1120" t="s">
        <v>3904</v>
      </c>
      <c r="J1120" t="s">
        <v>1136</v>
      </c>
      <c r="K1120">
        <v>0.4</v>
      </c>
      <c r="L1120">
        <v>1</v>
      </c>
      <c r="M1120" t="s">
        <v>546</v>
      </c>
      <c r="O1120" t="s">
        <v>563</v>
      </c>
      <c r="P1120" t="s">
        <v>3905</v>
      </c>
      <c r="R1120">
        <v>8</v>
      </c>
      <c r="S1120">
        <v>60</v>
      </c>
      <c r="T1120">
        <v>95</v>
      </c>
      <c r="U1120">
        <v>50</v>
      </c>
      <c r="V1120">
        <v>145</v>
      </c>
      <c r="W1120">
        <v>130</v>
      </c>
      <c r="X1120">
        <v>30</v>
      </c>
      <c r="Y1120">
        <f t="shared" si="510"/>
        <v>167</v>
      </c>
      <c r="Z1120">
        <f t="shared" si="511"/>
        <v>167</v>
      </c>
      <c r="AA1120">
        <f t="shared" si="512"/>
        <v>135</v>
      </c>
      <c r="AB1120">
        <f t="shared" si="513"/>
        <v>135</v>
      </c>
      <c r="AC1120">
        <f t="shared" si="514"/>
        <v>120</v>
      </c>
      <c r="AD1120">
        <f t="shared" si="515"/>
        <v>161</v>
      </c>
      <c r="AE1120">
        <f t="shared" si="516"/>
        <v>147</v>
      </c>
      <c r="AF1120">
        <f t="shared" si="517"/>
        <v>115</v>
      </c>
      <c r="AG1120">
        <f t="shared" si="518"/>
        <v>103</v>
      </c>
      <c r="AH1120">
        <f t="shared" si="519"/>
        <v>90</v>
      </c>
      <c r="AI1120">
        <f t="shared" si="520"/>
        <v>112</v>
      </c>
      <c r="AJ1120">
        <f t="shared" si="521"/>
        <v>102</v>
      </c>
      <c r="AK1120">
        <f t="shared" si="522"/>
        <v>70</v>
      </c>
      <c r="AL1120">
        <f t="shared" si="523"/>
        <v>63</v>
      </c>
      <c r="AM1120">
        <f t="shared" si="524"/>
        <v>49</v>
      </c>
      <c r="AN1120">
        <f t="shared" si="525"/>
        <v>216</v>
      </c>
      <c r="AO1120">
        <f t="shared" si="526"/>
        <v>197</v>
      </c>
      <c r="AP1120">
        <f t="shared" si="527"/>
        <v>165</v>
      </c>
      <c r="AQ1120">
        <f t="shared" si="528"/>
        <v>148</v>
      </c>
      <c r="AR1120">
        <f t="shared" si="529"/>
        <v>135</v>
      </c>
      <c r="AS1120">
        <f t="shared" si="530"/>
        <v>200</v>
      </c>
      <c r="AT1120">
        <f t="shared" si="531"/>
        <v>182</v>
      </c>
      <c r="AU1120">
        <f t="shared" si="532"/>
        <v>150</v>
      </c>
      <c r="AV1120">
        <f t="shared" si="533"/>
        <v>135</v>
      </c>
      <c r="AW1120">
        <f t="shared" si="534"/>
        <v>121</v>
      </c>
      <c r="AX1120">
        <f t="shared" si="535"/>
        <v>90</v>
      </c>
      <c r="AY1120">
        <f t="shared" si="536"/>
        <v>82</v>
      </c>
      <c r="AZ1120">
        <f t="shared" si="537"/>
        <v>50</v>
      </c>
      <c r="BA1120">
        <f t="shared" si="538"/>
        <v>45</v>
      </c>
      <c r="BB1120">
        <f t="shared" si="539"/>
        <v>31</v>
      </c>
    </row>
    <row r="1121" spans="1:54" x14ac:dyDescent="0.15">
      <c r="B1121" t="s">
        <v>3906</v>
      </c>
      <c r="C1121">
        <v>865</v>
      </c>
      <c r="D1121">
        <v>0</v>
      </c>
      <c r="E1121" t="s">
        <v>3907</v>
      </c>
      <c r="G1121" t="s">
        <v>3907</v>
      </c>
      <c r="J1121" t="s">
        <v>496</v>
      </c>
      <c r="K1121">
        <v>117</v>
      </c>
      <c r="L1121">
        <v>0.8</v>
      </c>
      <c r="M1121" t="s">
        <v>354</v>
      </c>
      <c r="O1121" t="s">
        <v>404</v>
      </c>
      <c r="P1121" t="s">
        <v>499</v>
      </c>
      <c r="R1121">
        <v>8</v>
      </c>
      <c r="S1121">
        <v>62</v>
      </c>
      <c r="T1121">
        <v>135</v>
      </c>
      <c r="U1121">
        <v>95</v>
      </c>
      <c r="V1121">
        <v>68</v>
      </c>
      <c r="W1121">
        <v>82</v>
      </c>
      <c r="X1121">
        <v>65</v>
      </c>
      <c r="Y1121">
        <f t="shared" si="510"/>
        <v>169</v>
      </c>
      <c r="Z1121">
        <f t="shared" si="511"/>
        <v>169</v>
      </c>
      <c r="AA1121">
        <f t="shared" si="512"/>
        <v>137</v>
      </c>
      <c r="AB1121">
        <f t="shared" si="513"/>
        <v>137</v>
      </c>
      <c r="AC1121">
        <f t="shared" si="514"/>
        <v>122</v>
      </c>
      <c r="AD1121">
        <f t="shared" si="515"/>
        <v>205</v>
      </c>
      <c r="AE1121">
        <f t="shared" si="516"/>
        <v>187</v>
      </c>
      <c r="AF1121">
        <f t="shared" si="517"/>
        <v>155</v>
      </c>
      <c r="AG1121">
        <f t="shared" si="518"/>
        <v>139</v>
      </c>
      <c r="AH1121">
        <f t="shared" si="519"/>
        <v>126</v>
      </c>
      <c r="AI1121">
        <f t="shared" si="520"/>
        <v>161</v>
      </c>
      <c r="AJ1121">
        <f t="shared" si="521"/>
        <v>147</v>
      </c>
      <c r="AK1121">
        <f t="shared" si="522"/>
        <v>115</v>
      </c>
      <c r="AL1121">
        <f t="shared" si="523"/>
        <v>103</v>
      </c>
      <c r="AM1121">
        <f t="shared" si="524"/>
        <v>90</v>
      </c>
      <c r="AN1121">
        <f t="shared" si="525"/>
        <v>132</v>
      </c>
      <c r="AO1121">
        <f t="shared" si="526"/>
        <v>120</v>
      </c>
      <c r="AP1121">
        <f t="shared" si="527"/>
        <v>88</v>
      </c>
      <c r="AQ1121">
        <f t="shared" si="528"/>
        <v>79</v>
      </c>
      <c r="AR1121">
        <f t="shared" si="529"/>
        <v>65</v>
      </c>
      <c r="AS1121">
        <f t="shared" si="530"/>
        <v>147</v>
      </c>
      <c r="AT1121">
        <f t="shared" si="531"/>
        <v>134</v>
      </c>
      <c r="AU1121">
        <f t="shared" si="532"/>
        <v>102</v>
      </c>
      <c r="AV1121">
        <f t="shared" si="533"/>
        <v>91</v>
      </c>
      <c r="AW1121">
        <f t="shared" si="534"/>
        <v>78</v>
      </c>
      <c r="AX1121">
        <f t="shared" si="535"/>
        <v>128</v>
      </c>
      <c r="AY1121">
        <f t="shared" si="536"/>
        <v>117</v>
      </c>
      <c r="AZ1121">
        <f t="shared" si="537"/>
        <v>85</v>
      </c>
      <c r="BA1121">
        <f t="shared" si="538"/>
        <v>76</v>
      </c>
      <c r="BB1121">
        <f t="shared" si="539"/>
        <v>63</v>
      </c>
    </row>
    <row r="1122" spans="1:54" x14ac:dyDescent="0.15">
      <c r="B1122" t="s">
        <v>3908</v>
      </c>
      <c r="C1122">
        <v>866</v>
      </c>
      <c r="D1122">
        <v>0</v>
      </c>
      <c r="E1122" t="s">
        <v>3909</v>
      </c>
      <c r="G1122" t="s">
        <v>3909</v>
      </c>
      <c r="J1122" t="s">
        <v>3910</v>
      </c>
      <c r="K1122">
        <v>58.2</v>
      </c>
      <c r="L1122">
        <v>1.5</v>
      </c>
      <c r="M1122" t="s">
        <v>202</v>
      </c>
      <c r="N1122" t="s">
        <v>191</v>
      </c>
      <c r="O1122" t="s">
        <v>122</v>
      </c>
      <c r="P1122" t="s">
        <v>694</v>
      </c>
      <c r="Q1122" t="s">
        <v>514</v>
      </c>
      <c r="R1122">
        <v>8</v>
      </c>
      <c r="S1122">
        <v>80</v>
      </c>
      <c r="T1122">
        <v>85</v>
      </c>
      <c r="U1122">
        <v>75</v>
      </c>
      <c r="V1122">
        <v>110</v>
      </c>
      <c r="W1122">
        <v>100</v>
      </c>
      <c r="X1122">
        <v>70</v>
      </c>
      <c r="Y1122">
        <f t="shared" si="510"/>
        <v>187</v>
      </c>
      <c r="Z1122">
        <f t="shared" si="511"/>
        <v>187</v>
      </c>
      <c r="AA1122">
        <f t="shared" si="512"/>
        <v>155</v>
      </c>
      <c r="AB1122">
        <f t="shared" si="513"/>
        <v>155</v>
      </c>
      <c r="AC1122">
        <f t="shared" si="514"/>
        <v>140</v>
      </c>
      <c r="AD1122">
        <f t="shared" si="515"/>
        <v>150</v>
      </c>
      <c r="AE1122">
        <f t="shared" si="516"/>
        <v>137</v>
      </c>
      <c r="AF1122">
        <f t="shared" si="517"/>
        <v>105</v>
      </c>
      <c r="AG1122">
        <f t="shared" si="518"/>
        <v>94</v>
      </c>
      <c r="AH1122">
        <f t="shared" si="519"/>
        <v>81</v>
      </c>
      <c r="AI1122">
        <f t="shared" si="520"/>
        <v>139</v>
      </c>
      <c r="AJ1122">
        <f t="shared" si="521"/>
        <v>127</v>
      </c>
      <c r="AK1122">
        <f t="shared" si="522"/>
        <v>95</v>
      </c>
      <c r="AL1122">
        <f t="shared" si="523"/>
        <v>85</v>
      </c>
      <c r="AM1122">
        <f t="shared" si="524"/>
        <v>72</v>
      </c>
      <c r="AN1122">
        <f t="shared" si="525"/>
        <v>178</v>
      </c>
      <c r="AO1122">
        <f t="shared" si="526"/>
        <v>162</v>
      </c>
      <c r="AP1122">
        <f t="shared" si="527"/>
        <v>130</v>
      </c>
      <c r="AQ1122">
        <f t="shared" si="528"/>
        <v>117</v>
      </c>
      <c r="AR1122">
        <f t="shared" si="529"/>
        <v>103</v>
      </c>
      <c r="AS1122">
        <f t="shared" si="530"/>
        <v>167</v>
      </c>
      <c r="AT1122">
        <f t="shared" si="531"/>
        <v>152</v>
      </c>
      <c r="AU1122">
        <f t="shared" si="532"/>
        <v>120</v>
      </c>
      <c r="AV1122">
        <f t="shared" si="533"/>
        <v>108</v>
      </c>
      <c r="AW1122">
        <f t="shared" si="534"/>
        <v>94</v>
      </c>
      <c r="AX1122">
        <f t="shared" si="535"/>
        <v>134</v>
      </c>
      <c r="AY1122">
        <f t="shared" si="536"/>
        <v>122</v>
      </c>
      <c r="AZ1122">
        <f t="shared" si="537"/>
        <v>90</v>
      </c>
      <c r="BA1122">
        <f t="shared" si="538"/>
        <v>81</v>
      </c>
      <c r="BB1122">
        <f t="shared" si="539"/>
        <v>67</v>
      </c>
    </row>
    <row r="1123" spans="1:54" x14ac:dyDescent="0.15">
      <c r="B1123" t="s">
        <v>3911</v>
      </c>
      <c r="C1123">
        <v>867</v>
      </c>
      <c r="D1123">
        <v>0</v>
      </c>
      <c r="E1123" t="s">
        <v>3912</v>
      </c>
      <c r="G1123" t="s">
        <v>3912</v>
      </c>
      <c r="J1123" t="s">
        <v>3913</v>
      </c>
      <c r="K1123">
        <v>66.599999999999994</v>
      </c>
      <c r="L1123">
        <v>1.6</v>
      </c>
      <c r="M1123" t="s">
        <v>196</v>
      </c>
      <c r="N1123" t="s">
        <v>546</v>
      </c>
      <c r="O1123" t="s">
        <v>2549</v>
      </c>
      <c r="R1123">
        <v>8</v>
      </c>
      <c r="S1123">
        <v>58</v>
      </c>
      <c r="T1123">
        <v>95</v>
      </c>
      <c r="U1123">
        <v>145</v>
      </c>
      <c r="V1123">
        <v>50</v>
      </c>
      <c r="W1123">
        <v>105</v>
      </c>
      <c r="X1123">
        <v>30</v>
      </c>
      <c r="Y1123">
        <f t="shared" si="510"/>
        <v>165</v>
      </c>
      <c r="Z1123">
        <f t="shared" si="511"/>
        <v>165</v>
      </c>
      <c r="AA1123">
        <f t="shared" si="512"/>
        <v>133</v>
      </c>
      <c r="AB1123">
        <f t="shared" si="513"/>
        <v>133</v>
      </c>
      <c r="AC1123">
        <f t="shared" si="514"/>
        <v>118</v>
      </c>
      <c r="AD1123">
        <f t="shared" si="515"/>
        <v>161</v>
      </c>
      <c r="AE1123">
        <f t="shared" si="516"/>
        <v>147</v>
      </c>
      <c r="AF1123">
        <f t="shared" si="517"/>
        <v>115</v>
      </c>
      <c r="AG1123">
        <f t="shared" si="518"/>
        <v>103</v>
      </c>
      <c r="AH1123">
        <f t="shared" si="519"/>
        <v>90</v>
      </c>
      <c r="AI1123">
        <f t="shared" si="520"/>
        <v>216</v>
      </c>
      <c r="AJ1123">
        <f t="shared" si="521"/>
        <v>197</v>
      </c>
      <c r="AK1123">
        <f t="shared" si="522"/>
        <v>165</v>
      </c>
      <c r="AL1123">
        <f t="shared" si="523"/>
        <v>148</v>
      </c>
      <c r="AM1123">
        <f t="shared" si="524"/>
        <v>135</v>
      </c>
      <c r="AN1123">
        <f t="shared" si="525"/>
        <v>112</v>
      </c>
      <c r="AO1123">
        <f t="shared" si="526"/>
        <v>102</v>
      </c>
      <c r="AP1123">
        <f t="shared" si="527"/>
        <v>70</v>
      </c>
      <c r="AQ1123">
        <f t="shared" si="528"/>
        <v>63</v>
      </c>
      <c r="AR1123">
        <f t="shared" si="529"/>
        <v>49</v>
      </c>
      <c r="AS1123">
        <f t="shared" si="530"/>
        <v>172</v>
      </c>
      <c r="AT1123">
        <f t="shared" si="531"/>
        <v>157</v>
      </c>
      <c r="AU1123">
        <f t="shared" si="532"/>
        <v>125</v>
      </c>
      <c r="AV1123">
        <f t="shared" si="533"/>
        <v>112</v>
      </c>
      <c r="AW1123">
        <f t="shared" si="534"/>
        <v>99</v>
      </c>
      <c r="AX1123">
        <f t="shared" si="535"/>
        <v>90</v>
      </c>
      <c r="AY1123">
        <f t="shared" si="536"/>
        <v>82</v>
      </c>
      <c r="AZ1123">
        <f t="shared" si="537"/>
        <v>50</v>
      </c>
      <c r="BA1123">
        <f t="shared" si="538"/>
        <v>45</v>
      </c>
      <c r="BB1123">
        <f t="shared" si="539"/>
        <v>31</v>
      </c>
    </row>
    <row r="1124" spans="1:54" x14ac:dyDescent="0.15">
      <c r="A1124">
        <v>718</v>
      </c>
      <c r="B1124" t="s">
        <v>3914</v>
      </c>
      <c r="C1124">
        <v>868</v>
      </c>
      <c r="D1124">
        <v>0</v>
      </c>
      <c r="E1124" t="s">
        <v>3915</v>
      </c>
      <c r="G1124" t="s">
        <v>3915</v>
      </c>
      <c r="H1124" t="s">
        <v>3916</v>
      </c>
      <c r="J1124" t="s">
        <v>3917</v>
      </c>
      <c r="K1124">
        <v>0.3</v>
      </c>
      <c r="L1124">
        <v>0.2</v>
      </c>
      <c r="M1124" t="s">
        <v>233</v>
      </c>
      <c r="O1124" t="s">
        <v>3107</v>
      </c>
      <c r="P1124" t="s">
        <v>3100</v>
      </c>
      <c r="R1124">
        <v>9</v>
      </c>
      <c r="S1124">
        <v>45</v>
      </c>
      <c r="T1124">
        <v>40</v>
      </c>
      <c r="U1124">
        <v>40</v>
      </c>
      <c r="V1124">
        <v>50</v>
      </c>
      <c r="W1124">
        <v>61</v>
      </c>
      <c r="X1124">
        <v>34</v>
      </c>
      <c r="Y1124">
        <f t="shared" si="510"/>
        <v>152</v>
      </c>
      <c r="Z1124">
        <f t="shared" si="511"/>
        <v>152</v>
      </c>
      <c r="AA1124">
        <f t="shared" si="512"/>
        <v>120</v>
      </c>
      <c r="AB1124">
        <f t="shared" si="513"/>
        <v>120</v>
      </c>
      <c r="AC1124">
        <f t="shared" si="514"/>
        <v>105</v>
      </c>
      <c r="AD1124">
        <f t="shared" si="515"/>
        <v>101</v>
      </c>
      <c r="AE1124">
        <f t="shared" si="516"/>
        <v>92</v>
      </c>
      <c r="AF1124">
        <f t="shared" si="517"/>
        <v>60</v>
      </c>
      <c r="AG1124">
        <f t="shared" si="518"/>
        <v>54</v>
      </c>
      <c r="AH1124">
        <f t="shared" si="519"/>
        <v>40</v>
      </c>
      <c r="AI1124">
        <f t="shared" si="520"/>
        <v>101</v>
      </c>
      <c r="AJ1124">
        <f t="shared" si="521"/>
        <v>92</v>
      </c>
      <c r="AK1124">
        <f t="shared" si="522"/>
        <v>60</v>
      </c>
      <c r="AL1124">
        <f t="shared" si="523"/>
        <v>54</v>
      </c>
      <c r="AM1124">
        <f t="shared" si="524"/>
        <v>40</v>
      </c>
      <c r="AN1124">
        <f t="shared" si="525"/>
        <v>112</v>
      </c>
      <c r="AO1124">
        <f t="shared" si="526"/>
        <v>102</v>
      </c>
      <c r="AP1124">
        <f t="shared" si="527"/>
        <v>70</v>
      </c>
      <c r="AQ1124">
        <f t="shared" si="528"/>
        <v>63</v>
      </c>
      <c r="AR1124">
        <f t="shared" si="529"/>
        <v>49</v>
      </c>
      <c r="AS1124">
        <f t="shared" si="530"/>
        <v>124</v>
      </c>
      <c r="AT1124">
        <f t="shared" si="531"/>
        <v>113</v>
      </c>
      <c r="AU1124">
        <f t="shared" si="532"/>
        <v>81</v>
      </c>
      <c r="AV1124">
        <f t="shared" si="533"/>
        <v>72</v>
      </c>
      <c r="AW1124">
        <f t="shared" si="534"/>
        <v>59</v>
      </c>
      <c r="AX1124">
        <f t="shared" si="535"/>
        <v>94</v>
      </c>
      <c r="AY1124">
        <f t="shared" si="536"/>
        <v>86</v>
      </c>
      <c r="AZ1124">
        <f t="shared" si="537"/>
        <v>54</v>
      </c>
      <c r="BA1124">
        <f t="shared" si="538"/>
        <v>48</v>
      </c>
      <c r="BB1124">
        <f t="shared" si="539"/>
        <v>35</v>
      </c>
    </row>
    <row r="1125" spans="1:54" x14ac:dyDescent="0.15">
      <c r="A1125">
        <v>719</v>
      </c>
      <c r="B1125" t="s">
        <v>3918</v>
      </c>
      <c r="C1125">
        <v>869</v>
      </c>
      <c r="D1125">
        <v>0</v>
      </c>
      <c r="E1125" t="s">
        <v>3919</v>
      </c>
      <c r="F1125" t="s">
        <v>3920</v>
      </c>
      <c r="G1125" t="s">
        <v>3919</v>
      </c>
      <c r="H1125" t="s">
        <v>3921</v>
      </c>
      <c r="J1125" t="s">
        <v>3917</v>
      </c>
      <c r="K1125">
        <v>0.5</v>
      </c>
      <c r="L1125">
        <v>0.3</v>
      </c>
      <c r="M1125" t="s">
        <v>233</v>
      </c>
      <c r="O1125" t="s">
        <v>3107</v>
      </c>
      <c r="P1125" t="s">
        <v>3100</v>
      </c>
      <c r="R1125">
        <v>9</v>
      </c>
      <c r="S1125">
        <v>65</v>
      </c>
      <c r="T1125">
        <v>60</v>
      </c>
      <c r="U1125">
        <v>75</v>
      </c>
      <c r="V1125">
        <v>110</v>
      </c>
      <c r="W1125">
        <v>121</v>
      </c>
      <c r="X1125">
        <v>64</v>
      </c>
      <c r="Y1125">
        <f t="shared" si="510"/>
        <v>172</v>
      </c>
      <c r="Z1125">
        <f t="shared" si="511"/>
        <v>172</v>
      </c>
      <c r="AA1125">
        <f t="shared" si="512"/>
        <v>140</v>
      </c>
      <c r="AB1125">
        <f t="shared" si="513"/>
        <v>140</v>
      </c>
      <c r="AC1125">
        <f t="shared" si="514"/>
        <v>125</v>
      </c>
      <c r="AD1125">
        <f t="shared" si="515"/>
        <v>123</v>
      </c>
      <c r="AE1125">
        <f t="shared" si="516"/>
        <v>112</v>
      </c>
      <c r="AF1125">
        <f t="shared" si="517"/>
        <v>80</v>
      </c>
      <c r="AG1125">
        <f t="shared" si="518"/>
        <v>72</v>
      </c>
      <c r="AH1125">
        <f t="shared" si="519"/>
        <v>58</v>
      </c>
      <c r="AI1125">
        <f t="shared" si="520"/>
        <v>139</v>
      </c>
      <c r="AJ1125">
        <f t="shared" si="521"/>
        <v>127</v>
      </c>
      <c r="AK1125">
        <f t="shared" si="522"/>
        <v>95</v>
      </c>
      <c r="AL1125">
        <f t="shared" si="523"/>
        <v>85</v>
      </c>
      <c r="AM1125">
        <f t="shared" si="524"/>
        <v>72</v>
      </c>
      <c r="AN1125">
        <f t="shared" si="525"/>
        <v>178</v>
      </c>
      <c r="AO1125">
        <f t="shared" si="526"/>
        <v>162</v>
      </c>
      <c r="AP1125">
        <f t="shared" si="527"/>
        <v>130</v>
      </c>
      <c r="AQ1125">
        <f t="shared" si="528"/>
        <v>117</v>
      </c>
      <c r="AR1125">
        <f t="shared" si="529"/>
        <v>103</v>
      </c>
      <c r="AS1125">
        <f t="shared" si="530"/>
        <v>190</v>
      </c>
      <c r="AT1125">
        <f t="shared" si="531"/>
        <v>173</v>
      </c>
      <c r="AU1125">
        <f t="shared" si="532"/>
        <v>141</v>
      </c>
      <c r="AV1125">
        <f t="shared" si="533"/>
        <v>126</v>
      </c>
      <c r="AW1125">
        <f t="shared" si="534"/>
        <v>113</v>
      </c>
      <c r="AX1125">
        <f t="shared" si="535"/>
        <v>127</v>
      </c>
      <c r="AY1125">
        <f t="shared" si="536"/>
        <v>116</v>
      </c>
      <c r="AZ1125">
        <f t="shared" si="537"/>
        <v>84</v>
      </c>
      <c r="BA1125">
        <f t="shared" si="538"/>
        <v>75</v>
      </c>
      <c r="BB1125">
        <f t="shared" si="539"/>
        <v>62</v>
      </c>
    </row>
    <row r="1126" spans="1:54" x14ac:dyDescent="0.15">
      <c r="A1126">
        <v>720</v>
      </c>
      <c r="B1126" t="s">
        <v>3918</v>
      </c>
      <c r="C1126">
        <v>869</v>
      </c>
      <c r="D1126">
        <v>0</v>
      </c>
      <c r="E1126" t="s">
        <v>3919</v>
      </c>
      <c r="F1126" t="s">
        <v>3922</v>
      </c>
      <c r="G1126" t="s">
        <v>3919</v>
      </c>
      <c r="H1126" t="s">
        <v>3923</v>
      </c>
      <c r="J1126" t="s">
        <v>3917</v>
      </c>
      <c r="K1126">
        <v>0.5</v>
      </c>
      <c r="L1126">
        <v>0.3</v>
      </c>
      <c r="M1126" t="s">
        <v>233</v>
      </c>
      <c r="O1126" t="s">
        <v>3107</v>
      </c>
      <c r="P1126" t="s">
        <v>3100</v>
      </c>
      <c r="R1126">
        <v>9</v>
      </c>
      <c r="S1126">
        <v>65</v>
      </c>
      <c r="T1126">
        <v>60</v>
      </c>
      <c r="U1126">
        <v>75</v>
      </c>
      <c r="V1126">
        <v>110</v>
      </c>
      <c r="W1126">
        <v>121</v>
      </c>
      <c r="X1126">
        <v>64</v>
      </c>
      <c r="Y1126">
        <f t="shared" si="510"/>
        <v>172</v>
      </c>
      <c r="Z1126">
        <f t="shared" si="511"/>
        <v>172</v>
      </c>
      <c r="AA1126">
        <f t="shared" si="512"/>
        <v>140</v>
      </c>
      <c r="AB1126">
        <f t="shared" si="513"/>
        <v>140</v>
      </c>
      <c r="AC1126">
        <f t="shared" si="514"/>
        <v>125</v>
      </c>
      <c r="AD1126">
        <f t="shared" si="515"/>
        <v>123</v>
      </c>
      <c r="AE1126">
        <f t="shared" si="516"/>
        <v>112</v>
      </c>
      <c r="AF1126">
        <f t="shared" si="517"/>
        <v>80</v>
      </c>
      <c r="AG1126">
        <f t="shared" si="518"/>
        <v>72</v>
      </c>
      <c r="AH1126">
        <f t="shared" si="519"/>
        <v>58</v>
      </c>
      <c r="AI1126">
        <f t="shared" si="520"/>
        <v>139</v>
      </c>
      <c r="AJ1126">
        <f t="shared" si="521"/>
        <v>127</v>
      </c>
      <c r="AK1126">
        <f t="shared" si="522"/>
        <v>95</v>
      </c>
      <c r="AL1126">
        <f t="shared" si="523"/>
        <v>85</v>
      </c>
      <c r="AM1126">
        <f t="shared" si="524"/>
        <v>72</v>
      </c>
      <c r="AN1126">
        <f t="shared" si="525"/>
        <v>178</v>
      </c>
      <c r="AO1126">
        <f t="shared" si="526"/>
        <v>162</v>
      </c>
      <c r="AP1126">
        <f t="shared" si="527"/>
        <v>130</v>
      </c>
      <c r="AQ1126">
        <f t="shared" si="528"/>
        <v>117</v>
      </c>
      <c r="AR1126">
        <f t="shared" si="529"/>
        <v>103</v>
      </c>
      <c r="AS1126">
        <f t="shared" si="530"/>
        <v>190</v>
      </c>
      <c r="AT1126">
        <f t="shared" si="531"/>
        <v>173</v>
      </c>
      <c r="AU1126">
        <f t="shared" si="532"/>
        <v>141</v>
      </c>
      <c r="AV1126">
        <f t="shared" si="533"/>
        <v>126</v>
      </c>
      <c r="AW1126">
        <f t="shared" si="534"/>
        <v>113</v>
      </c>
      <c r="AX1126">
        <f t="shared" si="535"/>
        <v>127</v>
      </c>
      <c r="AY1126">
        <f t="shared" si="536"/>
        <v>116</v>
      </c>
      <c r="AZ1126">
        <f t="shared" si="537"/>
        <v>84</v>
      </c>
      <c r="BA1126">
        <f t="shared" si="538"/>
        <v>75</v>
      </c>
      <c r="BB1126">
        <f t="shared" si="539"/>
        <v>62</v>
      </c>
    </row>
    <row r="1127" spans="1:54" x14ac:dyDescent="0.15">
      <c r="A1127">
        <v>721</v>
      </c>
      <c r="B1127" t="s">
        <v>3918</v>
      </c>
      <c r="C1127">
        <v>869</v>
      </c>
      <c r="D1127">
        <v>0</v>
      </c>
      <c r="E1127" t="s">
        <v>3919</v>
      </c>
      <c r="F1127" t="s">
        <v>3924</v>
      </c>
      <c r="G1127" t="s">
        <v>3919</v>
      </c>
      <c r="H1127" t="s">
        <v>3925</v>
      </c>
      <c r="J1127" t="s">
        <v>3917</v>
      </c>
      <c r="K1127">
        <v>0.5</v>
      </c>
      <c r="L1127">
        <v>0.3</v>
      </c>
      <c r="M1127" t="s">
        <v>233</v>
      </c>
      <c r="O1127" t="s">
        <v>3107</v>
      </c>
      <c r="P1127" t="s">
        <v>3100</v>
      </c>
      <c r="R1127">
        <v>9</v>
      </c>
      <c r="S1127">
        <v>65</v>
      </c>
      <c r="T1127">
        <v>60</v>
      </c>
      <c r="U1127">
        <v>75</v>
      </c>
      <c r="V1127">
        <v>110</v>
      </c>
      <c r="W1127">
        <v>121</v>
      </c>
      <c r="X1127">
        <v>64</v>
      </c>
      <c r="Y1127">
        <f t="shared" si="510"/>
        <v>172</v>
      </c>
      <c r="Z1127">
        <f t="shared" si="511"/>
        <v>172</v>
      </c>
      <c r="AA1127">
        <f t="shared" si="512"/>
        <v>140</v>
      </c>
      <c r="AB1127">
        <f t="shared" si="513"/>
        <v>140</v>
      </c>
      <c r="AC1127">
        <f t="shared" si="514"/>
        <v>125</v>
      </c>
      <c r="AD1127">
        <f t="shared" si="515"/>
        <v>123</v>
      </c>
      <c r="AE1127">
        <f t="shared" si="516"/>
        <v>112</v>
      </c>
      <c r="AF1127">
        <f t="shared" si="517"/>
        <v>80</v>
      </c>
      <c r="AG1127">
        <f t="shared" si="518"/>
        <v>72</v>
      </c>
      <c r="AH1127">
        <f t="shared" si="519"/>
        <v>58</v>
      </c>
      <c r="AI1127">
        <f t="shared" si="520"/>
        <v>139</v>
      </c>
      <c r="AJ1127">
        <f t="shared" si="521"/>
        <v>127</v>
      </c>
      <c r="AK1127">
        <f t="shared" si="522"/>
        <v>95</v>
      </c>
      <c r="AL1127">
        <f t="shared" si="523"/>
        <v>85</v>
      </c>
      <c r="AM1127">
        <f t="shared" si="524"/>
        <v>72</v>
      </c>
      <c r="AN1127">
        <f t="shared" si="525"/>
        <v>178</v>
      </c>
      <c r="AO1127">
        <f t="shared" si="526"/>
        <v>162</v>
      </c>
      <c r="AP1127">
        <f t="shared" si="527"/>
        <v>130</v>
      </c>
      <c r="AQ1127">
        <f t="shared" si="528"/>
        <v>117</v>
      </c>
      <c r="AR1127">
        <f t="shared" si="529"/>
        <v>103</v>
      </c>
      <c r="AS1127">
        <f t="shared" si="530"/>
        <v>190</v>
      </c>
      <c r="AT1127">
        <f t="shared" si="531"/>
        <v>173</v>
      </c>
      <c r="AU1127">
        <f t="shared" si="532"/>
        <v>141</v>
      </c>
      <c r="AV1127">
        <f t="shared" si="533"/>
        <v>126</v>
      </c>
      <c r="AW1127">
        <f t="shared" si="534"/>
        <v>113</v>
      </c>
      <c r="AX1127">
        <f t="shared" si="535"/>
        <v>127</v>
      </c>
      <c r="AY1127">
        <f t="shared" si="536"/>
        <v>116</v>
      </c>
      <c r="AZ1127">
        <f t="shared" si="537"/>
        <v>84</v>
      </c>
      <c r="BA1127">
        <f t="shared" si="538"/>
        <v>75</v>
      </c>
      <c r="BB1127">
        <f t="shared" si="539"/>
        <v>62</v>
      </c>
    </row>
    <row r="1128" spans="1:54" x14ac:dyDescent="0.15">
      <c r="A1128">
        <v>722</v>
      </c>
      <c r="B1128" t="s">
        <v>3918</v>
      </c>
      <c r="C1128">
        <v>869</v>
      </c>
      <c r="D1128">
        <v>0</v>
      </c>
      <c r="E1128" t="s">
        <v>3919</v>
      </c>
      <c r="F1128" t="s">
        <v>3926</v>
      </c>
      <c r="G1128" t="s">
        <v>3919</v>
      </c>
      <c r="H1128" t="s">
        <v>3927</v>
      </c>
      <c r="J1128" t="s">
        <v>3917</v>
      </c>
      <c r="K1128">
        <v>0.5</v>
      </c>
      <c r="L1128">
        <v>0.3</v>
      </c>
      <c r="M1128" t="s">
        <v>233</v>
      </c>
      <c r="O1128" t="s">
        <v>3107</v>
      </c>
      <c r="P1128" t="s">
        <v>3100</v>
      </c>
      <c r="R1128">
        <v>9</v>
      </c>
      <c r="S1128">
        <v>65</v>
      </c>
      <c r="T1128">
        <v>60</v>
      </c>
      <c r="U1128">
        <v>75</v>
      </c>
      <c r="V1128">
        <v>110</v>
      </c>
      <c r="W1128">
        <v>121</v>
      </c>
      <c r="X1128">
        <v>64</v>
      </c>
      <c r="Y1128">
        <f t="shared" si="510"/>
        <v>172</v>
      </c>
      <c r="Z1128">
        <f t="shared" si="511"/>
        <v>172</v>
      </c>
      <c r="AA1128">
        <f t="shared" si="512"/>
        <v>140</v>
      </c>
      <c r="AB1128">
        <f t="shared" si="513"/>
        <v>140</v>
      </c>
      <c r="AC1128">
        <f t="shared" si="514"/>
        <v>125</v>
      </c>
      <c r="AD1128">
        <f t="shared" si="515"/>
        <v>123</v>
      </c>
      <c r="AE1128">
        <f t="shared" si="516"/>
        <v>112</v>
      </c>
      <c r="AF1128">
        <f t="shared" si="517"/>
        <v>80</v>
      </c>
      <c r="AG1128">
        <f t="shared" si="518"/>
        <v>72</v>
      </c>
      <c r="AH1128">
        <f t="shared" si="519"/>
        <v>58</v>
      </c>
      <c r="AI1128">
        <f t="shared" si="520"/>
        <v>139</v>
      </c>
      <c r="AJ1128">
        <f t="shared" si="521"/>
        <v>127</v>
      </c>
      <c r="AK1128">
        <f t="shared" si="522"/>
        <v>95</v>
      </c>
      <c r="AL1128">
        <f t="shared" si="523"/>
        <v>85</v>
      </c>
      <c r="AM1128">
        <f t="shared" si="524"/>
        <v>72</v>
      </c>
      <c r="AN1128">
        <f t="shared" si="525"/>
        <v>178</v>
      </c>
      <c r="AO1128">
        <f t="shared" si="526"/>
        <v>162</v>
      </c>
      <c r="AP1128">
        <f t="shared" si="527"/>
        <v>130</v>
      </c>
      <c r="AQ1128">
        <f t="shared" si="528"/>
        <v>117</v>
      </c>
      <c r="AR1128">
        <f t="shared" si="529"/>
        <v>103</v>
      </c>
      <c r="AS1128">
        <f t="shared" si="530"/>
        <v>190</v>
      </c>
      <c r="AT1128">
        <f t="shared" si="531"/>
        <v>173</v>
      </c>
      <c r="AU1128">
        <f t="shared" si="532"/>
        <v>141</v>
      </c>
      <c r="AV1128">
        <f t="shared" si="533"/>
        <v>126</v>
      </c>
      <c r="AW1128">
        <f t="shared" si="534"/>
        <v>113</v>
      </c>
      <c r="AX1128">
        <f t="shared" si="535"/>
        <v>127</v>
      </c>
      <c r="AY1128">
        <f t="shared" si="536"/>
        <v>116</v>
      </c>
      <c r="AZ1128">
        <f t="shared" si="537"/>
        <v>84</v>
      </c>
      <c r="BA1128">
        <f t="shared" si="538"/>
        <v>75</v>
      </c>
      <c r="BB1128">
        <f t="shared" si="539"/>
        <v>62</v>
      </c>
    </row>
    <row r="1129" spans="1:54" x14ac:dyDescent="0.15">
      <c r="A1129">
        <v>723</v>
      </c>
      <c r="B1129" t="s">
        <v>3918</v>
      </c>
      <c r="C1129">
        <v>869</v>
      </c>
      <c r="D1129">
        <v>0</v>
      </c>
      <c r="E1129" t="s">
        <v>3919</v>
      </c>
      <c r="F1129" t="s">
        <v>3928</v>
      </c>
      <c r="G1129" t="s">
        <v>3919</v>
      </c>
      <c r="H1129" t="s">
        <v>3929</v>
      </c>
      <c r="J1129" t="s">
        <v>3917</v>
      </c>
      <c r="K1129">
        <v>0.5</v>
      </c>
      <c r="L1129">
        <v>0.3</v>
      </c>
      <c r="M1129" t="s">
        <v>233</v>
      </c>
      <c r="O1129" t="s">
        <v>3107</v>
      </c>
      <c r="P1129" t="s">
        <v>3100</v>
      </c>
      <c r="R1129">
        <v>9</v>
      </c>
      <c r="S1129">
        <v>65</v>
      </c>
      <c r="T1129">
        <v>60</v>
      </c>
      <c r="U1129">
        <v>75</v>
      </c>
      <c r="V1129">
        <v>110</v>
      </c>
      <c r="W1129">
        <v>121</v>
      </c>
      <c r="X1129">
        <v>64</v>
      </c>
      <c r="Y1129">
        <f t="shared" si="510"/>
        <v>172</v>
      </c>
      <c r="Z1129">
        <f t="shared" si="511"/>
        <v>172</v>
      </c>
      <c r="AA1129">
        <f t="shared" si="512"/>
        <v>140</v>
      </c>
      <c r="AB1129">
        <f t="shared" si="513"/>
        <v>140</v>
      </c>
      <c r="AC1129">
        <f t="shared" si="514"/>
        <v>125</v>
      </c>
      <c r="AD1129">
        <f t="shared" si="515"/>
        <v>123</v>
      </c>
      <c r="AE1129">
        <f t="shared" si="516"/>
        <v>112</v>
      </c>
      <c r="AF1129">
        <f t="shared" si="517"/>
        <v>80</v>
      </c>
      <c r="AG1129">
        <f t="shared" si="518"/>
        <v>72</v>
      </c>
      <c r="AH1129">
        <f t="shared" si="519"/>
        <v>58</v>
      </c>
      <c r="AI1129">
        <f t="shared" si="520"/>
        <v>139</v>
      </c>
      <c r="AJ1129">
        <f t="shared" si="521"/>
        <v>127</v>
      </c>
      <c r="AK1129">
        <f t="shared" si="522"/>
        <v>95</v>
      </c>
      <c r="AL1129">
        <f t="shared" si="523"/>
        <v>85</v>
      </c>
      <c r="AM1129">
        <f t="shared" si="524"/>
        <v>72</v>
      </c>
      <c r="AN1129">
        <f t="shared" si="525"/>
        <v>178</v>
      </c>
      <c r="AO1129">
        <f t="shared" si="526"/>
        <v>162</v>
      </c>
      <c r="AP1129">
        <f t="shared" si="527"/>
        <v>130</v>
      </c>
      <c r="AQ1129">
        <f t="shared" si="528"/>
        <v>117</v>
      </c>
      <c r="AR1129">
        <f t="shared" si="529"/>
        <v>103</v>
      </c>
      <c r="AS1129">
        <f t="shared" si="530"/>
        <v>190</v>
      </c>
      <c r="AT1129">
        <f t="shared" si="531"/>
        <v>173</v>
      </c>
      <c r="AU1129">
        <f t="shared" si="532"/>
        <v>141</v>
      </c>
      <c r="AV1129">
        <f t="shared" si="533"/>
        <v>126</v>
      </c>
      <c r="AW1129">
        <f t="shared" si="534"/>
        <v>113</v>
      </c>
      <c r="AX1129">
        <f t="shared" si="535"/>
        <v>127</v>
      </c>
      <c r="AY1129">
        <f t="shared" si="536"/>
        <v>116</v>
      </c>
      <c r="AZ1129">
        <f t="shared" si="537"/>
        <v>84</v>
      </c>
      <c r="BA1129">
        <f t="shared" si="538"/>
        <v>75</v>
      </c>
      <c r="BB1129">
        <f t="shared" si="539"/>
        <v>62</v>
      </c>
    </row>
    <row r="1130" spans="1:54" x14ac:dyDescent="0.15">
      <c r="A1130">
        <v>724</v>
      </c>
      <c r="B1130" t="s">
        <v>3918</v>
      </c>
      <c r="C1130">
        <v>869</v>
      </c>
      <c r="D1130">
        <v>0</v>
      </c>
      <c r="E1130" t="s">
        <v>3919</v>
      </c>
      <c r="F1130" t="s">
        <v>3930</v>
      </c>
      <c r="G1130" t="s">
        <v>3919</v>
      </c>
      <c r="H1130" t="s">
        <v>3931</v>
      </c>
      <c r="J1130" t="s">
        <v>3917</v>
      </c>
      <c r="K1130">
        <v>0.5</v>
      </c>
      <c r="L1130">
        <v>0.3</v>
      </c>
      <c r="M1130" t="s">
        <v>233</v>
      </c>
      <c r="O1130" t="s">
        <v>3107</v>
      </c>
      <c r="P1130" t="s">
        <v>3100</v>
      </c>
      <c r="R1130">
        <v>9</v>
      </c>
      <c r="S1130">
        <v>65</v>
      </c>
      <c r="T1130">
        <v>60</v>
      </c>
      <c r="U1130">
        <v>75</v>
      </c>
      <c r="V1130">
        <v>110</v>
      </c>
      <c r="W1130">
        <v>121</v>
      </c>
      <c r="X1130">
        <v>64</v>
      </c>
      <c r="Y1130">
        <f t="shared" si="510"/>
        <v>172</v>
      </c>
      <c r="Z1130">
        <f t="shared" si="511"/>
        <v>172</v>
      </c>
      <c r="AA1130">
        <f t="shared" si="512"/>
        <v>140</v>
      </c>
      <c r="AB1130">
        <f t="shared" si="513"/>
        <v>140</v>
      </c>
      <c r="AC1130">
        <f t="shared" si="514"/>
        <v>125</v>
      </c>
      <c r="AD1130">
        <f t="shared" si="515"/>
        <v>123</v>
      </c>
      <c r="AE1130">
        <f t="shared" si="516"/>
        <v>112</v>
      </c>
      <c r="AF1130">
        <f t="shared" si="517"/>
        <v>80</v>
      </c>
      <c r="AG1130">
        <f t="shared" si="518"/>
        <v>72</v>
      </c>
      <c r="AH1130">
        <f t="shared" si="519"/>
        <v>58</v>
      </c>
      <c r="AI1130">
        <f t="shared" si="520"/>
        <v>139</v>
      </c>
      <c r="AJ1130">
        <f t="shared" si="521"/>
        <v>127</v>
      </c>
      <c r="AK1130">
        <f t="shared" si="522"/>
        <v>95</v>
      </c>
      <c r="AL1130">
        <f t="shared" si="523"/>
        <v>85</v>
      </c>
      <c r="AM1130">
        <f t="shared" si="524"/>
        <v>72</v>
      </c>
      <c r="AN1130">
        <f t="shared" si="525"/>
        <v>178</v>
      </c>
      <c r="AO1130">
        <f t="shared" si="526"/>
        <v>162</v>
      </c>
      <c r="AP1130">
        <f t="shared" si="527"/>
        <v>130</v>
      </c>
      <c r="AQ1130">
        <f t="shared" si="528"/>
        <v>117</v>
      </c>
      <c r="AR1130">
        <f t="shared" si="529"/>
        <v>103</v>
      </c>
      <c r="AS1130">
        <f t="shared" si="530"/>
        <v>190</v>
      </c>
      <c r="AT1130">
        <f t="shared" si="531"/>
        <v>173</v>
      </c>
      <c r="AU1130">
        <f t="shared" si="532"/>
        <v>141</v>
      </c>
      <c r="AV1130">
        <f t="shared" si="533"/>
        <v>126</v>
      </c>
      <c r="AW1130">
        <f t="shared" si="534"/>
        <v>113</v>
      </c>
      <c r="AX1130">
        <f t="shared" si="535"/>
        <v>127</v>
      </c>
      <c r="AY1130">
        <f t="shared" si="536"/>
        <v>116</v>
      </c>
      <c r="AZ1130">
        <f t="shared" si="537"/>
        <v>84</v>
      </c>
      <c r="BA1130">
        <f t="shared" si="538"/>
        <v>75</v>
      </c>
      <c r="BB1130">
        <f t="shared" si="539"/>
        <v>62</v>
      </c>
    </row>
    <row r="1131" spans="1:54" x14ac:dyDescent="0.15">
      <c r="A1131">
        <v>725</v>
      </c>
      <c r="B1131" t="s">
        <v>3918</v>
      </c>
      <c r="C1131">
        <v>869</v>
      </c>
      <c r="D1131">
        <v>0</v>
      </c>
      <c r="E1131" t="s">
        <v>3919</v>
      </c>
      <c r="F1131" t="s">
        <v>3932</v>
      </c>
      <c r="G1131" t="s">
        <v>3919</v>
      </c>
      <c r="H1131" t="s">
        <v>3933</v>
      </c>
      <c r="J1131" t="s">
        <v>3917</v>
      </c>
      <c r="K1131">
        <v>0.5</v>
      </c>
      <c r="L1131">
        <v>0.3</v>
      </c>
      <c r="M1131" t="s">
        <v>233</v>
      </c>
      <c r="O1131" t="s">
        <v>3107</v>
      </c>
      <c r="P1131" t="s">
        <v>3100</v>
      </c>
      <c r="R1131">
        <v>9</v>
      </c>
      <c r="S1131">
        <v>65</v>
      </c>
      <c r="T1131">
        <v>60</v>
      </c>
      <c r="U1131">
        <v>75</v>
      </c>
      <c r="V1131">
        <v>110</v>
      </c>
      <c r="W1131">
        <v>121</v>
      </c>
      <c r="X1131">
        <v>64</v>
      </c>
      <c r="Y1131">
        <f t="shared" si="510"/>
        <v>172</v>
      </c>
      <c r="Z1131">
        <f t="shared" si="511"/>
        <v>172</v>
      </c>
      <c r="AA1131">
        <f t="shared" si="512"/>
        <v>140</v>
      </c>
      <c r="AB1131">
        <f t="shared" si="513"/>
        <v>140</v>
      </c>
      <c r="AC1131">
        <f t="shared" si="514"/>
        <v>125</v>
      </c>
      <c r="AD1131">
        <f t="shared" si="515"/>
        <v>123</v>
      </c>
      <c r="AE1131">
        <f t="shared" si="516"/>
        <v>112</v>
      </c>
      <c r="AF1131">
        <f t="shared" si="517"/>
        <v>80</v>
      </c>
      <c r="AG1131">
        <f t="shared" si="518"/>
        <v>72</v>
      </c>
      <c r="AH1131">
        <f t="shared" si="519"/>
        <v>58</v>
      </c>
      <c r="AI1131">
        <f t="shared" si="520"/>
        <v>139</v>
      </c>
      <c r="AJ1131">
        <f t="shared" si="521"/>
        <v>127</v>
      </c>
      <c r="AK1131">
        <f t="shared" si="522"/>
        <v>95</v>
      </c>
      <c r="AL1131">
        <f t="shared" si="523"/>
        <v>85</v>
      </c>
      <c r="AM1131">
        <f t="shared" si="524"/>
        <v>72</v>
      </c>
      <c r="AN1131">
        <f t="shared" si="525"/>
        <v>178</v>
      </c>
      <c r="AO1131">
        <f t="shared" si="526"/>
        <v>162</v>
      </c>
      <c r="AP1131">
        <f t="shared" si="527"/>
        <v>130</v>
      </c>
      <c r="AQ1131">
        <f t="shared" si="528"/>
        <v>117</v>
      </c>
      <c r="AR1131">
        <f t="shared" si="529"/>
        <v>103</v>
      </c>
      <c r="AS1131">
        <f t="shared" si="530"/>
        <v>190</v>
      </c>
      <c r="AT1131">
        <f t="shared" si="531"/>
        <v>173</v>
      </c>
      <c r="AU1131">
        <f t="shared" si="532"/>
        <v>141</v>
      </c>
      <c r="AV1131">
        <f t="shared" si="533"/>
        <v>126</v>
      </c>
      <c r="AW1131">
        <f t="shared" si="534"/>
        <v>113</v>
      </c>
      <c r="AX1131">
        <f t="shared" si="535"/>
        <v>127</v>
      </c>
      <c r="AY1131">
        <f t="shared" si="536"/>
        <v>116</v>
      </c>
      <c r="AZ1131">
        <f t="shared" si="537"/>
        <v>84</v>
      </c>
      <c r="BA1131">
        <f t="shared" si="538"/>
        <v>75</v>
      </c>
      <c r="BB1131">
        <f t="shared" si="539"/>
        <v>62</v>
      </c>
    </row>
    <row r="1132" spans="1:54" x14ac:dyDescent="0.15">
      <c r="A1132">
        <v>726</v>
      </c>
      <c r="B1132" t="s">
        <v>3918</v>
      </c>
      <c r="C1132">
        <v>869</v>
      </c>
      <c r="D1132">
        <v>0</v>
      </c>
      <c r="E1132" t="s">
        <v>3919</v>
      </c>
      <c r="F1132" t="s">
        <v>3934</v>
      </c>
      <c r="G1132" t="s">
        <v>3919</v>
      </c>
      <c r="H1132" t="s">
        <v>3935</v>
      </c>
      <c r="J1132" t="s">
        <v>3917</v>
      </c>
      <c r="K1132">
        <v>0.5</v>
      </c>
      <c r="L1132">
        <v>0.3</v>
      </c>
      <c r="M1132" t="s">
        <v>233</v>
      </c>
      <c r="O1132" t="s">
        <v>3107</v>
      </c>
      <c r="P1132" t="s">
        <v>3100</v>
      </c>
      <c r="R1132">
        <v>9</v>
      </c>
      <c r="S1132">
        <v>65</v>
      </c>
      <c r="T1132">
        <v>60</v>
      </c>
      <c r="U1132">
        <v>75</v>
      </c>
      <c r="V1132">
        <v>110</v>
      </c>
      <c r="W1132">
        <v>121</v>
      </c>
      <c r="X1132">
        <v>64</v>
      </c>
      <c r="Y1132">
        <f t="shared" si="510"/>
        <v>172</v>
      </c>
      <c r="Z1132">
        <f t="shared" si="511"/>
        <v>172</v>
      </c>
      <c r="AA1132">
        <f t="shared" si="512"/>
        <v>140</v>
      </c>
      <c r="AB1132">
        <f t="shared" si="513"/>
        <v>140</v>
      </c>
      <c r="AC1132">
        <f t="shared" si="514"/>
        <v>125</v>
      </c>
      <c r="AD1132">
        <f t="shared" si="515"/>
        <v>123</v>
      </c>
      <c r="AE1132">
        <f t="shared" si="516"/>
        <v>112</v>
      </c>
      <c r="AF1132">
        <f t="shared" si="517"/>
        <v>80</v>
      </c>
      <c r="AG1132">
        <f t="shared" si="518"/>
        <v>72</v>
      </c>
      <c r="AH1132">
        <f t="shared" si="519"/>
        <v>58</v>
      </c>
      <c r="AI1132">
        <f t="shared" si="520"/>
        <v>139</v>
      </c>
      <c r="AJ1132">
        <f t="shared" si="521"/>
        <v>127</v>
      </c>
      <c r="AK1132">
        <f t="shared" si="522"/>
        <v>95</v>
      </c>
      <c r="AL1132">
        <f t="shared" si="523"/>
        <v>85</v>
      </c>
      <c r="AM1132">
        <f t="shared" si="524"/>
        <v>72</v>
      </c>
      <c r="AN1132">
        <f t="shared" si="525"/>
        <v>178</v>
      </c>
      <c r="AO1132">
        <f t="shared" si="526"/>
        <v>162</v>
      </c>
      <c r="AP1132">
        <f t="shared" si="527"/>
        <v>130</v>
      </c>
      <c r="AQ1132">
        <f t="shared" si="528"/>
        <v>117</v>
      </c>
      <c r="AR1132">
        <f t="shared" si="529"/>
        <v>103</v>
      </c>
      <c r="AS1132">
        <f t="shared" si="530"/>
        <v>190</v>
      </c>
      <c r="AT1132">
        <f t="shared" si="531"/>
        <v>173</v>
      </c>
      <c r="AU1132">
        <f t="shared" si="532"/>
        <v>141</v>
      </c>
      <c r="AV1132">
        <f t="shared" si="533"/>
        <v>126</v>
      </c>
      <c r="AW1132">
        <f t="shared" si="534"/>
        <v>113</v>
      </c>
      <c r="AX1132">
        <f t="shared" si="535"/>
        <v>127</v>
      </c>
      <c r="AY1132">
        <f t="shared" si="536"/>
        <v>116</v>
      </c>
      <c r="AZ1132">
        <f t="shared" si="537"/>
        <v>84</v>
      </c>
      <c r="BA1132">
        <f t="shared" si="538"/>
        <v>75</v>
      </c>
      <c r="BB1132">
        <f t="shared" si="539"/>
        <v>62</v>
      </c>
    </row>
    <row r="1133" spans="1:54" x14ac:dyDescent="0.15">
      <c r="A1133">
        <v>727</v>
      </c>
      <c r="B1133" t="s">
        <v>3918</v>
      </c>
      <c r="C1133">
        <v>869</v>
      </c>
      <c r="D1133">
        <v>0</v>
      </c>
      <c r="E1133" t="s">
        <v>3919</v>
      </c>
      <c r="F1133" t="s">
        <v>3936</v>
      </c>
      <c r="G1133" t="s">
        <v>3919</v>
      </c>
      <c r="H1133" t="s">
        <v>3937</v>
      </c>
      <c r="J1133" t="s">
        <v>3917</v>
      </c>
      <c r="K1133">
        <v>0.5</v>
      </c>
      <c r="L1133">
        <v>0.3</v>
      </c>
      <c r="M1133" t="s">
        <v>233</v>
      </c>
      <c r="O1133" t="s">
        <v>3107</v>
      </c>
      <c r="P1133" t="s">
        <v>3100</v>
      </c>
      <c r="R1133">
        <v>9</v>
      </c>
      <c r="S1133">
        <v>65</v>
      </c>
      <c r="T1133">
        <v>60</v>
      </c>
      <c r="U1133">
        <v>75</v>
      </c>
      <c r="V1133">
        <v>110</v>
      </c>
      <c r="W1133">
        <v>121</v>
      </c>
      <c r="X1133">
        <v>64</v>
      </c>
      <c r="Y1133">
        <f t="shared" si="510"/>
        <v>172</v>
      </c>
      <c r="Z1133">
        <f t="shared" si="511"/>
        <v>172</v>
      </c>
      <c r="AA1133">
        <f t="shared" si="512"/>
        <v>140</v>
      </c>
      <c r="AB1133">
        <f t="shared" si="513"/>
        <v>140</v>
      </c>
      <c r="AC1133">
        <f t="shared" si="514"/>
        <v>125</v>
      </c>
      <c r="AD1133">
        <f t="shared" si="515"/>
        <v>123</v>
      </c>
      <c r="AE1133">
        <f t="shared" si="516"/>
        <v>112</v>
      </c>
      <c r="AF1133">
        <f t="shared" si="517"/>
        <v>80</v>
      </c>
      <c r="AG1133">
        <f t="shared" si="518"/>
        <v>72</v>
      </c>
      <c r="AH1133">
        <f t="shared" si="519"/>
        <v>58</v>
      </c>
      <c r="AI1133">
        <f t="shared" si="520"/>
        <v>139</v>
      </c>
      <c r="AJ1133">
        <f t="shared" si="521"/>
        <v>127</v>
      </c>
      <c r="AK1133">
        <f t="shared" si="522"/>
        <v>95</v>
      </c>
      <c r="AL1133">
        <f t="shared" si="523"/>
        <v>85</v>
      </c>
      <c r="AM1133">
        <f t="shared" si="524"/>
        <v>72</v>
      </c>
      <c r="AN1133">
        <f t="shared" si="525"/>
        <v>178</v>
      </c>
      <c r="AO1133">
        <f t="shared" si="526"/>
        <v>162</v>
      </c>
      <c r="AP1133">
        <f t="shared" si="527"/>
        <v>130</v>
      </c>
      <c r="AQ1133">
        <f t="shared" si="528"/>
        <v>117</v>
      </c>
      <c r="AR1133">
        <f t="shared" si="529"/>
        <v>103</v>
      </c>
      <c r="AS1133">
        <f t="shared" si="530"/>
        <v>190</v>
      </c>
      <c r="AT1133">
        <f t="shared" si="531"/>
        <v>173</v>
      </c>
      <c r="AU1133">
        <f t="shared" si="532"/>
        <v>141</v>
      </c>
      <c r="AV1133">
        <f t="shared" si="533"/>
        <v>126</v>
      </c>
      <c r="AW1133">
        <f t="shared" si="534"/>
        <v>113</v>
      </c>
      <c r="AX1133">
        <f t="shared" si="535"/>
        <v>127</v>
      </c>
      <c r="AY1133">
        <f t="shared" si="536"/>
        <v>116</v>
      </c>
      <c r="AZ1133">
        <f t="shared" si="537"/>
        <v>84</v>
      </c>
      <c r="BA1133">
        <f t="shared" si="538"/>
        <v>75</v>
      </c>
      <c r="BB1133">
        <f t="shared" si="539"/>
        <v>62</v>
      </c>
    </row>
    <row r="1134" spans="1:54" x14ac:dyDescent="0.15">
      <c r="B1134" t="s">
        <v>3938</v>
      </c>
      <c r="C1134">
        <v>869</v>
      </c>
      <c r="D1134">
        <v>999</v>
      </c>
      <c r="E1134" t="s">
        <v>3919</v>
      </c>
      <c r="F1134" t="s">
        <v>40</v>
      </c>
      <c r="G1134" t="s">
        <v>3939</v>
      </c>
      <c r="J1134" t="s">
        <v>42</v>
      </c>
      <c r="K1134">
        <v>9999.9</v>
      </c>
      <c r="L1134">
        <v>30</v>
      </c>
      <c r="M1134" t="s">
        <v>233</v>
      </c>
      <c r="O1134" t="s">
        <v>3107</v>
      </c>
      <c r="P1134" t="s">
        <v>3100</v>
      </c>
      <c r="R1134">
        <v>8</v>
      </c>
      <c r="S1134">
        <v>65</v>
      </c>
      <c r="T1134">
        <v>60</v>
      </c>
      <c r="U1134">
        <v>75</v>
      </c>
      <c r="V1134">
        <v>110</v>
      </c>
      <c r="W1134">
        <v>121</v>
      </c>
      <c r="X1134">
        <v>64</v>
      </c>
      <c r="Y1134">
        <f t="shared" si="510"/>
        <v>172</v>
      </c>
      <c r="Z1134">
        <f t="shared" si="511"/>
        <v>172</v>
      </c>
      <c r="AA1134">
        <f t="shared" si="512"/>
        <v>140</v>
      </c>
      <c r="AB1134">
        <f t="shared" si="513"/>
        <v>140</v>
      </c>
      <c r="AC1134">
        <f t="shared" si="514"/>
        <v>125</v>
      </c>
      <c r="AD1134">
        <f t="shared" si="515"/>
        <v>123</v>
      </c>
      <c r="AE1134">
        <f t="shared" si="516"/>
        <v>112</v>
      </c>
      <c r="AF1134">
        <f t="shared" si="517"/>
        <v>80</v>
      </c>
      <c r="AG1134">
        <f t="shared" si="518"/>
        <v>72</v>
      </c>
      <c r="AH1134">
        <f t="shared" si="519"/>
        <v>58</v>
      </c>
      <c r="AI1134">
        <f t="shared" si="520"/>
        <v>139</v>
      </c>
      <c r="AJ1134">
        <f t="shared" si="521"/>
        <v>127</v>
      </c>
      <c r="AK1134">
        <f t="shared" si="522"/>
        <v>95</v>
      </c>
      <c r="AL1134">
        <f t="shared" si="523"/>
        <v>85</v>
      </c>
      <c r="AM1134">
        <f t="shared" si="524"/>
        <v>72</v>
      </c>
      <c r="AN1134">
        <f t="shared" si="525"/>
        <v>178</v>
      </c>
      <c r="AO1134">
        <f t="shared" si="526"/>
        <v>162</v>
      </c>
      <c r="AP1134">
        <f t="shared" si="527"/>
        <v>130</v>
      </c>
      <c r="AQ1134">
        <f t="shared" si="528"/>
        <v>117</v>
      </c>
      <c r="AR1134">
        <f t="shared" si="529"/>
        <v>103</v>
      </c>
      <c r="AS1134">
        <f t="shared" si="530"/>
        <v>190</v>
      </c>
      <c r="AT1134">
        <f t="shared" si="531"/>
        <v>173</v>
      </c>
      <c r="AU1134">
        <f t="shared" si="532"/>
        <v>141</v>
      </c>
      <c r="AV1134">
        <f t="shared" si="533"/>
        <v>126</v>
      </c>
      <c r="AW1134">
        <f t="shared" si="534"/>
        <v>113</v>
      </c>
      <c r="AX1134">
        <f t="shared" si="535"/>
        <v>127</v>
      </c>
      <c r="AY1134">
        <f t="shared" si="536"/>
        <v>116</v>
      </c>
      <c r="AZ1134">
        <f t="shared" si="537"/>
        <v>84</v>
      </c>
      <c r="BA1134">
        <f t="shared" si="538"/>
        <v>75</v>
      </c>
      <c r="BB1134">
        <f t="shared" si="539"/>
        <v>62</v>
      </c>
    </row>
    <row r="1135" spans="1:54" x14ac:dyDescent="0.15">
      <c r="A1135">
        <v>717</v>
      </c>
      <c r="B1135" t="s">
        <v>3940</v>
      </c>
      <c r="C1135">
        <v>870</v>
      </c>
      <c r="D1135">
        <v>0</v>
      </c>
      <c r="E1135" t="s">
        <v>3941</v>
      </c>
      <c r="G1135" t="s">
        <v>3941</v>
      </c>
      <c r="H1135" t="s">
        <v>3942</v>
      </c>
      <c r="J1135" t="s">
        <v>3943</v>
      </c>
      <c r="K1135">
        <v>62</v>
      </c>
      <c r="L1135">
        <v>3</v>
      </c>
      <c r="M1135" t="s">
        <v>354</v>
      </c>
      <c r="O1135" t="s">
        <v>613</v>
      </c>
      <c r="P1135" t="s">
        <v>357</v>
      </c>
      <c r="R1135">
        <v>9</v>
      </c>
      <c r="S1135">
        <v>65</v>
      </c>
      <c r="T1135">
        <v>100</v>
      </c>
      <c r="U1135">
        <v>100</v>
      </c>
      <c r="V1135">
        <v>70</v>
      </c>
      <c r="W1135">
        <v>60</v>
      </c>
      <c r="X1135">
        <v>75</v>
      </c>
      <c r="Y1135">
        <f t="shared" si="510"/>
        <v>172</v>
      </c>
      <c r="Z1135">
        <f t="shared" si="511"/>
        <v>172</v>
      </c>
      <c r="AA1135">
        <f t="shared" si="512"/>
        <v>140</v>
      </c>
      <c r="AB1135">
        <f t="shared" si="513"/>
        <v>140</v>
      </c>
      <c r="AC1135">
        <f t="shared" si="514"/>
        <v>125</v>
      </c>
      <c r="AD1135">
        <f t="shared" si="515"/>
        <v>167</v>
      </c>
      <c r="AE1135">
        <f t="shared" si="516"/>
        <v>152</v>
      </c>
      <c r="AF1135">
        <f t="shared" si="517"/>
        <v>120</v>
      </c>
      <c r="AG1135">
        <f t="shared" si="518"/>
        <v>108</v>
      </c>
      <c r="AH1135">
        <f t="shared" si="519"/>
        <v>94</v>
      </c>
      <c r="AI1135">
        <f t="shared" si="520"/>
        <v>167</v>
      </c>
      <c r="AJ1135">
        <f t="shared" si="521"/>
        <v>152</v>
      </c>
      <c r="AK1135">
        <f t="shared" si="522"/>
        <v>120</v>
      </c>
      <c r="AL1135">
        <f t="shared" si="523"/>
        <v>108</v>
      </c>
      <c r="AM1135">
        <f t="shared" si="524"/>
        <v>94</v>
      </c>
      <c r="AN1135">
        <f t="shared" si="525"/>
        <v>134</v>
      </c>
      <c r="AO1135">
        <f t="shared" si="526"/>
        <v>122</v>
      </c>
      <c r="AP1135">
        <f t="shared" si="527"/>
        <v>90</v>
      </c>
      <c r="AQ1135">
        <f t="shared" si="528"/>
        <v>81</v>
      </c>
      <c r="AR1135">
        <f t="shared" si="529"/>
        <v>67</v>
      </c>
      <c r="AS1135">
        <f t="shared" si="530"/>
        <v>123</v>
      </c>
      <c r="AT1135">
        <f t="shared" si="531"/>
        <v>112</v>
      </c>
      <c r="AU1135">
        <f t="shared" si="532"/>
        <v>80</v>
      </c>
      <c r="AV1135">
        <f t="shared" si="533"/>
        <v>72</v>
      </c>
      <c r="AW1135">
        <f t="shared" si="534"/>
        <v>58</v>
      </c>
      <c r="AX1135">
        <f t="shared" si="535"/>
        <v>139</v>
      </c>
      <c r="AY1135">
        <f t="shared" si="536"/>
        <v>127</v>
      </c>
      <c r="AZ1135">
        <f t="shared" si="537"/>
        <v>95</v>
      </c>
      <c r="BA1135">
        <f t="shared" si="538"/>
        <v>85</v>
      </c>
      <c r="BB1135">
        <f t="shared" si="539"/>
        <v>72</v>
      </c>
    </row>
    <row r="1136" spans="1:54" x14ac:dyDescent="0.15">
      <c r="A1136">
        <v>746</v>
      </c>
      <c r="B1136" t="s">
        <v>3944</v>
      </c>
      <c r="C1136">
        <v>871</v>
      </c>
      <c r="D1136">
        <v>0</v>
      </c>
      <c r="E1136" t="s">
        <v>3945</v>
      </c>
      <c r="G1136" t="s">
        <v>3945</v>
      </c>
      <c r="H1136" t="s">
        <v>3946</v>
      </c>
      <c r="J1136" t="s">
        <v>3947</v>
      </c>
      <c r="K1136">
        <v>1</v>
      </c>
      <c r="L1136">
        <v>0.3</v>
      </c>
      <c r="M1136" t="s">
        <v>164</v>
      </c>
      <c r="O1136" t="s">
        <v>166</v>
      </c>
      <c r="P1136" t="s">
        <v>3582</v>
      </c>
      <c r="R1136">
        <v>9</v>
      </c>
      <c r="S1136">
        <v>48</v>
      </c>
      <c r="T1136">
        <v>101</v>
      </c>
      <c r="U1136">
        <v>95</v>
      </c>
      <c r="V1136">
        <v>91</v>
      </c>
      <c r="W1136">
        <v>85</v>
      </c>
      <c r="X1136">
        <v>15</v>
      </c>
      <c r="Y1136">
        <f t="shared" si="510"/>
        <v>155</v>
      </c>
      <c r="Z1136">
        <f t="shared" si="511"/>
        <v>155</v>
      </c>
      <c r="AA1136">
        <f t="shared" si="512"/>
        <v>123</v>
      </c>
      <c r="AB1136">
        <f t="shared" si="513"/>
        <v>123</v>
      </c>
      <c r="AC1136">
        <f t="shared" si="514"/>
        <v>108</v>
      </c>
      <c r="AD1136">
        <f t="shared" si="515"/>
        <v>168</v>
      </c>
      <c r="AE1136">
        <f t="shared" si="516"/>
        <v>153</v>
      </c>
      <c r="AF1136">
        <f t="shared" si="517"/>
        <v>121</v>
      </c>
      <c r="AG1136">
        <f t="shared" si="518"/>
        <v>108</v>
      </c>
      <c r="AH1136">
        <f t="shared" si="519"/>
        <v>95</v>
      </c>
      <c r="AI1136">
        <f t="shared" si="520"/>
        <v>161</v>
      </c>
      <c r="AJ1136">
        <f t="shared" si="521"/>
        <v>147</v>
      </c>
      <c r="AK1136">
        <f t="shared" si="522"/>
        <v>115</v>
      </c>
      <c r="AL1136">
        <f t="shared" si="523"/>
        <v>103</v>
      </c>
      <c r="AM1136">
        <f t="shared" si="524"/>
        <v>90</v>
      </c>
      <c r="AN1136">
        <f t="shared" si="525"/>
        <v>157</v>
      </c>
      <c r="AO1136">
        <f t="shared" si="526"/>
        <v>143</v>
      </c>
      <c r="AP1136">
        <f t="shared" si="527"/>
        <v>111</v>
      </c>
      <c r="AQ1136">
        <f t="shared" si="528"/>
        <v>99</v>
      </c>
      <c r="AR1136">
        <f t="shared" si="529"/>
        <v>86</v>
      </c>
      <c r="AS1136">
        <f t="shared" si="530"/>
        <v>150</v>
      </c>
      <c r="AT1136">
        <f t="shared" si="531"/>
        <v>137</v>
      </c>
      <c r="AU1136">
        <f t="shared" si="532"/>
        <v>105</v>
      </c>
      <c r="AV1136">
        <f t="shared" si="533"/>
        <v>94</v>
      </c>
      <c r="AW1136">
        <f t="shared" si="534"/>
        <v>81</v>
      </c>
      <c r="AX1136">
        <f t="shared" si="535"/>
        <v>73</v>
      </c>
      <c r="AY1136">
        <f t="shared" si="536"/>
        <v>67</v>
      </c>
      <c r="AZ1136">
        <f t="shared" si="537"/>
        <v>35</v>
      </c>
      <c r="BA1136">
        <f t="shared" si="538"/>
        <v>31</v>
      </c>
      <c r="BB1136">
        <f t="shared" si="539"/>
        <v>18</v>
      </c>
    </row>
    <row r="1137" spans="1:54" x14ac:dyDescent="0.15">
      <c r="A1137">
        <v>747</v>
      </c>
      <c r="B1137" t="s">
        <v>3948</v>
      </c>
      <c r="C1137">
        <v>872</v>
      </c>
      <c r="D1137">
        <v>0</v>
      </c>
      <c r="E1137" t="s">
        <v>3949</v>
      </c>
      <c r="G1137" t="s">
        <v>3949</v>
      </c>
      <c r="H1137" t="s">
        <v>3950</v>
      </c>
      <c r="J1137" t="s">
        <v>89</v>
      </c>
      <c r="K1137">
        <v>3.8</v>
      </c>
      <c r="L1137">
        <v>0.3</v>
      </c>
      <c r="M1137" t="s">
        <v>202</v>
      </c>
      <c r="N1137" t="s">
        <v>90</v>
      </c>
      <c r="O1137" t="s">
        <v>91</v>
      </c>
      <c r="P1137" t="s">
        <v>3951</v>
      </c>
      <c r="R1137">
        <v>9</v>
      </c>
      <c r="S1137">
        <v>30</v>
      </c>
      <c r="T1137">
        <v>25</v>
      </c>
      <c r="U1137">
        <v>35</v>
      </c>
      <c r="V1137">
        <v>45</v>
      </c>
      <c r="W1137">
        <v>30</v>
      </c>
      <c r="X1137">
        <v>20</v>
      </c>
      <c r="Y1137">
        <f t="shared" si="510"/>
        <v>137</v>
      </c>
      <c r="Z1137">
        <f t="shared" si="511"/>
        <v>137</v>
      </c>
      <c r="AA1137">
        <f t="shared" si="512"/>
        <v>105</v>
      </c>
      <c r="AB1137">
        <f t="shared" si="513"/>
        <v>105</v>
      </c>
      <c r="AC1137">
        <f t="shared" si="514"/>
        <v>90</v>
      </c>
      <c r="AD1137">
        <f t="shared" si="515"/>
        <v>84</v>
      </c>
      <c r="AE1137">
        <f t="shared" si="516"/>
        <v>77</v>
      </c>
      <c r="AF1137">
        <f t="shared" si="517"/>
        <v>45</v>
      </c>
      <c r="AG1137">
        <f t="shared" si="518"/>
        <v>40</v>
      </c>
      <c r="AH1137">
        <f t="shared" si="519"/>
        <v>27</v>
      </c>
      <c r="AI1137">
        <f t="shared" si="520"/>
        <v>95</v>
      </c>
      <c r="AJ1137">
        <f t="shared" si="521"/>
        <v>87</v>
      </c>
      <c r="AK1137">
        <f t="shared" si="522"/>
        <v>55</v>
      </c>
      <c r="AL1137">
        <f t="shared" si="523"/>
        <v>49</v>
      </c>
      <c r="AM1137">
        <f t="shared" si="524"/>
        <v>36</v>
      </c>
      <c r="AN1137">
        <f t="shared" si="525"/>
        <v>106</v>
      </c>
      <c r="AO1137">
        <f t="shared" si="526"/>
        <v>97</v>
      </c>
      <c r="AP1137">
        <f t="shared" si="527"/>
        <v>65</v>
      </c>
      <c r="AQ1137">
        <f t="shared" si="528"/>
        <v>58</v>
      </c>
      <c r="AR1137">
        <f t="shared" si="529"/>
        <v>45</v>
      </c>
      <c r="AS1137">
        <f t="shared" si="530"/>
        <v>90</v>
      </c>
      <c r="AT1137">
        <f t="shared" si="531"/>
        <v>82</v>
      </c>
      <c r="AU1137">
        <f t="shared" si="532"/>
        <v>50</v>
      </c>
      <c r="AV1137">
        <f t="shared" si="533"/>
        <v>45</v>
      </c>
      <c r="AW1137">
        <f t="shared" si="534"/>
        <v>31</v>
      </c>
      <c r="AX1137">
        <f t="shared" si="535"/>
        <v>79</v>
      </c>
      <c r="AY1137">
        <f t="shared" si="536"/>
        <v>72</v>
      </c>
      <c r="AZ1137">
        <f t="shared" si="537"/>
        <v>40</v>
      </c>
      <c r="BA1137">
        <f t="shared" si="538"/>
        <v>36</v>
      </c>
      <c r="BB1137">
        <f t="shared" si="539"/>
        <v>22</v>
      </c>
    </row>
    <row r="1138" spans="1:54" x14ac:dyDescent="0.15">
      <c r="A1138">
        <v>748</v>
      </c>
      <c r="B1138" t="s">
        <v>3952</v>
      </c>
      <c r="C1138">
        <v>873</v>
      </c>
      <c r="D1138">
        <v>0</v>
      </c>
      <c r="E1138" t="s">
        <v>3953</v>
      </c>
      <c r="G1138" t="s">
        <v>3953</v>
      </c>
      <c r="H1138" t="s">
        <v>3954</v>
      </c>
      <c r="J1138" t="s">
        <v>3955</v>
      </c>
      <c r="K1138">
        <v>42</v>
      </c>
      <c r="L1138">
        <v>1.3</v>
      </c>
      <c r="M1138" t="s">
        <v>202</v>
      </c>
      <c r="N1138" t="s">
        <v>90</v>
      </c>
      <c r="O1138" t="s">
        <v>91</v>
      </c>
      <c r="P1138" t="s">
        <v>3951</v>
      </c>
      <c r="R1138">
        <v>9</v>
      </c>
      <c r="S1138">
        <v>70</v>
      </c>
      <c r="T1138">
        <v>65</v>
      </c>
      <c r="U1138">
        <v>60</v>
      </c>
      <c r="V1138">
        <v>125</v>
      </c>
      <c r="W1138">
        <v>90</v>
      </c>
      <c r="X1138">
        <v>65</v>
      </c>
      <c r="Y1138">
        <f t="shared" si="510"/>
        <v>177</v>
      </c>
      <c r="Z1138">
        <f t="shared" si="511"/>
        <v>177</v>
      </c>
      <c r="AA1138">
        <f t="shared" si="512"/>
        <v>145</v>
      </c>
      <c r="AB1138">
        <f t="shared" si="513"/>
        <v>145</v>
      </c>
      <c r="AC1138">
        <f t="shared" si="514"/>
        <v>130</v>
      </c>
      <c r="AD1138">
        <f t="shared" si="515"/>
        <v>128</v>
      </c>
      <c r="AE1138">
        <f t="shared" si="516"/>
        <v>117</v>
      </c>
      <c r="AF1138">
        <f t="shared" si="517"/>
        <v>85</v>
      </c>
      <c r="AG1138">
        <f t="shared" si="518"/>
        <v>76</v>
      </c>
      <c r="AH1138">
        <f t="shared" si="519"/>
        <v>63</v>
      </c>
      <c r="AI1138">
        <f t="shared" si="520"/>
        <v>123</v>
      </c>
      <c r="AJ1138">
        <f t="shared" si="521"/>
        <v>112</v>
      </c>
      <c r="AK1138">
        <f t="shared" si="522"/>
        <v>80</v>
      </c>
      <c r="AL1138">
        <f t="shared" si="523"/>
        <v>72</v>
      </c>
      <c r="AM1138">
        <f t="shared" si="524"/>
        <v>58</v>
      </c>
      <c r="AN1138">
        <f t="shared" si="525"/>
        <v>194</v>
      </c>
      <c r="AO1138">
        <f t="shared" si="526"/>
        <v>177</v>
      </c>
      <c r="AP1138">
        <f t="shared" si="527"/>
        <v>145</v>
      </c>
      <c r="AQ1138">
        <f t="shared" si="528"/>
        <v>130</v>
      </c>
      <c r="AR1138">
        <f t="shared" si="529"/>
        <v>117</v>
      </c>
      <c r="AS1138">
        <f t="shared" si="530"/>
        <v>156</v>
      </c>
      <c r="AT1138">
        <f t="shared" si="531"/>
        <v>142</v>
      </c>
      <c r="AU1138">
        <f t="shared" si="532"/>
        <v>110</v>
      </c>
      <c r="AV1138">
        <f t="shared" si="533"/>
        <v>99</v>
      </c>
      <c r="AW1138">
        <f t="shared" si="534"/>
        <v>85</v>
      </c>
      <c r="AX1138">
        <f t="shared" si="535"/>
        <v>128</v>
      </c>
      <c r="AY1138">
        <f t="shared" si="536"/>
        <v>117</v>
      </c>
      <c r="AZ1138">
        <f t="shared" si="537"/>
        <v>85</v>
      </c>
      <c r="BA1138">
        <f t="shared" si="538"/>
        <v>76</v>
      </c>
      <c r="BB1138">
        <f t="shared" si="539"/>
        <v>63</v>
      </c>
    </row>
    <row r="1139" spans="1:54" x14ac:dyDescent="0.15">
      <c r="A1139">
        <v>769</v>
      </c>
      <c r="B1139" t="s">
        <v>3956</v>
      </c>
      <c r="C1139">
        <v>874</v>
      </c>
      <c r="D1139">
        <v>0</v>
      </c>
      <c r="E1139" t="s">
        <v>3957</v>
      </c>
      <c r="G1139" t="s">
        <v>3957</v>
      </c>
      <c r="H1139" t="s">
        <v>3958</v>
      </c>
      <c r="J1139" t="s">
        <v>3959</v>
      </c>
      <c r="K1139">
        <v>520</v>
      </c>
      <c r="L1139">
        <v>2.5</v>
      </c>
      <c r="M1139" t="s">
        <v>371</v>
      </c>
      <c r="O1139" t="s">
        <v>3960</v>
      </c>
      <c r="R1139">
        <v>9</v>
      </c>
      <c r="S1139">
        <v>100</v>
      </c>
      <c r="T1139">
        <v>125</v>
      </c>
      <c r="U1139">
        <v>135</v>
      </c>
      <c r="V1139">
        <v>20</v>
      </c>
      <c r="W1139">
        <v>20</v>
      </c>
      <c r="X1139">
        <v>70</v>
      </c>
      <c r="Y1139">
        <f t="shared" si="510"/>
        <v>207</v>
      </c>
      <c r="Z1139">
        <f t="shared" si="511"/>
        <v>207</v>
      </c>
      <c r="AA1139">
        <f t="shared" si="512"/>
        <v>175</v>
      </c>
      <c r="AB1139">
        <f t="shared" si="513"/>
        <v>175</v>
      </c>
      <c r="AC1139">
        <f t="shared" si="514"/>
        <v>160</v>
      </c>
      <c r="AD1139">
        <f t="shared" si="515"/>
        <v>194</v>
      </c>
      <c r="AE1139">
        <f t="shared" si="516"/>
        <v>177</v>
      </c>
      <c r="AF1139">
        <f t="shared" si="517"/>
        <v>145</v>
      </c>
      <c r="AG1139">
        <f t="shared" si="518"/>
        <v>130</v>
      </c>
      <c r="AH1139">
        <f t="shared" si="519"/>
        <v>117</v>
      </c>
      <c r="AI1139">
        <f t="shared" si="520"/>
        <v>205</v>
      </c>
      <c r="AJ1139">
        <f t="shared" si="521"/>
        <v>187</v>
      </c>
      <c r="AK1139">
        <f t="shared" si="522"/>
        <v>155</v>
      </c>
      <c r="AL1139">
        <f t="shared" si="523"/>
        <v>139</v>
      </c>
      <c r="AM1139">
        <f t="shared" si="524"/>
        <v>126</v>
      </c>
      <c r="AN1139">
        <f t="shared" si="525"/>
        <v>79</v>
      </c>
      <c r="AO1139">
        <f t="shared" si="526"/>
        <v>72</v>
      </c>
      <c r="AP1139">
        <f t="shared" si="527"/>
        <v>40</v>
      </c>
      <c r="AQ1139">
        <f t="shared" si="528"/>
        <v>36</v>
      </c>
      <c r="AR1139">
        <f t="shared" si="529"/>
        <v>22</v>
      </c>
      <c r="AS1139">
        <f t="shared" si="530"/>
        <v>79</v>
      </c>
      <c r="AT1139">
        <f t="shared" si="531"/>
        <v>72</v>
      </c>
      <c r="AU1139">
        <f t="shared" si="532"/>
        <v>40</v>
      </c>
      <c r="AV1139">
        <f t="shared" si="533"/>
        <v>36</v>
      </c>
      <c r="AW1139">
        <f t="shared" si="534"/>
        <v>22</v>
      </c>
      <c r="AX1139">
        <f t="shared" si="535"/>
        <v>134</v>
      </c>
      <c r="AY1139">
        <f t="shared" si="536"/>
        <v>122</v>
      </c>
      <c r="AZ1139">
        <f t="shared" si="537"/>
        <v>90</v>
      </c>
      <c r="BA1139">
        <f t="shared" si="538"/>
        <v>81</v>
      </c>
      <c r="BB1139">
        <f t="shared" si="539"/>
        <v>67</v>
      </c>
    </row>
    <row r="1140" spans="1:54" x14ac:dyDescent="0.15">
      <c r="A1140">
        <v>770</v>
      </c>
      <c r="B1140" t="s">
        <v>3961</v>
      </c>
      <c r="C1140">
        <v>875</v>
      </c>
      <c r="D1140">
        <v>0</v>
      </c>
      <c r="E1140" t="s">
        <v>3962</v>
      </c>
      <c r="F1140" t="s">
        <v>3963</v>
      </c>
      <c r="G1140" t="s">
        <v>3964</v>
      </c>
      <c r="H1140" t="s">
        <v>3965</v>
      </c>
      <c r="J1140" t="s">
        <v>1832</v>
      </c>
      <c r="K1140">
        <v>89</v>
      </c>
      <c r="L1140">
        <v>1.4</v>
      </c>
      <c r="M1140" t="s">
        <v>202</v>
      </c>
      <c r="O1140" t="s">
        <v>3963</v>
      </c>
      <c r="R1140">
        <v>9</v>
      </c>
      <c r="S1140">
        <v>75</v>
      </c>
      <c r="T1140">
        <v>80</v>
      </c>
      <c r="U1140">
        <v>110</v>
      </c>
      <c r="V1140">
        <v>65</v>
      </c>
      <c r="W1140">
        <v>90</v>
      </c>
      <c r="X1140">
        <v>50</v>
      </c>
      <c r="Y1140">
        <f t="shared" si="510"/>
        <v>182</v>
      </c>
      <c r="Z1140">
        <f t="shared" si="511"/>
        <v>182</v>
      </c>
      <c r="AA1140">
        <f t="shared" si="512"/>
        <v>150</v>
      </c>
      <c r="AB1140">
        <f t="shared" si="513"/>
        <v>150</v>
      </c>
      <c r="AC1140">
        <f t="shared" si="514"/>
        <v>135</v>
      </c>
      <c r="AD1140">
        <f t="shared" si="515"/>
        <v>145</v>
      </c>
      <c r="AE1140">
        <f t="shared" si="516"/>
        <v>132</v>
      </c>
      <c r="AF1140">
        <f t="shared" si="517"/>
        <v>100</v>
      </c>
      <c r="AG1140">
        <f t="shared" si="518"/>
        <v>90</v>
      </c>
      <c r="AH1140">
        <f t="shared" si="519"/>
        <v>76</v>
      </c>
      <c r="AI1140">
        <f t="shared" si="520"/>
        <v>178</v>
      </c>
      <c r="AJ1140">
        <f t="shared" si="521"/>
        <v>162</v>
      </c>
      <c r="AK1140">
        <f t="shared" si="522"/>
        <v>130</v>
      </c>
      <c r="AL1140">
        <f t="shared" si="523"/>
        <v>117</v>
      </c>
      <c r="AM1140">
        <f t="shared" si="524"/>
        <v>103</v>
      </c>
      <c r="AN1140">
        <f t="shared" si="525"/>
        <v>128</v>
      </c>
      <c r="AO1140">
        <f t="shared" si="526"/>
        <v>117</v>
      </c>
      <c r="AP1140">
        <f t="shared" si="527"/>
        <v>85</v>
      </c>
      <c r="AQ1140">
        <f t="shared" si="528"/>
        <v>76</v>
      </c>
      <c r="AR1140">
        <f t="shared" si="529"/>
        <v>63</v>
      </c>
      <c r="AS1140">
        <f t="shared" si="530"/>
        <v>156</v>
      </c>
      <c r="AT1140">
        <f t="shared" si="531"/>
        <v>142</v>
      </c>
      <c r="AU1140">
        <f t="shared" si="532"/>
        <v>110</v>
      </c>
      <c r="AV1140">
        <f t="shared" si="533"/>
        <v>99</v>
      </c>
      <c r="AW1140">
        <f t="shared" si="534"/>
        <v>85</v>
      </c>
      <c r="AX1140">
        <f t="shared" si="535"/>
        <v>112</v>
      </c>
      <c r="AY1140">
        <f t="shared" si="536"/>
        <v>102</v>
      </c>
      <c r="AZ1140">
        <f t="shared" si="537"/>
        <v>70</v>
      </c>
      <c r="BA1140">
        <f t="shared" si="538"/>
        <v>63</v>
      </c>
      <c r="BB1140">
        <f t="shared" si="539"/>
        <v>49</v>
      </c>
    </row>
    <row r="1141" spans="1:54" x14ac:dyDescent="0.15">
      <c r="A1141">
        <v>771</v>
      </c>
      <c r="B1141" t="s">
        <v>3966</v>
      </c>
      <c r="C1141">
        <v>875</v>
      </c>
      <c r="D1141">
        <v>1</v>
      </c>
      <c r="E1141" t="s">
        <v>3962</v>
      </c>
      <c r="F1141" t="s">
        <v>3967</v>
      </c>
      <c r="G1141" t="s">
        <v>3968</v>
      </c>
      <c r="H1141" t="s">
        <v>3969</v>
      </c>
      <c r="J1141" t="s">
        <v>1832</v>
      </c>
      <c r="K1141">
        <v>89</v>
      </c>
      <c r="L1141">
        <v>1.4</v>
      </c>
      <c r="M1141" t="s">
        <v>202</v>
      </c>
      <c r="O1141" t="s">
        <v>3963</v>
      </c>
      <c r="R1141">
        <v>9</v>
      </c>
      <c r="S1141">
        <v>75</v>
      </c>
      <c r="T1141">
        <v>80</v>
      </c>
      <c r="U1141">
        <v>70</v>
      </c>
      <c r="V1141">
        <v>65</v>
      </c>
      <c r="W1141">
        <v>50</v>
      </c>
      <c r="X1141">
        <v>130</v>
      </c>
      <c r="Y1141">
        <f t="shared" si="510"/>
        <v>182</v>
      </c>
      <c r="Z1141">
        <f t="shared" si="511"/>
        <v>182</v>
      </c>
      <c r="AA1141">
        <f t="shared" si="512"/>
        <v>150</v>
      </c>
      <c r="AB1141">
        <f t="shared" si="513"/>
        <v>150</v>
      </c>
      <c r="AC1141">
        <f t="shared" si="514"/>
        <v>135</v>
      </c>
      <c r="AD1141">
        <f t="shared" si="515"/>
        <v>145</v>
      </c>
      <c r="AE1141">
        <f t="shared" si="516"/>
        <v>132</v>
      </c>
      <c r="AF1141">
        <f t="shared" si="517"/>
        <v>100</v>
      </c>
      <c r="AG1141">
        <f t="shared" si="518"/>
        <v>90</v>
      </c>
      <c r="AH1141">
        <f t="shared" si="519"/>
        <v>76</v>
      </c>
      <c r="AI1141">
        <f t="shared" si="520"/>
        <v>134</v>
      </c>
      <c r="AJ1141">
        <f t="shared" si="521"/>
        <v>122</v>
      </c>
      <c r="AK1141">
        <f t="shared" si="522"/>
        <v>90</v>
      </c>
      <c r="AL1141">
        <f t="shared" si="523"/>
        <v>81</v>
      </c>
      <c r="AM1141">
        <f t="shared" si="524"/>
        <v>67</v>
      </c>
      <c r="AN1141">
        <f t="shared" si="525"/>
        <v>128</v>
      </c>
      <c r="AO1141">
        <f t="shared" si="526"/>
        <v>117</v>
      </c>
      <c r="AP1141">
        <f t="shared" si="527"/>
        <v>85</v>
      </c>
      <c r="AQ1141">
        <f t="shared" si="528"/>
        <v>76</v>
      </c>
      <c r="AR1141">
        <f t="shared" si="529"/>
        <v>63</v>
      </c>
      <c r="AS1141">
        <f t="shared" si="530"/>
        <v>112</v>
      </c>
      <c r="AT1141">
        <f t="shared" si="531"/>
        <v>102</v>
      </c>
      <c r="AU1141">
        <f t="shared" si="532"/>
        <v>70</v>
      </c>
      <c r="AV1141">
        <f t="shared" si="533"/>
        <v>63</v>
      </c>
      <c r="AW1141">
        <f t="shared" si="534"/>
        <v>49</v>
      </c>
      <c r="AX1141">
        <f t="shared" si="535"/>
        <v>200</v>
      </c>
      <c r="AY1141">
        <f t="shared" si="536"/>
        <v>182</v>
      </c>
      <c r="AZ1141">
        <f t="shared" si="537"/>
        <v>150</v>
      </c>
      <c r="BA1141">
        <f t="shared" si="538"/>
        <v>135</v>
      </c>
      <c r="BB1141">
        <f t="shared" si="539"/>
        <v>121</v>
      </c>
    </row>
    <row r="1142" spans="1:54" x14ac:dyDescent="0.15">
      <c r="A1142">
        <v>743</v>
      </c>
      <c r="B1142" t="s">
        <v>3970</v>
      </c>
      <c r="C1142">
        <v>876</v>
      </c>
      <c r="D1142">
        <v>0</v>
      </c>
      <c r="E1142" t="s">
        <v>3971</v>
      </c>
      <c r="F1142" t="s">
        <v>3075</v>
      </c>
      <c r="G1142" t="s">
        <v>3972</v>
      </c>
      <c r="H1142" t="s">
        <v>3973</v>
      </c>
      <c r="J1142" t="s">
        <v>1361</v>
      </c>
      <c r="K1142">
        <v>28</v>
      </c>
      <c r="L1142">
        <v>0.9</v>
      </c>
      <c r="M1142" t="s">
        <v>191</v>
      </c>
      <c r="N1142" t="s">
        <v>120</v>
      </c>
      <c r="O1142" t="s">
        <v>268</v>
      </c>
      <c r="P1142" t="s">
        <v>393</v>
      </c>
      <c r="Q1142" t="s">
        <v>3585</v>
      </c>
      <c r="R1142">
        <v>9</v>
      </c>
      <c r="S1142">
        <v>60</v>
      </c>
      <c r="T1142">
        <v>65</v>
      </c>
      <c r="U1142">
        <v>55</v>
      </c>
      <c r="V1142">
        <v>105</v>
      </c>
      <c r="W1142">
        <v>95</v>
      </c>
      <c r="X1142">
        <v>95</v>
      </c>
      <c r="Y1142">
        <f t="shared" si="510"/>
        <v>167</v>
      </c>
      <c r="Z1142">
        <f t="shared" si="511"/>
        <v>167</v>
      </c>
      <c r="AA1142">
        <f t="shared" si="512"/>
        <v>135</v>
      </c>
      <c r="AB1142">
        <f t="shared" si="513"/>
        <v>135</v>
      </c>
      <c r="AC1142">
        <f t="shared" si="514"/>
        <v>120</v>
      </c>
      <c r="AD1142">
        <f t="shared" si="515"/>
        <v>128</v>
      </c>
      <c r="AE1142">
        <f t="shared" si="516"/>
        <v>117</v>
      </c>
      <c r="AF1142">
        <f t="shared" si="517"/>
        <v>85</v>
      </c>
      <c r="AG1142">
        <f t="shared" si="518"/>
        <v>76</v>
      </c>
      <c r="AH1142">
        <f t="shared" si="519"/>
        <v>63</v>
      </c>
      <c r="AI1142">
        <f t="shared" si="520"/>
        <v>117</v>
      </c>
      <c r="AJ1142">
        <f t="shared" si="521"/>
        <v>107</v>
      </c>
      <c r="AK1142">
        <f t="shared" si="522"/>
        <v>75</v>
      </c>
      <c r="AL1142">
        <f t="shared" si="523"/>
        <v>67</v>
      </c>
      <c r="AM1142">
        <f t="shared" si="524"/>
        <v>54</v>
      </c>
      <c r="AN1142">
        <f t="shared" si="525"/>
        <v>172</v>
      </c>
      <c r="AO1142">
        <f t="shared" si="526"/>
        <v>157</v>
      </c>
      <c r="AP1142">
        <f t="shared" si="527"/>
        <v>125</v>
      </c>
      <c r="AQ1142">
        <f t="shared" si="528"/>
        <v>112</v>
      </c>
      <c r="AR1142">
        <f t="shared" si="529"/>
        <v>99</v>
      </c>
      <c r="AS1142">
        <f t="shared" si="530"/>
        <v>161</v>
      </c>
      <c r="AT1142">
        <f t="shared" si="531"/>
        <v>147</v>
      </c>
      <c r="AU1142">
        <f t="shared" si="532"/>
        <v>115</v>
      </c>
      <c r="AV1142">
        <f t="shared" si="533"/>
        <v>103</v>
      </c>
      <c r="AW1142">
        <f t="shared" si="534"/>
        <v>90</v>
      </c>
      <c r="AX1142">
        <f t="shared" si="535"/>
        <v>161</v>
      </c>
      <c r="AY1142">
        <f t="shared" si="536"/>
        <v>147</v>
      </c>
      <c r="AZ1142">
        <f t="shared" si="537"/>
        <v>115</v>
      </c>
      <c r="BA1142">
        <f t="shared" si="538"/>
        <v>103</v>
      </c>
      <c r="BB1142">
        <f t="shared" si="539"/>
        <v>90</v>
      </c>
    </row>
    <row r="1143" spans="1:54" x14ac:dyDescent="0.15">
      <c r="A1143">
        <v>744</v>
      </c>
      <c r="B1143" t="s">
        <v>3974</v>
      </c>
      <c r="C1143">
        <v>876</v>
      </c>
      <c r="D1143">
        <v>1</v>
      </c>
      <c r="E1143" t="s">
        <v>3971</v>
      </c>
      <c r="F1143" t="s">
        <v>3080</v>
      </c>
      <c r="G1143" t="s">
        <v>3975</v>
      </c>
      <c r="H1143" t="s">
        <v>3976</v>
      </c>
      <c r="J1143" t="s">
        <v>1361</v>
      </c>
      <c r="K1143">
        <v>28</v>
      </c>
      <c r="L1143">
        <v>0.9</v>
      </c>
      <c r="M1143" t="s">
        <v>191</v>
      </c>
      <c r="N1143" t="s">
        <v>120</v>
      </c>
      <c r="O1143" t="s">
        <v>470</v>
      </c>
      <c r="P1143" t="s">
        <v>393</v>
      </c>
      <c r="Q1143" t="s">
        <v>3585</v>
      </c>
      <c r="R1143">
        <v>9</v>
      </c>
      <c r="S1143">
        <v>70</v>
      </c>
      <c r="T1143">
        <v>55</v>
      </c>
      <c r="U1143">
        <v>65</v>
      </c>
      <c r="V1143">
        <v>95</v>
      </c>
      <c r="W1143">
        <v>105</v>
      </c>
      <c r="X1143">
        <v>85</v>
      </c>
      <c r="Y1143">
        <f t="shared" si="510"/>
        <v>177</v>
      </c>
      <c r="Z1143">
        <f t="shared" si="511"/>
        <v>177</v>
      </c>
      <c r="AA1143">
        <f t="shared" si="512"/>
        <v>145</v>
      </c>
      <c r="AB1143">
        <f t="shared" si="513"/>
        <v>145</v>
      </c>
      <c r="AC1143">
        <f t="shared" si="514"/>
        <v>130</v>
      </c>
      <c r="AD1143">
        <f t="shared" si="515"/>
        <v>117</v>
      </c>
      <c r="AE1143">
        <f t="shared" si="516"/>
        <v>107</v>
      </c>
      <c r="AF1143">
        <f t="shared" si="517"/>
        <v>75</v>
      </c>
      <c r="AG1143">
        <f t="shared" si="518"/>
        <v>67</v>
      </c>
      <c r="AH1143">
        <f t="shared" si="519"/>
        <v>54</v>
      </c>
      <c r="AI1143">
        <f t="shared" si="520"/>
        <v>128</v>
      </c>
      <c r="AJ1143">
        <f t="shared" si="521"/>
        <v>117</v>
      </c>
      <c r="AK1143">
        <f t="shared" si="522"/>
        <v>85</v>
      </c>
      <c r="AL1143">
        <f t="shared" si="523"/>
        <v>76</v>
      </c>
      <c r="AM1143">
        <f t="shared" si="524"/>
        <v>63</v>
      </c>
      <c r="AN1143">
        <f t="shared" si="525"/>
        <v>161</v>
      </c>
      <c r="AO1143">
        <f t="shared" si="526"/>
        <v>147</v>
      </c>
      <c r="AP1143">
        <f t="shared" si="527"/>
        <v>115</v>
      </c>
      <c r="AQ1143">
        <f t="shared" si="528"/>
        <v>103</v>
      </c>
      <c r="AR1143">
        <f t="shared" si="529"/>
        <v>90</v>
      </c>
      <c r="AS1143">
        <f t="shared" si="530"/>
        <v>172</v>
      </c>
      <c r="AT1143">
        <f t="shared" si="531"/>
        <v>157</v>
      </c>
      <c r="AU1143">
        <f t="shared" si="532"/>
        <v>125</v>
      </c>
      <c r="AV1143">
        <f t="shared" si="533"/>
        <v>112</v>
      </c>
      <c r="AW1143">
        <f t="shared" si="534"/>
        <v>99</v>
      </c>
      <c r="AX1143">
        <f t="shared" si="535"/>
        <v>150</v>
      </c>
      <c r="AY1143">
        <f t="shared" si="536"/>
        <v>137</v>
      </c>
      <c r="AZ1143">
        <f t="shared" si="537"/>
        <v>105</v>
      </c>
      <c r="BA1143">
        <f t="shared" si="538"/>
        <v>94</v>
      </c>
      <c r="BB1143">
        <f t="shared" si="539"/>
        <v>81</v>
      </c>
    </row>
    <row r="1144" spans="1:54" x14ac:dyDescent="0.15">
      <c r="A1144">
        <v>741</v>
      </c>
      <c r="B1144" t="s">
        <v>3977</v>
      </c>
      <c r="C1144">
        <v>877</v>
      </c>
      <c r="D1144">
        <v>0</v>
      </c>
      <c r="E1144" t="s">
        <v>3978</v>
      </c>
      <c r="F1144" t="s">
        <v>3979</v>
      </c>
      <c r="G1144" t="s">
        <v>3978</v>
      </c>
      <c r="H1144" t="s">
        <v>3980</v>
      </c>
      <c r="J1144" t="s">
        <v>3981</v>
      </c>
      <c r="K1144">
        <v>3</v>
      </c>
      <c r="L1144">
        <v>0.3</v>
      </c>
      <c r="M1144" t="s">
        <v>164</v>
      </c>
      <c r="N1144" t="s">
        <v>140</v>
      </c>
      <c r="O1144" t="s">
        <v>3982</v>
      </c>
      <c r="R1144">
        <v>9</v>
      </c>
      <c r="S1144">
        <v>58</v>
      </c>
      <c r="T1144">
        <v>95</v>
      </c>
      <c r="U1144">
        <v>58</v>
      </c>
      <c r="V1144">
        <v>70</v>
      </c>
      <c r="W1144">
        <v>58</v>
      </c>
      <c r="X1144">
        <v>97</v>
      </c>
      <c r="Y1144">
        <f t="shared" si="510"/>
        <v>165</v>
      </c>
      <c r="Z1144">
        <f t="shared" si="511"/>
        <v>165</v>
      </c>
      <c r="AA1144">
        <f t="shared" si="512"/>
        <v>133</v>
      </c>
      <c r="AB1144">
        <f t="shared" si="513"/>
        <v>133</v>
      </c>
      <c r="AC1144">
        <f t="shared" si="514"/>
        <v>118</v>
      </c>
      <c r="AD1144">
        <f t="shared" si="515"/>
        <v>161</v>
      </c>
      <c r="AE1144">
        <f t="shared" si="516"/>
        <v>147</v>
      </c>
      <c r="AF1144">
        <f t="shared" si="517"/>
        <v>115</v>
      </c>
      <c r="AG1144">
        <f t="shared" si="518"/>
        <v>103</v>
      </c>
      <c r="AH1144">
        <f t="shared" si="519"/>
        <v>90</v>
      </c>
      <c r="AI1144">
        <f t="shared" si="520"/>
        <v>121</v>
      </c>
      <c r="AJ1144">
        <f t="shared" si="521"/>
        <v>110</v>
      </c>
      <c r="AK1144">
        <f t="shared" si="522"/>
        <v>78</v>
      </c>
      <c r="AL1144">
        <f t="shared" si="523"/>
        <v>70</v>
      </c>
      <c r="AM1144">
        <f t="shared" si="524"/>
        <v>56</v>
      </c>
      <c r="AN1144">
        <f t="shared" si="525"/>
        <v>134</v>
      </c>
      <c r="AO1144">
        <f t="shared" si="526"/>
        <v>122</v>
      </c>
      <c r="AP1144">
        <f t="shared" si="527"/>
        <v>90</v>
      </c>
      <c r="AQ1144">
        <f t="shared" si="528"/>
        <v>81</v>
      </c>
      <c r="AR1144">
        <f t="shared" si="529"/>
        <v>67</v>
      </c>
      <c r="AS1144">
        <f t="shared" si="530"/>
        <v>121</v>
      </c>
      <c r="AT1144">
        <f t="shared" si="531"/>
        <v>110</v>
      </c>
      <c r="AU1144">
        <f t="shared" si="532"/>
        <v>78</v>
      </c>
      <c r="AV1144">
        <f t="shared" si="533"/>
        <v>70</v>
      </c>
      <c r="AW1144">
        <f t="shared" si="534"/>
        <v>56</v>
      </c>
      <c r="AX1144">
        <f t="shared" si="535"/>
        <v>163</v>
      </c>
      <c r="AY1144">
        <f t="shared" si="536"/>
        <v>149</v>
      </c>
      <c r="AZ1144">
        <f t="shared" si="537"/>
        <v>117</v>
      </c>
      <c r="BA1144">
        <f t="shared" si="538"/>
        <v>105</v>
      </c>
      <c r="BB1144">
        <f t="shared" si="539"/>
        <v>91</v>
      </c>
    </row>
    <row r="1145" spans="1:54" x14ac:dyDescent="0.15">
      <c r="A1145">
        <v>728</v>
      </c>
      <c r="B1145" t="s">
        <v>3983</v>
      </c>
      <c r="C1145">
        <v>878</v>
      </c>
      <c r="D1145">
        <v>0</v>
      </c>
      <c r="E1145" t="s">
        <v>3984</v>
      </c>
      <c r="G1145" t="s">
        <v>3984</v>
      </c>
      <c r="H1145" t="s">
        <v>3985</v>
      </c>
      <c r="J1145" t="s">
        <v>3986</v>
      </c>
      <c r="K1145">
        <v>100</v>
      </c>
      <c r="L1145">
        <v>1.2</v>
      </c>
      <c r="M1145" t="s">
        <v>203</v>
      </c>
      <c r="O1145" t="s">
        <v>222</v>
      </c>
      <c r="P1145" t="s">
        <v>1453</v>
      </c>
      <c r="R1145">
        <v>9</v>
      </c>
      <c r="S1145">
        <v>72</v>
      </c>
      <c r="T1145">
        <v>80</v>
      </c>
      <c r="U1145">
        <v>49</v>
      </c>
      <c r="V1145">
        <v>40</v>
      </c>
      <c r="W1145">
        <v>49</v>
      </c>
      <c r="X1145">
        <v>40</v>
      </c>
      <c r="Y1145">
        <f t="shared" si="510"/>
        <v>179</v>
      </c>
      <c r="Z1145">
        <f t="shared" si="511"/>
        <v>179</v>
      </c>
      <c r="AA1145">
        <f t="shared" si="512"/>
        <v>147</v>
      </c>
      <c r="AB1145">
        <f t="shared" si="513"/>
        <v>147</v>
      </c>
      <c r="AC1145">
        <f t="shared" si="514"/>
        <v>132</v>
      </c>
      <c r="AD1145">
        <f t="shared" si="515"/>
        <v>145</v>
      </c>
      <c r="AE1145">
        <f t="shared" si="516"/>
        <v>132</v>
      </c>
      <c r="AF1145">
        <f t="shared" si="517"/>
        <v>100</v>
      </c>
      <c r="AG1145">
        <f t="shared" si="518"/>
        <v>90</v>
      </c>
      <c r="AH1145">
        <f t="shared" si="519"/>
        <v>76</v>
      </c>
      <c r="AI1145">
        <f t="shared" si="520"/>
        <v>111</v>
      </c>
      <c r="AJ1145">
        <f t="shared" si="521"/>
        <v>101</v>
      </c>
      <c r="AK1145">
        <f t="shared" si="522"/>
        <v>69</v>
      </c>
      <c r="AL1145">
        <f t="shared" si="523"/>
        <v>62</v>
      </c>
      <c r="AM1145">
        <f t="shared" si="524"/>
        <v>48</v>
      </c>
      <c r="AN1145">
        <f t="shared" si="525"/>
        <v>101</v>
      </c>
      <c r="AO1145">
        <f t="shared" si="526"/>
        <v>92</v>
      </c>
      <c r="AP1145">
        <f t="shared" si="527"/>
        <v>60</v>
      </c>
      <c r="AQ1145">
        <f t="shared" si="528"/>
        <v>54</v>
      </c>
      <c r="AR1145">
        <f t="shared" si="529"/>
        <v>40</v>
      </c>
      <c r="AS1145">
        <f t="shared" si="530"/>
        <v>111</v>
      </c>
      <c r="AT1145">
        <f t="shared" si="531"/>
        <v>101</v>
      </c>
      <c r="AU1145">
        <f t="shared" si="532"/>
        <v>69</v>
      </c>
      <c r="AV1145">
        <f t="shared" si="533"/>
        <v>62</v>
      </c>
      <c r="AW1145">
        <f t="shared" si="534"/>
        <v>48</v>
      </c>
      <c r="AX1145">
        <f t="shared" si="535"/>
        <v>101</v>
      </c>
      <c r="AY1145">
        <f t="shared" si="536"/>
        <v>92</v>
      </c>
      <c r="AZ1145">
        <f t="shared" si="537"/>
        <v>60</v>
      </c>
      <c r="BA1145">
        <f t="shared" si="538"/>
        <v>54</v>
      </c>
      <c r="BB1145">
        <f t="shared" si="539"/>
        <v>40</v>
      </c>
    </row>
    <row r="1146" spans="1:54" x14ac:dyDescent="0.15">
      <c r="A1146">
        <v>729</v>
      </c>
      <c r="B1146" t="s">
        <v>3987</v>
      </c>
      <c r="C1146">
        <v>879</v>
      </c>
      <c r="D1146">
        <v>0</v>
      </c>
      <c r="E1146" t="s">
        <v>3988</v>
      </c>
      <c r="G1146" t="s">
        <v>3988</v>
      </c>
      <c r="H1146" t="s">
        <v>3989</v>
      </c>
      <c r="J1146" t="s">
        <v>3986</v>
      </c>
      <c r="K1146">
        <v>650</v>
      </c>
      <c r="L1146">
        <v>3</v>
      </c>
      <c r="M1146" t="s">
        <v>203</v>
      </c>
      <c r="O1146" t="s">
        <v>222</v>
      </c>
      <c r="P1146" t="s">
        <v>1453</v>
      </c>
      <c r="R1146">
        <v>9</v>
      </c>
      <c r="S1146">
        <v>122</v>
      </c>
      <c r="T1146">
        <v>130</v>
      </c>
      <c r="U1146">
        <v>69</v>
      </c>
      <c r="V1146">
        <v>80</v>
      </c>
      <c r="W1146">
        <v>69</v>
      </c>
      <c r="X1146">
        <v>30</v>
      </c>
      <c r="Y1146">
        <f t="shared" si="510"/>
        <v>229</v>
      </c>
      <c r="Z1146">
        <f t="shared" si="511"/>
        <v>229</v>
      </c>
      <c r="AA1146">
        <f t="shared" si="512"/>
        <v>197</v>
      </c>
      <c r="AB1146">
        <f t="shared" si="513"/>
        <v>197</v>
      </c>
      <c r="AC1146">
        <f t="shared" si="514"/>
        <v>182</v>
      </c>
      <c r="AD1146">
        <f t="shared" si="515"/>
        <v>200</v>
      </c>
      <c r="AE1146">
        <f t="shared" si="516"/>
        <v>182</v>
      </c>
      <c r="AF1146">
        <f t="shared" si="517"/>
        <v>150</v>
      </c>
      <c r="AG1146">
        <f t="shared" si="518"/>
        <v>135</v>
      </c>
      <c r="AH1146">
        <f t="shared" si="519"/>
        <v>121</v>
      </c>
      <c r="AI1146">
        <f t="shared" si="520"/>
        <v>133</v>
      </c>
      <c r="AJ1146">
        <f t="shared" si="521"/>
        <v>121</v>
      </c>
      <c r="AK1146">
        <f t="shared" si="522"/>
        <v>89</v>
      </c>
      <c r="AL1146">
        <f t="shared" si="523"/>
        <v>80</v>
      </c>
      <c r="AM1146">
        <f t="shared" si="524"/>
        <v>66</v>
      </c>
      <c r="AN1146">
        <f t="shared" si="525"/>
        <v>145</v>
      </c>
      <c r="AO1146">
        <f t="shared" si="526"/>
        <v>132</v>
      </c>
      <c r="AP1146">
        <f t="shared" si="527"/>
        <v>100</v>
      </c>
      <c r="AQ1146">
        <f t="shared" si="528"/>
        <v>90</v>
      </c>
      <c r="AR1146">
        <f t="shared" si="529"/>
        <v>76</v>
      </c>
      <c r="AS1146">
        <f t="shared" si="530"/>
        <v>133</v>
      </c>
      <c r="AT1146">
        <f t="shared" si="531"/>
        <v>121</v>
      </c>
      <c r="AU1146">
        <f t="shared" si="532"/>
        <v>89</v>
      </c>
      <c r="AV1146">
        <f t="shared" si="533"/>
        <v>80</v>
      </c>
      <c r="AW1146">
        <f t="shared" si="534"/>
        <v>66</v>
      </c>
      <c r="AX1146">
        <f t="shared" si="535"/>
        <v>90</v>
      </c>
      <c r="AY1146">
        <f t="shared" si="536"/>
        <v>82</v>
      </c>
      <c r="AZ1146">
        <f t="shared" si="537"/>
        <v>50</v>
      </c>
      <c r="BA1146">
        <f t="shared" si="538"/>
        <v>45</v>
      </c>
      <c r="BB1146">
        <f t="shared" si="539"/>
        <v>31</v>
      </c>
    </row>
    <row r="1147" spans="1:54" x14ac:dyDescent="0.15">
      <c r="B1147" t="s">
        <v>3990</v>
      </c>
      <c r="C1147">
        <v>879</v>
      </c>
      <c r="D1147">
        <v>999</v>
      </c>
      <c r="E1147" t="s">
        <v>3988</v>
      </c>
      <c r="F1147" t="s">
        <v>40</v>
      </c>
      <c r="G1147" t="s">
        <v>3991</v>
      </c>
      <c r="J1147" t="s">
        <v>42</v>
      </c>
      <c r="K1147">
        <v>9999.9</v>
      </c>
      <c r="L1147">
        <v>23</v>
      </c>
      <c r="M1147" t="s">
        <v>203</v>
      </c>
      <c r="O1147" t="s">
        <v>222</v>
      </c>
      <c r="P1147" t="s">
        <v>1453</v>
      </c>
      <c r="R1147">
        <v>8</v>
      </c>
      <c r="S1147">
        <v>122</v>
      </c>
      <c r="T1147">
        <v>130</v>
      </c>
      <c r="U1147">
        <v>69</v>
      </c>
      <c r="V1147">
        <v>80</v>
      </c>
      <c r="W1147">
        <v>69</v>
      </c>
      <c r="X1147">
        <v>30</v>
      </c>
      <c r="Y1147">
        <f t="shared" si="510"/>
        <v>229</v>
      </c>
      <c r="Z1147">
        <f t="shared" si="511"/>
        <v>229</v>
      </c>
      <c r="AA1147">
        <f t="shared" si="512"/>
        <v>197</v>
      </c>
      <c r="AB1147">
        <f t="shared" si="513"/>
        <v>197</v>
      </c>
      <c r="AC1147">
        <f t="shared" si="514"/>
        <v>182</v>
      </c>
      <c r="AD1147">
        <f t="shared" si="515"/>
        <v>200</v>
      </c>
      <c r="AE1147">
        <f t="shared" si="516"/>
        <v>182</v>
      </c>
      <c r="AF1147">
        <f t="shared" si="517"/>
        <v>150</v>
      </c>
      <c r="AG1147">
        <f t="shared" si="518"/>
        <v>135</v>
      </c>
      <c r="AH1147">
        <f t="shared" si="519"/>
        <v>121</v>
      </c>
      <c r="AI1147">
        <f t="shared" si="520"/>
        <v>133</v>
      </c>
      <c r="AJ1147">
        <f t="shared" si="521"/>
        <v>121</v>
      </c>
      <c r="AK1147">
        <f t="shared" si="522"/>
        <v>89</v>
      </c>
      <c r="AL1147">
        <f t="shared" si="523"/>
        <v>80</v>
      </c>
      <c r="AM1147">
        <f t="shared" si="524"/>
        <v>66</v>
      </c>
      <c r="AN1147">
        <f t="shared" si="525"/>
        <v>145</v>
      </c>
      <c r="AO1147">
        <f t="shared" si="526"/>
        <v>132</v>
      </c>
      <c r="AP1147">
        <f t="shared" si="527"/>
        <v>100</v>
      </c>
      <c r="AQ1147">
        <f t="shared" si="528"/>
        <v>90</v>
      </c>
      <c r="AR1147">
        <f t="shared" si="529"/>
        <v>76</v>
      </c>
      <c r="AS1147">
        <f t="shared" si="530"/>
        <v>133</v>
      </c>
      <c r="AT1147">
        <f t="shared" si="531"/>
        <v>121</v>
      </c>
      <c r="AU1147">
        <f t="shared" si="532"/>
        <v>89</v>
      </c>
      <c r="AV1147">
        <f t="shared" si="533"/>
        <v>80</v>
      </c>
      <c r="AW1147">
        <f t="shared" si="534"/>
        <v>66</v>
      </c>
      <c r="AX1147">
        <f t="shared" si="535"/>
        <v>90</v>
      </c>
      <c r="AY1147">
        <f t="shared" si="536"/>
        <v>82</v>
      </c>
      <c r="AZ1147">
        <f t="shared" si="537"/>
        <v>50</v>
      </c>
      <c r="BA1147">
        <f t="shared" si="538"/>
        <v>45</v>
      </c>
      <c r="BB1147">
        <f t="shared" si="539"/>
        <v>31</v>
      </c>
    </row>
    <row r="1148" spans="1:54" x14ac:dyDescent="0.15">
      <c r="B1148" t="s">
        <v>3992</v>
      </c>
      <c r="C1148">
        <v>880</v>
      </c>
      <c r="D1148">
        <v>0</v>
      </c>
      <c r="E1148" t="s">
        <v>3993</v>
      </c>
      <c r="G1148" t="s">
        <v>3993</v>
      </c>
      <c r="J1148" t="s">
        <v>791</v>
      </c>
      <c r="K1148">
        <v>190</v>
      </c>
      <c r="L1148">
        <v>1.8</v>
      </c>
      <c r="M1148" t="s">
        <v>164</v>
      </c>
      <c r="N1148" t="s">
        <v>60</v>
      </c>
      <c r="O1148" t="s">
        <v>769</v>
      </c>
      <c r="P1148" t="s">
        <v>136</v>
      </c>
      <c r="Q1148" t="s">
        <v>198</v>
      </c>
      <c r="R1148">
        <v>8</v>
      </c>
      <c r="S1148">
        <v>90</v>
      </c>
      <c r="T1148">
        <v>100</v>
      </c>
      <c r="U1148">
        <v>90</v>
      </c>
      <c r="V1148">
        <v>80</v>
      </c>
      <c r="W1148">
        <v>70</v>
      </c>
      <c r="X1148">
        <v>75</v>
      </c>
      <c r="Y1148">
        <f t="shared" si="510"/>
        <v>197</v>
      </c>
      <c r="Z1148">
        <f t="shared" si="511"/>
        <v>197</v>
      </c>
      <c r="AA1148">
        <f t="shared" si="512"/>
        <v>165</v>
      </c>
      <c r="AB1148">
        <f t="shared" si="513"/>
        <v>165</v>
      </c>
      <c r="AC1148">
        <f t="shared" si="514"/>
        <v>150</v>
      </c>
      <c r="AD1148">
        <f t="shared" si="515"/>
        <v>167</v>
      </c>
      <c r="AE1148">
        <f t="shared" si="516"/>
        <v>152</v>
      </c>
      <c r="AF1148">
        <f t="shared" si="517"/>
        <v>120</v>
      </c>
      <c r="AG1148">
        <f t="shared" si="518"/>
        <v>108</v>
      </c>
      <c r="AH1148">
        <f t="shared" si="519"/>
        <v>94</v>
      </c>
      <c r="AI1148">
        <f t="shared" si="520"/>
        <v>156</v>
      </c>
      <c r="AJ1148">
        <f t="shared" si="521"/>
        <v>142</v>
      </c>
      <c r="AK1148">
        <f t="shared" si="522"/>
        <v>110</v>
      </c>
      <c r="AL1148">
        <f t="shared" si="523"/>
        <v>99</v>
      </c>
      <c r="AM1148">
        <f t="shared" si="524"/>
        <v>85</v>
      </c>
      <c r="AN1148">
        <f t="shared" si="525"/>
        <v>145</v>
      </c>
      <c r="AO1148">
        <f t="shared" si="526"/>
        <v>132</v>
      </c>
      <c r="AP1148">
        <f t="shared" si="527"/>
        <v>100</v>
      </c>
      <c r="AQ1148">
        <f t="shared" si="528"/>
        <v>90</v>
      </c>
      <c r="AR1148">
        <f t="shared" si="529"/>
        <v>76</v>
      </c>
      <c r="AS1148">
        <f t="shared" si="530"/>
        <v>134</v>
      </c>
      <c r="AT1148">
        <f t="shared" si="531"/>
        <v>122</v>
      </c>
      <c r="AU1148">
        <f t="shared" si="532"/>
        <v>90</v>
      </c>
      <c r="AV1148">
        <f t="shared" si="533"/>
        <v>81</v>
      </c>
      <c r="AW1148">
        <f t="shared" si="534"/>
        <v>67</v>
      </c>
      <c r="AX1148">
        <f t="shared" si="535"/>
        <v>139</v>
      </c>
      <c r="AY1148">
        <f t="shared" si="536"/>
        <v>127</v>
      </c>
      <c r="AZ1148">
        <f t="shared" si="537"/>
        <v>95</v>
      </c>
      <c r="BA1148">
        <f t="shared" si="538"/>
        <v>85</v>
      </c>
      <c r="BB1148">
        <f t="shared" si="539"/>
        <v>72</v>
      </c>
    </row>
    <row r="1149" spans="1:54" x14ac:dyDescent="0.15">
      <c r="B1149" t="s">
        <v>3994</v>
      </c>
      <c r="C1149">
        <v>881</v>
      </c>
      <c r="D1149">
        <v>0</v>
      </c>
      <c r="E1149" t="s">
        <v>3995</v>
      </c>
      <c r="G1149" t="s">
        <v>3995</v>
      </c>
      <c r="J1149" t="s">
        <v>791</v>
      </c>
      <c r="K1149">
        <v>150</v>
      </c>
      <c r="L1149">
        <v>2.2999999999999998</v>
      </c>
      <c r="M1149" t="s">
        <v>164</v>
      </c>
      <c r="N1149" t="s">
        <v>202</v>
      </c>
      <c r="O1149" t="s">
        <v>769</v>
      </c>
      <c r="P1149" t="s">
        <v>165</v>
      </c>
      <c r="Q1149" t="s">
        <v>205</v>
      </c>
      <c r="R1149">
        <v>8</v>
      </c>
      <c r="S1149">
        <v>90</v>
      </c>
      <c r="T1149">
        <v>100</v>
      </c>
      <c r="U1149">
        <v>90</v>
      </c>
      <c r="V1149">
        <v>90</v>
      </c>
      <c r="W1149">
        <v>80</v>
      </c>
      <c r="X1149">
        <v>55</v>
      </c>
      <c r="Y1149">
        <f t="shared" si="510"/>
        <v>197</v>
      </c>
      <c r="Z1149">
        <f t="shared" si="511"/>
        <v>197</v>
      </c>
      <c r="AA1149">
        <f t="shared" si="512"/>
        <v>165</v>
      </c>
      <c r="AB1149">
        <f t="shared" si="513"/>
        <v>165</v>
      </c>
      <c r="AC1149">
        <f t="shared" si="514"/>
        <v>150</v>
      </c>
      <c r="AD1149">
        <f t="shared" si="515"/>
        <v>167</v>
      </c>
      <c r="AE1149">
        <f t="shared" si="516"/>
        <v>152</v>
      </c>
      <c r="AF1149">
        <f t="shared" si="517"/>
        <v>120</v>
      </c>
      <c r="AG1149">
        <f t="shared" si="518"/>
        <v>108</v>
      </c>
      <c r="AH1149">
        <f t="shared" si="519"/>
        <v>94</v>
      </c>
      <c r="AI1149">
        <f t="shared" si="520"/>
        <v>156</v>
      </c>
      <c r="AJ1149">
        <f t="shared" si="521"/>
        <v>142</v>
      </c>
      <c r="AK1149">
        <f t="shared" si="522"/>
        <v>110</v>
      </c>
      <c r="AL1149">
        <f t="shared" si="523"/>
        <v>99</v>
      </c>
      <c r="AM1149">
        <f t="shared" si="524"/>
        <v>85</v>
      </c>
      <c r="AN1149">
        <f t="shared" si="525"/>
        <v>156</v>
      </c>
      <c r="AO1149">
        <f t="shared" si="526"/>
        <v>142</v>
      </c>
      <c r="AP1149">
        <f t="shared" si="527"/>
        <v>110</v>
      </c>
      <c r="AQ1149">
        <f t="shared" si="528"/>
        <v>99</v>
      </c>
      <c r="AR1149">
        <f t="shared" si="529"/>
        <v>85</v>
      </c>
      <c r="AS1149">
        <f t="shared" si="530"/>
        <v>145</v>
      </c>
      <c r="AT1149">
        <f t="shared" si="531"/>
        <v>132</v>
      </c>
      <c r="AU1149">
        <f t="shared" si="532"/>
        <v>100</v>
      </c>
      <c r="AV1149">
        <f t="shared" si="533"/>
        <v>90</v>
      </c>
      <c r="AW1149">
        <f t="shared" si="534"/>
        <v>76</v>
      </c>
      <c r="AX1149">
        <f t="shared" si="535"/>
        <v>117</v>
      </c>
      <c r="AY1149">
        <f t="shared" si="536"/>
        <v>107</v>
      </c>
      <c r="AZ1149">
        <f t="shared" si="537"/>
        <v>75</v>
      </c>
      <c r="BA1149">
        <f t="shared" si="538"/>
        <v>67</v>
      </c>
      <c r="BB1149">
        <f t="shared" si="539"/>
        <v>54</v>
      </c>
    </row>
    <row r="1150" spans="1:54" x14ac:dyDescent="0.15">
      <c r="B1150" t="s">
        <v>3996</v>
      </c>
      <c r="C1150">
        <v>882</v>
      </c>
      <c r="D1150">
        <v>0</v>
      </c>
      <c r="E1150" t="s">
        <v>3997</v>
      </c>
      <c r="G1150" t="s">
        <v>3997</v>
      </c>
      <c r="J1150" t="s">
        <v>791</v>
      </c>
      <c r="K1150">
        <v>215</v>
      </c>
      <c r="L1150">
        <v>2.2999999999999998</v>
      </c>
      <c r="M1150" t="s">
        <v>71</v>
      </c>
      <c r="N1150" t="s">
        <v>60</v>
      </c>
      <c r="O1150" t="s">
        <v>383</v>
      </c>
      <c r="P1150" t="s">
        <v>1513</v>
      </c>
      <c r="Q1150" t="s">
        <v>198</v>
      </c>
      <c r="R1150">
        <v>8</v>
      </c>
      <c r="S1150">
        <v>90</v>
      </c>
      <c r="T1150">
        <v>90</v>
      </c>
      <c r="U1150">
        <v>100</v>
      </c>
      <c r="V1150">
        <v>70</v>
      </c>
      <c r="W1150">
        <v>80</v>
      </c>
      <c r="X1150">
        <v>75</v>
      </c>
      <c r="Y1150">
        <f t="shared" si="510"/>
        <v>197</v>
      </c>
      <c r="Z1150">
        <f t="shared" si="511"/>
        <v>197</v>
      </c>
      <c r="AA1150">
        <f t="shared" si="512"/>
        <v>165</v>
      </c>
      <c r="AB1150">
        <f t="shared" si="513"/>
        <v>165</v>
      </c>
      <c r="AC1150">
        <f t="shared" si="514"/>
        <v>150</v>
      </c>
      <c r="AD1150">
        <f t="shared" si="515"/>
        <v>156</v>
      </c>
      <c r="AE1150">
        <f t="shared" si="516"/>
        <v>142</v>
      </c>
      <c r="AF1150">
        <f t="shared" si="517"/>
        <v>110</v>
      </c>
      <c r="AG1150">
        <f t="shared" si="518"/>
        <v>99</v>
      </c>
      <c r="AH1150">
        <f t="shared" si="519"/>
        <v>85</v>
      </c>
      <c r="AI1150">
        <f t="shared" si="520"/>
        <v>167</v>
      </c>
      <c r="AJ1150">
        <f t="shared" si="521"/>
        <v>152</v>
      </c>
      <c r="AK1150">
        <f t="shared" si="522"/>
        <v>120</v>
      </c>
      <c r="AL1150">
        <f t="shared" si="523"/>
        <v>108</v>
      </c>
      <c r="AM1150">
        <f t="shared" si="524"/>
        <v>94</v>
      </c>
      <c r="AN1150">
        <f t="shared" si="525"/>
        <v>134</v>
      </c>
      <c r="AO1150">
        <f t="shared" si="526"/>
        <v>122</v>
      </c>
      <c r="AP1150">
        <f t="shared" si="527"/>
        <v>90</v>
      </c>
      <c r="AQ1150">
        <f t="shared" si="528"/>
        <v>81</v>
      </c>
      <c r="AR1150">
        <f t="shared" si="529"/>
        <v>67</v>
      </c>
      <c r="AS1150">
        <f t="shared" si="530"/>
        <v>145</v>
      </c>
      <c r="AT1150">
        <f t="shared" si="531"/>
        <v>132</v>
      </c>
      <c r="AU1150">
        <f t="shared" si="532"/>
        <v>100</v>
      </c>
      <c r="AV1150">
        <f t="shared" si="533"/>
        <v>90</v>
      </c>
      <c r="AW1150">
        <f t="shared" si="534"/>
        <v>76</v>
      </c>
      <c r="AX1150">
        <f t="shared" si="535"/>
        <v>139</v>
      </c>
      <c r="AY1150">
        <f t="shared" si="536"/>
        <v>127</v>
      </c>
      <c r="AZ1150">
        <f t="shared" si="537"/>
        <v>95</v>
      </c>
      <c r="BA1150">
        <f t="shared" si="538"/>
        <v>85</v>
      </c>
      <c r="BB1150">
        <f t="shared" si="539"/>
        <v>72</v>
      </c>
    </row>
    <row r="1151" spans="1:54" x14ac:dyDescent="0.15">
      <c r="B1151" t="s">
        <v>3998</v>
      </c>
      <c r="C1151">
        <v>883</v>
      </c>
      <c r="D1151">
        <v>0</v>
      </c>
      <c r="E1151" t="s">
        <v>3999</v>
      </c>
      <c r="G1151" t="s">
        <v>3999</v>
      </c>
      <c r="J1151" t="s">
        <v>791</v>
      </c>
      <c r="K1151">
        <v>175</v>
      </c>
      <c r="L1151">
        <v>2</v>
      </c>
      <c r="M1151" t="s">
        <v>71</v>
      </c>
      <c r="N1151" t="s">
        <v>202</v>
      </c>
      <c r="O1151" t="s">
        <v>383</v>
      </c>
      <c r="P1151" t="s">
        <v>514</v>
      </c>
      <c r="Q1151" t="s">
        <v>205</v>
      </c>
      <c r="R1151">
        <v>8</v>
      </c>
      <c r="S1151">
        <v>90</v>
      </c>
      <c r="T1151">
        <v>90</v>
      </c>
      <c r="U1151">
        <v>100</v>
      </c>
      <c r="V1151">
        <v>80</v>
      </c>
      <c r="W1151">
        <v>90</v>
      </c>
      <c r="X1151">
        <v>55</v>
      </c>
      <c r="Y1151">
        <f t="shared" si="510"/>
        <v>197</v>
      </c>
      <c r="Z1151">
        <f t="shared" si="511"/>
        <v>197</v>
      </c>
      <c r="AA1151">
        <f t="shared" si="512"/>
        <v>165</v>
      </c>
      <c r="AB1151">
        <f t="shared" si="513"/>
        <v>165</v>
      </c>
      <c r="AC1151">
        <f t="shared" si="514"/>
        <v>150</v>
      </c>
      <c r="AD1151">
        <f t="shared" si="515"/>
        <v>156</v>
      </c>
      <c r="AE1151">
        <f t="shared" si="516"/>
        <v>142</v>
      </c>
      <c r="AF1151">
        <f t="shared" si="517"/>
        <v>110</v>
      </c>
      <c r="AG1151">
        <f t="shared" si="518"/>
        <v>99</v>
      </c>
      <c r="AH1151">
        <f t="shared" si="519"/>
        <v>85</v>
      </c>
      <c r="AI1151">
        <f t="shared" si="520"/>
        <v>167</v>
      </c>
      <c r="AJ1151">
        <f t="shared" si="521"/>
        <v>152</v>
      </c>
      <c r="AK1151">
        <f t="shared" si="522"/>
        <v>120</v>
      </c>
      <c r="AL1151">
        <f t="shared" si="523"/>
        <v>108</v>
      </c>
      <c r="AM1151">
        <f t="shared" si="524"/>
        <v>94</v>
      </c>
      <c r="AN1151">
        <f t="shared" si="525"/>
        <v>145</v>
      </c>
      <c r="AO1151">
        <f t="shared" si="526"/>
        <v>132</v>
      </c>
      <c r="AP1151">
        <f t="shared" si="527"/>
        <v>100</v>
      </c>
      <c r="AQ1151">
        <f t="shared" si="528"/>
        <v>90</v>
      </c>
      <c r="AR1151">
        <f t="shared" si="529"/>
        <v>76</v>
      </c>
      <c r="AS1151">
        <f t="shared" si="530"/>
        <v>156</v>
      </c>
      <c r="AT1151">
        <f t="shared" si="531"/>
        <v>142</v>
      </c>
      <c r="AU1151">
        <f t="shared" si="532"/>
        <v>110</v>
      </c>
      <c r="AV1151">
        <f t="shared" si="533"/>
        <v>99</v>
      </c>
      <c r="AW1151">
        <f t="shared" si="534"/>
        <v>85</v>
      </c>
      <c r="AX1151">
        <f t="shared" si="535"/>
        <v>117</v>
      </c>
      <c r="AY1151">
        <f t="shared" si="536"/>
        <v>107</v>
      </c>
      <c r="AZ1151">
        <f t="shared" si="537"/>
        <v>75</v>
      </c>
      <c r="BA1151">
        <f t="shared" si="538"/>
        <v>67</v>
      </c>
      <c r="BB1151">
        <f t="shared" si="539"/>
        <v>54</v>
      </c>
    </row>
    <row r="1152" spans="1:54" x14ac:dyDescent="0.15">
      <c r="A1152">
        <v>730</v>
      </c>
      <c r="B1152" t="s">
        <v>4000</v>
      </c>
      <c r="C1152">
        <v>884</v>
      </c>
      <c r="D1152">
        <v>0</v>
      </c>
      <c r="E1152" t="s">
        <v>4001</v>
      </c>
      <c r="G1152" t="s">
        <v>4001</v>
      </c>
      <c r="H1152" t="s">
        <v>4002</v>
      </c>
      <c r="J1152" t="s">
        <v>4003</v>
      </c>
      <c r="K1152">
        <v>40</v>
      </c>
      <c r="L1152">
        <v>1.8</v>
      </c>
      <c r="M1152" t="s">
        <v>203</v>
      </c>
      <c r="N1152" t="s">
        <v>60</v>
      </c>
      <c r="O1152" t="s">
        <v>1088</v>
      </c>
      <c r="P1152" t="s">
        <v>1453</v>
      </c>
      <c r="Q1152" t="s">
        <v>4004</v>
      </c>
      <c r="R1152">
        <v>9</v>
      </c>
      <c r="S1152">
        <v>70</v>
      </c>
      <c r="T1152">
        <v>95</v>
      </c>
      <c r="U1152">
        <v>115</v>
      </c>
      <c r="V1152">
        <v>120</v>
      </c>
      <c r="W1152">
        <v>50</v>
      </c>
      <c r="X1152">
        <v>85</v>
      </c>
      <c r="Y1152">
        <f t="shared" si="510"/>
        <v>177</v>
      </c>
      <c r="Z1152">
        <f t="shared" si="511"/>
        <v>177</v>
      </c>
      <c r="AA1152">
        <f t="shared" si="512"/>
        <v>145</v>
      </c>
      <c r="AB1152">
        <f t="shared" si="513"/>
        <v>145</v>
      </c>
      <c r="AC1152">
        <f t="shared" si="514"/>
        <v>130</v>
      </c>
      <c r="AD1152">
        <f t="shared" si="515"/>
        <v>161</v>
      </c>
      <c r="AE1152">
        <f t="shared" si="516"/>
        <v>147</v>
      </c>
      <c r="AF1152">
        <f t="shared" si="517"/>
        <v>115</v>
      </c>
      <c r="AG1152">
        <f t="shared" si="518"/>
        <v>103</v>
      </c>
      <c r="AH1152">
        <f t="shared" si="519"/>
        <v>90</v>
      </c>
      <c r="AI1152">
        <f t="shared" si="520"/>
        <v>183</v>
      </c>
      <c r="AJ1152">
        <f t="shared" si="521"/>
        <v>167</v>
      </c>
      <c r="AK1152">
        <f t="shared" si="522"/>
        <v>135</v>
      </c>
      <c r="AL1152">
        <f t="shared" si="523"/>
        <v>121</v>
      </c>
      <c r="AM1152">
        <f t="shared" si="524"/>
        <v>108</v>
      </c>
      <c r="AN1152">
        <f t="shared" si="525"/>
        <v>189</v>
      </c>
      <c r="AO1152">
        <f t="shared" si="526"/>
        <v>172</v>
      </c>
      <c r="AP1152">
        <f t="shared" si="527"/>
        <v>140</v>
      </c>
      <c r="AQ1152">
        <f t="shared" si="528"/>
        <v>126</v>
      </c>
      <c r="AR1152">
        <f t="shared" si="529"/>
        <v>112</v>
      </c>
      <c r="AS1152">
        <f t="shared" si="530"/>
        <v>112</v>
      </c>
      <c r="AT1152">
        <f t="shared" si="531"/>
        <v>102</v>
      </c>
      <c r="AU1152">
        <f t="shared" si="532"/>
        <v>70</v>
      </c>
      <c r="AV1152">
        <f t="shared" si="533"/>
        <v>63</v>
      </c>
      <c r="AW1152">
        <f t="shared" si="534"/>
        <v>49</v>
      </c>
      <c r="AX1152">
        <f t="shared" si="535"/>
        <v>150</v>
      </c>
      <c r="AY1152">
        <f t="shared" si="536"/>
        <v>137</v>
      </c>
      <c r="AZ1152">
        <f t="shared" si="537"/>
        <v>105</v>
      </c>
      <c r="BA1152">
        <f t="shared" si="538"/>
        <v>94</v>
      </c>
      <c r="BB1152">
        <f t="shared" si="539"/>
        <v>81</v>
      </c>
    </row>
    <row r="1153" spans="1:54" x14ac:dyDescent="0.15">
      <c r="B1153" t="s">
        <v>4005</v>
      </c>
      <c r="C1153">
        <v>884</v>
      </c>
      <c r="D1153">
        <v>999</v>
      </c>
      <c r="E1153" t="s">
        <v>4001</v>
      </c>
      <c r="F1153" t="s">
        <v>40</v>
      </c>
      <c r="G1153" t="s">
        <v>4006</v>
      </c>
      <c r="J1153" t="s">
        <v>42</v>
      </c>
      <c r="K1153">
        <v>9999.9</v>
      </c>
      <c r="L1153">
        <v>43</v>
      </c>
      <c r="M1153" t="s">
        <v>203</v>
      </c>
      <c r="N1153" t="s">
        <v>60</v>
      </c>
      <c r="O1153" t="s">
        <v>1088</v>
      </c>
      <c r="P1153" t="s">
        <v>1453</v>
      </c>
      <c r="Q1153" t="s">
        <v>4004</v>
      </c>
      <c r="R1153">
        <v>8</v>
      </c>
      <c r="S1153">
        <v>70</v>
      </c>
      <c r="T1153">
        <v>95</v>
      </c>
      <c r="U1153">
        <v>115</v>
      </c>
      <c r="V1153">
        <v>120</v>
      </c>
      <c r="W1153">
        <v>50</v>
      </c>
      <c r="X1153">
        <v>85</v>
      </c>
      <c r="Y1153">
        <f t="shared" si="510"/>
        <v>177</v>
      </c>
      <c r="Z1153">
        <f t="shared" si="511"/>
        <v>177</v>
      </c>
      <c r="AA1153">
        <f t="shared" si="512"/>
        <v>145</v>
      </c>
      <c r="AB1153">
        <f t="shared" si="513"/>
        <v>145</v>
      </c>
      <c r="AC1153">
        <f t="shared" si="514"/>
        <v>130</v>
      </c>
      <c r="AD1153">
        <f t="shared" si="515"/>
        <v>161</v>
      </c>
      <c r="AE1153">
        <f t="shared" si="516"/>
        <v>147</v>
      </c>
      <c r="AF1153">
        <f t="shared" si="517"/>
        <v>115</v>
      </c>
      <c r="AG1153">
        <f t="shared" si="518"/>
        <v>103</v>
      </c>
      <c r="AH1153">
        <f t="shared" si="519"/>
        <v>90</v>
      </c>
      <c r="AI1153">
        <f t="shared" si="520"/>
        <v>183</v>
      </c>
      <c r="AJ1153">
        <f t="shared" si="521"/>
        <v>167</v>
      </c>
      <c r="AK1153">
        <f t="shared" si="522"/>
        <v>135</v>
      </c>
      <c r="AL1153">
        <f t="shared" si="523"/>
        <v>121</v>
      </c>
      <c r="AM1153">
        <f t="shared" si="524"/>
        <v>108</v>
      </c>
      <c r="AN1153">
        <f t="shared" si="525"/>
        <v>189</v>
      </c>
      <c r="AO1153">
        <f t="shared" si="526"/>
        <v>172</v>
      </c>
      <c r="AP1153">
        <f t="shared" si="527"/>
        <v>140</v>
      </c>
      <c r="AQ1153">
        <f t="shared" si="528"/>
        <v>126</v>
      </c>
      <c r="AR1153">
        <f t="shared" si="529"/>
        <v>112</v>
      </c>
      <c r="AS1153">
        <f t="shared" si="530"/>
        <v>112</v>
      </c>
      <c r="AT1153">
        <f t="shared" si="531"/>
        <v>102</v>
      </c>
      <c r="AU1153">
        <f t="shared" si="532"/>
        <v>70</v>
      </c>
      <c r="AV1153">
        <f t="shared" si="533"/>
        <v>63</v>
      </c>
      <c r="AW1153">
        <f t="shared" si="534"/>
        <v>49</v>
      </c>
      <c r="AX1153">
        <f t="shared" si="535"/>
        <v>150</v>
      </c>
      <c r="AY1153">
        <f t="shared" si="536"/>
        <v>137</v>
      </c>
      <c r="AZ1153">
        <f t="shared" si="537"/>
        <v>105</v>
      </c>
      <c r="BA1153">
        <f t="shared" si="538"/>
        <v>94</v>
      </c>
      <c r="BB1153">
        <f t="shared" si="539"/>
        <v>81</v>
      </c>
    </row>
    <row r="1154" spans="1:54" x14ac:dyDescent="0.15">
      <c r="A1154">
        <v>772</v>
      </c>
      <c r="B1154" t="s">
        <v>4007</v>
      </c>
      <c r="C1154">
        <v>885</v>
      </c>
      <c r="D1154">
        <v>0</v>
      </c>
      <c r="E1154" t="s">
        <v>4008</v>
      </c>
      <c r="G1154" t="s">
        <v>4008</v>
      </c>
      <c r="H1154" t="s">
        <v>4009</v>
      </c>
      <c r="J1154" t="s">
        <v>4010</v>
      </c>
      <c r="K1154">
        <v>2</v>
      </c>
      <c r="L1154">
        <v>0.5</v>
      </c>
      <c r="M1154" t="s">
        <v>60</v>
      </c>
      <c r="N1154" t="s">
        <v>546</v>
      </c>
      <c r="O1154" t="s">
        <v>425</v>
      </c>
      <c r="P1154" t="s">
        <v>269</v>
      </c>
      <c r="Q1154" t="s">
        <v>554</v>
      </c>
      <c r="R1154">
        <v>9</v>
      </c>
      <c r="S1154">
        <v>28</v>
      </c>
      <c r="T1154">
        <v>60</v>
      </c>
      <c r="U1154">
        <v>30</v>
      </c>
      <c r="V1154">
        <v>40</v>
      </c>
      <c r="W1154">
        <v>30</v>
      </c>
      <c r="X1154">
        <v>82</v>
      </c>
      <c r="Y1154">
        <f t="shared" ref="Y1154:Y1217" si="540">IF(S1154="", "", S1154+107)</f>
        <v>135</v>
      </c>
      <c r="Z1154">
        <f t="shared" ref="Z1154:Z1217" si="541">IF(S1154="", "", S1154+107)</f>
        <v>135</v>
      </c>
      <c r="AA1154">
        <f t="shared" ref="AA1154:AA1217" si="542">IF(S1154="", "", INT(INT(S1154*2 + 31)/2) + 60)</f>
        <v>103</v>
      </c>
      <c r="AB1154">
        <f t="shared" ref="AB1154:AB1217" si="543">IF(S1154="", "", INT(INT(S1154*2 + 31)/2) + 60)</f>
        <v>103</v>
      </c>
      <c r="AC1154">
        <f t="shared" ref="AC1154:AC1217" si="544">IF(S1154="", "", S1154 + 60)</f>
        <v>88</v>
      </c>
      <c r="AD1154">
        <f t="shared" ref="AD1154:AD1217" si="545">IF(T1154="","",INT((T1154+52)*1.1))</f>
        <v>123</v>
      </c>
      <c r="AE1154">
        <f t="shared" ref="AE1154:AE1217" si="546">IF(T1154="","",T1154+52)</f>
        <v>112</v>
      </c>
      <c r="AF1154">
        <f t="shared" ref="AF1154:AF1217" si="547">IF(T1154="", "", INT((T1154*2 + 31)/2) + 5)</f>
        <v>80</v>
      </c>
      <c r="AG1154">
        <f t="shared" ref="AG1154:AG1217" si="548">IF(T1154="", "", INT((INT((T1154*2 + 31)/2) + 5)*0.9) )</f>
        <v>72</v>
      </c>
      <c r="AH1154">
        <f t="shared" ref="AH1154:AH1217" si="549">IF(T1154="", "", INT((T1154 + 5) * 0.9))</f>
        <v>58</v>
      </c>
      <c r="AI1154">
        <f t="shared" ref="AI1154:AI1217" si="550">IF(U1154="","",INT((U1154+52)*1.1))</f>
        <v>90</v>
      </c>
      <c r="AJ1154">
        <f t="shared" ref="AJ1154:AJ1217" si="551">IF(U1154="","",U1154+52)</f>
        <v>82</v>
      </c>
      <c r="AK1154">
        <f t="shared" ref="AK1154:AK1217" si="552">IF(U1154="", "", INT((U1154*2 + 31)/2) + 5)</f>
        <v>50</v>
      </c>
      <c r="AL1154">
        <f t="shared" ref="AL1154:AL1217" si="553">IF(U1154="", "", INT((INT((U1154*2 + 31)/2) + 5)*0.9) )</f>
        <v>45</v>
      </c>
      <c r="AM1154">
        <f t="shared" ref="AM1154:AM1217" si="554">IF(U1154="", "", INT((U1154 + 5) * 0.9))</f>
        <v>31</v>
      </c>
      <c r="AN1154">
        <f t="shared" ref="AN1154:AN1217" si="555">IF(V1154="","",INT((V1154+52)*1.1))</f>
        <v>101</v>
      </c>
      <c r="AO1154">
        <f t="shared" ref="AO1154:AO1217" si="556">IF(V1154="","",V1154+52)</f>
        <v>92</v>
      </c>
      <c r="AP1154">
        <f t="shared" ref="AP1154:AP1217" si="557">IF(V1154="", "", INT((V1154*2 + 31)/2) + 5)</f>
        <v>60</v>
      </c>
      <c r="AQ1154">
        <f t="shared" ref="AQ1154:AQ1217" si="558">IF(V1154="", "", INT((INT((V1154*2 + 31)/2) + 5)*0.9) )</f>
        <v>54</v>
      </c>
      <c r="AR1154">
        <f t="shared" ref="AR1154:AR1217" si="559">IF(V1154="", "", INT((V1154 + 5) * 0.9))</f>
        <v>40</v>
      </c>
      <c r="AS1154">
        <f t="shared" ref="AS1154:AS1217" si="560">IF(W1154="","",INT((W1154+52)*1.1))</f>
        <v>90</v>
      </c>
      <c r="AT1154">
        <f t="shared" ref="AT1154:AT1217" si="561">IF(W1154="","",W1154+52)</f>
        <v>82</v>
      </c>
      <c r="AU1154">
        <f t="shared" ref="AU1154:AU1217" si="562">IF(W1154="", "", INT((W1154*2 + 31)/2) + 5)</f>
        <v>50</v>
      </c>
      <c r="AV1154">
        <f t="shared" ref="AV1154:AV1217" si="563">IF(W1154="", "", INT((INT((W1154*2 + 31)/2) + 5)*0.9) )</f>
        <v>45</v>
      </c>
      <c r="AW1154">
        <f t="shared" ref="AW1154:AW1217" si="564">IF(W1154="", "", INT((W1154 + 5) * 0.9))</f>
        <v>31</v>
      </c>
      <c r="AX1154">
        <f t="shared" ref="AX1154:AX1217" si="565">IF(X1154="","",INT((X1154+52)*1.1))</f>
        <v>147</v>
      </c>
      <c r="AY1154">
        <f t="shared" ref="AY1154:AY1217" si="566">IF(X1154="","",X1154+52)</f>
        <v>134</v>
      </c>
      <c r="AZ1154">
        <f t="shared" ref="AZ1154:AZ1217" si="567">IF(X1154="", "", INT((X1154*2 + 31)/2) + 5)</f>
        <v>102</v>
      </c>
      <c r="BA1154">
        <f t="shared" ref="BA1154:BA1217" si="568">IF(X1154="", "", INT((INT((X1154*2 + 31)/2) + 5)*0.9) )</f>
        <v>91</v>
      </c>
      <c r="BB1154">
        <f t="shared" ref="BB1154:BB1217" si="569">IF(X1154="", "", INT((X1154 + 5) * 0.9))</f>
        <v>78</v>
      </c>
    </row>
    <row r="1155" spans="1:54" x14ac:dyDescent="0.15">
      <c r="A1155">
        <v>773</v>
      </c>
      <c r="B1155" t="s">
        <v>4011</v>
      </c>
      <c r="C1155">
        <v>886</v>
      </c>
      <c r="D1155">
        <v>0</v>
      </c>
      <c r="E1155" t="s">
        <v>4012</v>
      </c>
      <c r="G1155" t="s">
        <v>4012</v>
      </c>
      <c r="H1155" t="s">
        <v>4013</v>
      </c>
      <c r="J1155" t="s">
        <v>4014</v>
      </c>
      <c r="K1155">
        <v>11</v>
      </c>
      <c r="L1155">
        <v>1.4</v>
      </c>
      <c r="M1155" t="s">
        <v>60</v>
      </c>
      <c r="N1155" t="s">
        <v>546</v>
      </c>
      <c r="O1155" t="s">
        <v>425</v>
      </c>
      <c r="P1155" t="s">
        <v>269</v>
      </c>
      <c r="Q1155" t="s">
        <v>554</v>
      </c>
      <c r="R1155">
        <v>9</v>
      </c>
      <c r="S1155">
        <v>68</v>
      </c>
      <c r="T1155">
        <v>80</v>
      </c>
      <c r="U1155">
        <v>50</v>
      </c>
      <c r="V1155">
        <v>60</v>
      </c>
      <c r="W1155">
        <v>50</v>
      </c>
      <c r="X1155">
        <v>102</v>
      </c>
      <c r="Y1155">
        <f t="shared" si="540"/>
        <v>175</v>
      </c>
      <c r="Z1155">
        <f t="shared" si="541"/>
        <v>175</v>
      </c>
      <c r="AA1155">
        <f t="shared" si="542"/>
        <v>143</v>
      </c>
      <c r="AB1155">
        <f t="shared" si="543"/>
        <v>143</v>
      </c>
      <c r="AC1155">
        <f t="shared" si="544"/>
        <v>128</v>
      </c>
      <c r="AD1155">
        <f t="shared" si="545"/>
        <v>145</v>
      </c>
      <c r="AE1155">
        <f t="shared" si="546"/>
        <v>132</v>
      </c>
      <c r="AF1155">
        <f t="shared" si="547"/>
        <v>100</v>
      </c>
      <c r="AG1155">
        <f t="shared" si="548"/>
        <v>90</v>
      </c>
      <c r="AH1155">
        <f t="shared" si="549"/>
        <v>76</v>
      </c>
      <c r="AI1155">
        <f t="shared" si="550"/>
        <v>112</v>
      </c>
      <c r="AJ1155">
        <f t="shared" si="551"/>
        <v>102</v>
      </c>
      <c r="AK1155">
        <f t="shared" si="552"/>
        <v>70</v>
      </c>
      <c r="AL1155">
        <f t="shared" si="553"/>
        <v>63</v>
      </c>
      <c r="AM1155">
        <f t="shared" si="554"/>
        <v>49</v>
      </c>
      <c r="AN1155">
        <f t="shared" si="555"/>
        <v>123</v>
      </c>
      <c r="AO1155">
        <f t="shared" si="556"/>
        <v>112</v>
      </c>
      <c r="AP1155">
        <f t="shared" si="557"/>
        <v>80</v>
      </c>
      <c r="AQ1155">
        <f t="shared" si="558"/>
        <v>72</v>
      </c>
      <c r="AR1155">
        <f t="shared" si="559"/>
        <v>58</v>
      </c>
      <c r="AS1155">
        <f t="shared" si="560"/>
        <v>112</v>
      </c>
      <c r="AT1155">
        <f t="shared" si="561"/>
        <v>102</v>
      </c>
      <c r="AU1155">
        <f t="shared" si="562"/>
        <v>70</v>
      </c>
      <c r="AV1155">
        <f t="shared" si="563"/>
        <v>63</v>
      </c>
      <c r="AW1155">
        <f t="shared" si="564"/>
        <v>49</v>
      </c>
      <c r="AX1155">
        <f t="shared" si="565"/>
        <v>169</v>
      </c>
      <c r="AY1155">
        <f t="shared" si="566"/>
        <v>154</v>
      </c>
      <c r="AZ1155">
        <f t="shared" si="567"/>
        <v>122</v>
      </c>
      <c r="BA1155">
        <f t="shared" si="568"/>
        <v>109</v>
      </c>
      <c r="BB1155">
        <f t="shared" si="569"/>
        <v>96</v>
      </c>
    </row>
    <row r="1156" spans="1:54" x14ac:dyDescent="0.15">
      <c r="A1156">
        <v>774</v>
      </c>
      <c r="B1156" t="s">
        <v>4015</v>
      </c>
      <c r="C1156">
        <v>887</v>
      </c>
      <c r="D1156">
        <v>0</v>
      </c>
      <c r="E1156" t="s">
        <v>4016</v>
      </c>
      <c r="G1156" t="s">
        <v>4016</v>
      </c>
      <c r="H1156" t="s">
        <v>4017</v>
      </c>
      <c r="J1156" t="s">
        <v>4018</v>
      </c>
      <c r="K1156">
        <v>50</v>
      </c>
      <c r="L1156">
        <v>3</v>
      </c>
      <c r="M1156" t="s">
        <v>60</v>
      </c>
      <c r="N1156" t="s">
        <v>546</v>
      </c>
      <c r="O1156" t="s">
        <v>425</v>
      </c>
      <c r="P1156" t="s">
        <v>269</v>
      </c>
      <c r="Q1156" t="s">
        <v>554</v>
      </c>
      <c r="R1156">
        <v>9</v>
      </c>
      <c r="S1156">
        <v>88</v>
      </c>
      <c r="T1156">
        <v>120</v>
      </c>
      <c r="U1156">
        <v>75</v>
      </c>
      <c r="V1156">
        <v>100</v>
      </c>
      <c r="W1156">
        <v>75</v>
      </c>
      <c r="X1156">
        <v>142</v>
      </c>
      <c r="Y1156">
        <f t="shared" si="540"/>
        <v>195</v>
      </c>
      <c r="Z1156">
        <f t="shared" si="541"/>
        <v>195</v>
      </c>
      <c r="AA1156">
        <f t="shared" si="542"/>
        <v>163</v>
      </c>
      <c r="AB1156">
        <f t="shared" si="543"/>
        <v>163</v>
      </c>
      <c r="AC1156">
        <f t="shared" si="544"/>
        <v>148</v>
      </c>
      <c r="AD1156">
        <f t="shared" si="545"/>
        <v>189</v>
      </c>
      <c r="AE1156">
        <f t="shared" si="546"/>
        <v>172</v>
      </c>
      <c r="AF1156">
        <f t="shared" si="547"/>
        <v>140</v>
      </c>
      <c r="AG1156">
        <f t="shared" si="548"/>
        <v>126</v>
      </c>
      <c r="AH1156">
        <f t="shared" si="549"/>
        <v>112</v>
      </c>
      <c r="AI1156">
        <f t="shared" si="550"/>
        <v>139</v>
      </c>
      <c r="AJ1156">
        <f t="shared" si="551"/>
        <v>127</v>
      </c>
      <c r="AK1156">
        <f t="shared" si="552"/>
        <v>95</v>
      </c>
      <c r="AL1156">
        <f t="shared" si="553"/>
        <v>85</v>
      </c>
      <c r="AM1156">
        <f t="shared" si="554"/>
        <v>72</v>
      </c>
      <c r="AN1156">
        <f t="shared" si="555"/>
        <v>167</v>
      </c>
      <c r="AO1156">
        <f t="shared" si="556"/>
        <v>152</v>
      </c>
      <c r="AP1156">
        <f t="shared" si="557"/>
        <v>120</v>
      </c>
      <c r="AQ1156">
        <f t="shared" si="558"/>
        <v>108</v>
      </c>
      <c r="AR1156">
        <f t="shared" si="559"/>
        <v>94</v>
      </c>
      <c r="AS1156">
        <f t="shared" si="560"/>
        <v>139</v>
      </c>
      <c r="AT1156">
        <f t="shared" si="561"/>
        <v>127</v>
      </c>
      <c r="AU1156">
        <f t="shared" si="562"/>
        <v>95</v>
      </c>
      <c r="AV1156">
        <f t="shared" si="563"/>
        <v>85</v>
      </c>
      <c r="AW1156">
        <f t="shared" si="564"/>
        <v>72</v>
      </c>
      <c r="AX1156">
        <f t="shared" si="565"/>
        <v>213</v>
      </c>
      <c r="AY1156">
        <f t="shared" si="566"/>
        <v>194</v>
      </c>
      <c r="AZ1156">
        <f t="shared" si="567"/>
        <v>162</v>
      </c>
      <c r="BA1156">
        <f t="shared" si="568"/>
        <v>145</v>
      </c>
      <c r="BB1156">
        <f t="shared" si="569"/>
        <v>132</v>
      </c>
    </row>
    <row r="1157" spans="1:54" x14ac:dyDescent="0.15">
      <c r="A1157">
        <v>736</v>
      </c>
      <c r="B1157" t="s">
        <v>4019</v>
      </c>
      <c r="C1157">
        <v>888</v>
      </c>
      <c r="D1157">
        <v>0</v>
      </c>
      <c r="E1157" t="s">
        <v>4020</v>
      </c>
      <c r="F1157" t="s">
        <v>4021</v>
      </c>
      <c r="G1157" t="s">
        <v>4022</v>
      </c>
      <c r="H1157" t="s">
        <v>4023</v>
      </c>
      <c r="J1157" t="s">
        <v>4024</v>
      </c>
      <c r="K1157">
        <v>110</v>
      </c>
      <c r="L1157">
        <v>2.8</v>
      </c>
      <c r="M1157" t="s">
        <v>233</v>
      </c>
      <c r="O1157" t="s">
        <v>4025</v>
      </c>
      <c r="R1157">
        <v>9</v>
      </c>
      <c r="S1157">
        <v>92</v>
      </c>
      <c r="T1157">
        <v>120</v>
      </c>
      <c r="U1157">
        <v>115</v>
      </c>
      <c r="V1157">
        <v>80</v>
      </c>
      <c r="W1157">
        <v>115</v>
      </c>
      <c r="X1157">
        <v>138</v>
      </c>
      <c r="Y1157">
        <f t="shared" si="540"/>
        <v>199</v>
      </c>
      <c r="Z1157">
        <f t="shared" si="541"/>
        <v>199</v>
      </c>
      <c r="AA1157">
        <f t="shared" si="542"/>
        <v>167</v>
      </c>
      <c r="AB1157">
        <f t="shared" si="543"/>
        <v>167</v>
      </c>
      <c r="AC1157">
        <f t="shared" si="544"/>
        <v>152</v>
      </c>
      <c r="AD1157">
        <f t="shared" si="545"/>
        <v>189</v>
      </c>
      <c r="AE1157">
        <f t="shared" si="546"/>
        <v>172</v>
      </c>
      <c r="AF1157">
        <f t="shared" si="547"/>
        <v>140</v>
      </c>
      <c r="AG1157">
        <f t="shared" si="548"/>
        <v>126</v>
      </c>
      <c r="AH1157">
        <f t="shared" si="549"/>
        <v>112</v>
      </c>
      <c r="AI1157">
        <f t="shared" si="550"/>
        <v>183</v>
      </c>
      <c r="AJ1157">
        <f t="shared" si="551"/>
        <v>167</v>
      </c>
      <c r="AK1157">
        <f t="shared" si="552"/>
        <v>135</v>
      </c>
      <c r="AL1157">
        <f t="shared" si="553"/>
        <v>121</v>
      </c>
      <c r="AM1157">
        <f t="shared" si="554"/>
        <v>108</v>
      </c>
      <c r="AN1157">
        <f t="shared" si="555"/>
        <v>145</v>
      </c>
      <c r="AO1157">
        <f t="shared" si="556"/>
        <v>132</v>
      </c>
      <c r="AP1157">
        <f t="shared" si="557"/>
        <v>100</v>
      </c>
      <c r="AQ1157">
        <f t="shared" si="558"/>
        <v>90</v>
      </c>
      <c r="AR1157">
        <f t="shared" si="559"/>
        <v>76</v>
      </c>
      <c r="AS1157">
        <f t="shared" si="560"/>
        <v>183</v>
      </c>
      <c r="AT1157">
        <f t="shared" si="561"/>
        <v>167</v>
      </c>
      <c r="AU1157">
        <f t="shared" si="562"/>
        <v>135</v>
      </c>
      <c r="AV1157">
        <f t="shared" si="563"/>
        <v>121</v>
      </c>
      <c r="AW1157">
        <f t="shared" si="564"/>
        <v>108</v>
      </c>
      <c r="AX1157">
        <f t="shared" si="565"/>
        <v>209</v>
      </c>
      <c r="AY1157">
        <f t="shared" si="566"/>
        <v>190</v>
      </c>
      <c r="AZ1157">
        <f t="shared" si="567"/>
        <v>158</v>
      </c>
      <c r="BA1157">
        <f t="shared" si="568"/>
        <v>142</v>
      </c>
      <c r="BB1157">
        <f t="shared" si="569"/>
        <v>128</v>
      </c>
    </row>
    <row r="1158" spans="1:54" x14ac:dyDescent="0.15">
      <c r="A1158">
        <v>737</v>
      </c>
      <c r="B1158" t="s">
        <v>4026</v>
      </c>
      <c r="C1158">
        <v>888</v>
      </c>
      <c r="D1158">
        <v>1</v>
      </c>
      <c r="E1158" t="s">
        <v>4020</v>
      </c>
      <c r="F1158" t="s">
        <v>4027</v>
      </c>
      <c r="G1158" t="s">
        <v>4028</v>
      </c>
      <c r="H1158" t="s">
        <v>4029</v>
      </c>
      <c r="J1158" t="s">
        <v>4024</v>
      </c>
      <c r="K1158">
        <v>355</v>
      </c>
      <c r="L1158">
        <v>2.8</v>
      </c>
      <c r="M1158" t="s">
        <v>233</v>
      </c>
      <c r="N1158" t="s">
        <v>203</v>
      </c>
      <c r="O1158" t="s">
        <v>4025</v>
      </c>
      <c r="R1158">
        <v>9</v>
      </c>
      <c r="S1158">
        <v>92</v>
      </c>
      <c r="T1158">
        <v>150</v>
      </c>
      <c r="U1158">
        <v>115</v>
      </c>
      <c r="V1158">
        <v>80</v>
      </c>
      <c r="W1158">
        <v>115</v>
      </c>
      <c r="X1158">
        <v>148</v>
      </c>
      <c r="Y1158">
        <f t="shared" si="540"/>
        <v>199</v>
      </c>
      <c r="Z1158">
        <f t="shared" si="541"/>
        <v>199</v>
      </c>
      <c r="AA1158">
        <f t="shared" si="542"/>
        <v>167</v>
      </c>
      <c r="AB1158">
        <f t="shared" si="543"/>
        <v>167</v>
      </c>
      <c r="AC1158">
        <f t="shared" si="544"/>
        <v>152</v>
      </c>
      <c r="AD1158">
        <f t="shared" si="545"/>
        <v>222</v>
      </c>
      <c r="AE1158">
        <f t="shared" si="546"/>
        <v>202</v>
      </c>
      <c r="AF1158">
        <f t="shared" si="547"/>
        <v>170</v>
      </c>
      <c r="AG1158">
        <f t="shared" si="548"/>
        <v>153</v>
      </c>
      <c r="AH1158">
        <f t="shared" si="549"/>
        <v>139</v>
      </c>
      <c r="AI1158">
        <f t="shared" si="550"/>
        <v>183</v>
      </c>
      <c r="AJ1158">
        <f t="shared" si="551"/>
        <v>167</v>
      </c>
      <c r="AK1158">
        <f t="shared" si="552"/>
        <v>135</v>
      </c>
      <c r="AL1158">
        <f t="shared" si="553"/>
        <v>121</v>
      </c>
      <c r="AM1158">
        <f t="shared" si="554"/>
        <v>108</v>
      </c>
      <c r="AN1158">
        <f t="shared" si="555"/>
        <v>145</v>
      </c>
      <c r="AO1158">
        <f t="shared" si="556"/>
        <v>132</v>
      </c>
      <c r="AP1158">
        <f t="shared" si="557"/>
        <v>100</v>
      </c>
      <c r="AQ1158">
        <f t="shared" si="558"/>
        <v>90</v>
      </c>
      <c r="AR1158">
        <f t="shared" si="559"/>
        <v>76</v>
      </c>
      <c r="AS1158">
        <f t="shared" si="560"/>
        <v>183</v>
      </c>
      <c r="AT1158">
        <f t="shared" si="561"/>
        <v>167</v>
      </c>
      <c r="AU1158">
        <f t="shared" si="562"/>
        <v>135</v>
      </c>
      <c r="AV1158">
        <f t="shared" si="563"/>
        <v>121</v>
      </c>
      <c r="AW1158">
        <f t="shared" si="564"/>
        <v>108</v>
      </c>
      <c r="AX1158">
        <f t="shared" si="565"/>
        <v>220</v>
      </c>
      <c r="AY1158">
        <f t="shared" si="566"/>
        <v>200</v>
      </c>
      <c r="AZ1158">
        <f t="shared" si="567"/>
        <v>168</v>
      </c>
      <c r="BA1158">
        <f t="shared" si="568"/>
        <v>151</v>
      </c>
      <c r="BB1158">
        <f t="shared" si="569"/>
        <v>137</v>
      </c>
    </row>
    <row r="1159" spans="1:54" x14ac:dyDescent="0.15">
      <c r="A1159">
        <v>738</v>
      </c>
      <c r="B1159" t="s">
        <v>4030</v>
      </c>
      <c r="C1159">
        <v>889</v>
      </c>
      <c r="D1159">
        <v>0</v>
      </c>
      <c r="E1159" t="s">
        <v>4031</v>
      </c>
      <c r="F1159" t="s">
        <v>4021</v>
      </c>
      <c r="G1159" t="s">
        <v>4032</v>
      </c>
      <c r="H1159" t="s">
        <v>4033</v>
      </c>
      <c r="J1159" t="s">
        <v>4024</v>
      </c>
      <c r="K1159">
        <v>210</v>
      </c>
      <c r="L1159">
        <v>2.9</v>
      </c>
      <c r="M1159" t="s">
        <v>354</v>
      </c>
      <c r="O1159" t="s">
        <v>4034</v>
      </c>
      <c r="R1159">
        <v>9</v>
      </c>
      <c r="S1159">
        <v>92</v>
      </c>
      <c r="T1159">
        <v>120</v>
      </c>
      <c r="U1159">
        <v>115</v>
      </c>
      <c r="V1159">
        <v>80</v>
      </c>
      <c r="W1159">
        <v>115</v>
      </c>
      <c r="X1159">
        <v>138</v>
      </c>
      <c r="Y1159">
        <f t="shared" si="540"/>
        <v>199</v>
      </c>
      <c r="Z1159">
        <f t="shared" si="541"/>
        <v>199</v>
      </c>
      <c r="AA1159">
        <f t="shared" si="542"/>
        <v>167</v>
      </c>
      <c r="AB1159">
        <f t="shared" si="543"/>
        <v>167</v>
      </c>
      <c r="AC1159">
        <f t="shared" si="544"/>
        <v>152</v>
      </c>
      <c r="AD1159">
        <f t="shared" si="545"/>
        <v>189</v>
      </c>
      <c r="AE1159">
        <f t="shared" si="546"/>
        <v>172</v>
      </c>
      <c r="AF1159">
        <f t="shared" si="547"/>
        <v>140</v>
      </c>
      <c r="AG1159">
        <f t="shared" si="548"/>
        <v>126</v>
      </c>
      <c r="AH1159">
        <f t="shared" si="549"/>
        <v>112</v>
      </c>
      <c r="AI1159">
        <f t="shared" si="550"/>
        <v>183</v>
      </c>
      <c r="AJ1159">
        <f t="shared" si="551"/>
        <v>167</v>
      </c>
      <c r="AK1159">
        <f t="shared" si="552"/>
        <v>135</v>
      </c>
      <c r="AL1159">
        <f t="shared" si="553"/>
        <v>121</v>
      </c>
      <c r="AM1159">
        <f t="shared" si="554"/>
        <v>108</v>
      </c>
      <c r="AN1159">
        <f t="shared" si="555"/>
        <v>145</v>
      </c>
      <c r="AO1159">
        <f t="shared" si="556"/>
        <v>132</v>
      </c>
      <c r="AP1159">
        <f t="shared" si="557"/>
        <v>100</v>
      </c>
      <c r="AQ1159">
        <f t="shared" si="558"/>
        <v>90</v>
      </c>
      <c r="AR1159">
        <f t="shared" si="559"/>
        <v>76</v>
      </c>
      <c r="AS1159">
        <f t="shared" si="560"/>
        <v>183</v>
      </c>
      <c r="AT1159">
        <f t="shared" si="561"/>
        <v>167</v>
      </c>
      <c r="AU1159">
        <f t="shared" si="562"/>
        <v>135</v>
      </c>
      <c r="AV1159">
        <f t="shared" si="563"/>
        <v>121</v>
      </c>
      <c r="AW1159">
        <f t="shared" si="564"/>
        <v>108</v>
      </c>
      <c r="AX1159">
        <f t="shared" si="565"/>
        <v>209</v>
      </c>
      <c r="AY1159">
        <f t="shared" si="566"/>
        <v>190</v>
      </c>
      <c r="AZ1159">
        <f t="shared" si="567"/>
        <v>158</v>
      </c>
      <c r="BA1159">
        <f t="shared" si="568"/>
        <v>142</v>
      </c>
      <c r="BB1159">
        <f t="shared" si="569"/>
        <v>128</v>
      </c>
    </row>
    <row r="1160" spans="1:54" x14ac:dyDescent="0.15">
      <c r="A1160">
        <v>739</v>
      </c>
      <c r="B1160" t="s">
        <v>4035</v>
      </c>
      <c r="C1160">
        <v>889</v>
      </c>
      <c r="D1160">
        <v>1</v>
      </c>
      <c r="E1160" t="s">
        <v>4031</v>
      </c>
      <c r="F1160" t="s">
        <v>4036</v>
      </c>
      <c r="G1160" t="s">
        <v>4037</v>
      </c>
      <c r="H1160" t="s">
        <v>4038</v>
      </c>
      <c r="J1160" t="s">
        <v>4024</v>
      </c>
      <c r="K1160">
        <v>785</v>
      </c>
      <c r="L1160">
        <v>2.9</v>
      </c>
      <c r="M1160" t="s">
        <v>354</v>
      </c>
      <c r="N1160" t="s">
        <v>203</v>
      </c>
      <c r="O1160" t="s">
        <v>4034</v>
      </c>
      <c r="R1160">
        <v>9</v>
      </c>
      <c r="S1160">
        <v>92</v>
      </c>
      <c r="T1160">
        <v>120</v>
      </c>
      <c r="U1160">
        <v>140</v>
      </c>
      <c r="V1160">
        <v>80</v>
      </c>
      <c r="W1160">
        <v>140</v>
      </c>
      <c r="X1160">
        <v>128</v>
      </c>
      <c r="Y1160">
        <f t="shared" si="540"/>
        <v>199</v>
      </c>
      <c r="Z1160">
        <f t="shared" si="541"/>
        <v>199</v>
      </c>
      <c r="AA1160">
        <f t="shared" si="542"/>
        <v>167</v>
      </c>
      <c r="AB1160">
        <f t="shared" si="543"/>
        <v>167</v>
      </c>
      <c r="AC1160">
        <f t="shared" si="544"/>
        <v>152</v>
      </c>
      <c r="AD1160">
        <f t="shared" si="545"/>
        <v>189</v>
      </c>
      <c r="AE1160">
        <f t="shared" si="546"/>
        <v>172</v>
      </c>
      <c r="AF1160">
        <f t="shared" si="547"/>
        <v>140</v>
      </c>
      <c r="AG1160">
        <f t="shared" si="548"/>
        <v>126</v>
      </c>
      <c r="AH1160">
        <f t="shared" si="549"/>
        <v>112</v>
      </c>
      <c r="AI1160">
        <f t="shared" si="550"/>
        <v>211</v>
      </c>
      <c r="AJ1160">
        <f t="shared" si="551"/>
        <v>192</v>
      </c>
      <c r="AK1160">
        <f t="shared" si="552"/>
        <v>160</v>
      </c>
      <c r="AL1160">
        <f t="shared" si="553"/>
        <v>144</v>
      </c>
      <c r="AM1160">
        <f t="shared" si="554"/>
        <v>130</v>
      </c>
      <c r="AN1160">
        <f t="shared" si="555"/>
        <v>145</v>
      </c>
      <c r="AO1160">
        <f t="shared" si="556"/>
        <v>132</v>
      </c>
      <c r="AP1160">
        <f t="shared" si="557"/>
        <v>100</v>
      </c>
      <c r="AQ1160">
        <f t="shared" si="558"/>
        <v>90</v>
      </c>
      <c r="AR1160">
        <f t="shared" si="559"/>
        <v>76</v>
      </c>
      <c r="AS1160">
        <f t="shared" si="560"/>
        <v>211</v>
      </c>
      <c r="AT1160">
        <f t="shared" si="561"/>
        <v>192</v>
      </c>
      <c r="AU1160">
        <f t="shared" si="562"/>
        <v>160</v>
      </c>
      <c r="AV1160">
        <f t="shared" si="563"/>
        <v>144</v>
      </c>
      <c r="AW1160">
        <f t="shared" si="564"/>
        <v>130</v>
      </c>
      <c r="AX1160">
        <f t="shared" si="565"/>
        <v>198</v>
      </c>
      <c r="AY1160">
        <f t="shared" si="566"/>
        <v>180</v>
      </c>
      <c r="AZ1160">
        <f t="shared" si="567"/>
        <v>148</v>
      </c>
      <c r="BA1160">
        <f t="shared" si="568"/>
        <v>133</v>
      </c>
      <c r="BB1160">
        <f t="shared" si="569"/>
        <v>119</v>
      </c>
    </row>
    <row r="1161" spans="1:54" x14ac:dyDescent="0.15">
      <c r="A1161">
        <v>740</v>
      </c>
      <c r="B1161" t="s">
        <v>4039</v>
      </c>
      <c r="C1161">
        <v>890</v>
      </c>
      <c r="D1161">
        <v>0</v>
      </c>
      <c r="E1161" t="s">
        <v>4040</v>
      </c>
      <c r="G1161" t="s">
        <v>4040</v>
      </c>
      <c r="H1161" t="s">
        <v>4041</v>
      </c>
      <c r="J1161" t="s">
        <v>4042</v>
      </c>
      <c r="K1161">
        <v>950</v>
      </c>
      <c r="L1161">
        <v>20</v>
      </c>
      <c r="M1161" t="s">
        <v>27</v>
      </c>
      <c r="N1161" t="s">
        <v>60</v>
      </c>
      <c r="O1161" t="s">
        <v>792</v>
      </c>
      <c r="R1161">
        <v>9</v>
      </c>
      <c r="S1161">
        <v>140</v>
      </c>
      <c r="T1161">
        <v>85</v>
      </c>
      <c r="U1161">
        <v>95</v>
      </c>
      <c r="V1161">
        <v>145</v>
      </c>
      <c r="W1161">
        <v>95</v>
      </c>
      <c r="X1161">
        <v>130</v>
      </c>
      <c r="Y1161">
        <f t="shared" si="540"/>
        <v>247</v>
      </c>
      <c r="Z1161">
        <f t="shared" si="541"/>
        <v>247</v>
      </c>
      <c r="AA1161">
        <f t="shared" si="542"/>
        <v>215</v>
      </c>
      <c r="AB1161">
        <f t="shared" si="543"/>
        <v>215</v>
      </c>
      <c r="AC1161">
        <f t="shared" si="544"/>
        <v>200</v>
      </c>
      <c r="AD1161">
        <f t="shared" si="545"/>
        <v>150</v>
      </c>
      <c r="AE1161">
        <f t="shared" si="546"/>
        <v>137</v>
      </c>
      <c r="AF1161">
        <f t="shared" si="547"/>
        <v>105</v>
      </c>
      <c r="AG1161">
        <f t="shared" si="548"/>
        <v>94</v>
      </c>
      <c r="AH1161">
        <f t="shared" si="549"/>
        <v>81</v>
      </c>
      <c r="AI1161">
        <f t="shared" si="550"/>
        <v>161</v>
      </c>
      <c r="AJ1161">
        <f t="shared" si="551"/>
        <v>147</v>
      </c>
      <c r="AK1161">
        <f t="shared" si="552"/>
        <v>115</v>
      </c>
      <c r="AL1161">
        <f t="shared" si="553"/>
        <v>103</v>
      </c>
      <c r="AM1161">
        <f t="shared" si="554"/>
        <v>90</v>
      </c>
      <c r="AN1161">
        <f t="shared" si="555"/>
        <v>216</v>
      </c>
      <c r="AO1161">
        <f t="shared" si="556"/>
        <v>197</v>
      </c>
      <c r="AP1161">
        <f t="shared" si="557"/>
        <v>165</v>
      </c>
      <c r="AQ1161">
        <f t="shared" si="558"/>
        <v>148</v>
      </c>
      <c r="AR1161">
        <f t="shared" si="559"/>
        <v>135</v>
      </c>
      <c r="AS1161">
        <f t="shared" si="560"/>
        <v>161</v>
      </c>
      <c r="AT1161">
        <f t="shared" si="561"/>
        <v>147</v>
      </c>
      <c r="AU1161">
        <f t="shared" si="562"/>
        <v>115</v>
      </c>
      <c r="AV1161">
        <f t="shared" si="563"/>
        <v>103</v>
      </c>
      <c r="AW1161">
        <f t="shared" si="564"/>
        <v>90</v>
      </c>
      <c r="AX1161">
        <f t="shared" si="565"/>
        <v>200</v>
      </c>
      <c r="AY1161">
        <f t="shared" si="566"/>
        <v>182</v>
      </c>
      <c r="AZ1161">
        <f t="shared" si="567"/>
        <v>150</v>
      </c>
      <c r="BA1161">
        <f t="shared" si="568"/>
        <v>135</v>
      </c>
      <c r="BB1161">
        <f t="shared" si="569"/>
        <v>121</v>
      </c>
    </row>
    <row r="1162" spans="1:54" x14ac:dyDescent="0.15">
      <c r="A1162">
        <v>775</v>
      </c>
      <c r="B1162" t="s">
        <v>4043</v>
      </c>
      <c r="C1162">
        <v>891</v>
      </c>
      <c r="D1162">
        <v>0</v>
      </c>
      <c r="E1162" t="s">
        <v>4044</v>
      </c>
      <c r="G1162" t="s">
        <v>4044</v>
      </c>
      <c r="H1162" t="s">
        <v>4045</v>
      </c>
      <c r="J1162" t="s">
        <v>4046</v>
      </c>
      <c r="K1162">
        <v>12</v>
      </c>
      <c r="L1162">
        <v>0.6</v>
      </c>
      <c r="M1162" t="s">
        <v>354</v>
      </c>
      <c r="O1162" t="s">
        <v>268</v>
      </c>
      <c r="R1162">
        <v>9</v>
      </c>
      <c r="S1162">
        <v>60</v>
      </c>
      <c r="T1162">
        <v>90</v>
      </c>
      <c r="U1162">
        <v>60</v>
      </c>
      <c r="V1162">
        <v>53</v>
      </c>
      <c r="W1162">
        <v>50</v>
      </c>
      <c r="X1162">
        <v>72</v>
      </c>
      <c r="Y1162">
        <f t="shared" si="540"/>
        <v>167</v>
      </c>
      <c r="Z1162">
        <f t="shared" si="541"/>
        <v>167</v>
      </c>
      <c r="AA1162">
        <f t="shared" si="542"/>
        <v>135</v>
      </c>
      <c r="AB1162">
        <f t="shared" si="543"/>
        <v>135</v>
      </c>
      <c r="AC1162">
        <f t="shared" si="544"/>
        <v>120</v>
      </c>
      <c r="AD1162">
        <f t="shared" si="545"/>
        <v>156</v>
      </c>
      <c r="AE1162">
        <f t="shared" si="546"/>
        <v>142</v>
      </c>
      <c r="AF1162">
        <f t="shared" si="547"/>
        <v>110</v>
      </c>
      <c r="AG1162">
        <f t="shared" si="548"/>
        <v>99</v>
      </c>
      <c r="AH1162">
        <f t="shared" si="549"/>
        <v>85</v>
      </c>
      <c r="AI1162">
        <f t="shared" si="550"/>
        <v>123</v>
      </c>
      <c r="AJ1162">
        <f t="shared" si="551"/>
        <v>112</v>
      </c>
      <c r="AK1162">
        <f t="shared" si="552"/>
        <v>80</v>
      </c>
      <c r="AL1162">
        <f t="shared" si="553"/>
        <v>72</v>
      </c>
      <c r="AM1162">
        <f t="shared" si="554"/>
        <v>58</v>
      </c>
      <c r="AN1162">
        <f t="shared" si="555"/>
        <v>115</v>
      </c>
      <c r="AO1162">
        <f t="shared" si="556"/>
        <v>105</v>
      </c>
      <c r="AP1162">
        <f t="shared" si="557"/>
        <v>73</v>
      </c>
      <c r="AQ1162">
        <f t="shared" si="558"/>
        <v>65</v>
      </c>
      <c r="AR1162">
        <f t="shared" si="559"/>
        <v>52</v>
      </c>
      <c r="AS1162">
        <f t="shared" si="560"/>
        <v>112</v>
      </c>
      <c r="AT1162">
        <f t="shared" si="561"/>
        <v>102</v>
      </c>
      <c r="AU1162">
        <f t="shared" si="562"/>
        <v>70</v>
      </c>
      <c r="AV1162">
        <f t="shared" si="563"/>
        <v>63</v>
      </c>
      <c r="AW1162">
        <f t="shared" si="564"/>
        <v>49</v>
      </c>
      <c r="AX1162">
        <f t="shared" si="565"/>
        <v>136</v>
      </c>
      <c r="AY1162">
        <f t="shared" si="566"/>
        <v>124</v>
      </c>
      <c r="AZ1162">
        <f t="shared" si="567"/>
        <v>92</v>
      </c>
      <c r="BA1162">
        <f t="shared" si="568"/>
        <v>82</v>
      </c>
      <c r="BB1162">
        <f t="shared" si="569"/>
        <v>69</v>
      </c>
    </row>
    <row r="1163" spans="1:54" x14ac:dyDescent="0.15">
      <c r="A1163">
        <v>776</v>
      </c>
      <c r="B1163" t="s">
        <v>4047</v>
      </c>
      <c r="C1163">
        <v>892</v>
      </c>
      <c r="D1163">
        <v>0</v>
      </c>
      <c r="E1163" t="s">
        <v>4048</v>
      </c>
      <c r="F1163" t="s">
        <v>4049</v>
      </c>
      <c r="G1163" t="s">
        <v>4050</v>
      </c>
      <c r="H1163" t="s">
        <v>4700</v>
      </c>
      <c r="I1163" t="s">
        <v>4699</v>
      </c>
      <c r="J1163" t="s">
        <v>4046</v>
      </c>
      <c r="K1163">
        <v>105</v>
      </c>
      <c r="L1163">
        <v>1.9</v>
      </c>
      <c r="M1163" t="s">
        <v>354</v>
      </c>
      <c r="N1163" t="s">
        <v>140</v>
      </c>
      <c r="O1163" t="s">
        <v>4051</v>
      </c>
      <c r="R1163">
        <v>9</v>
      </c>
      <c r="S1163">
        <v>100</v>
      </c>
      <c r="T1163">
        <v>130</v>
      </c>
      <c r="U1163">
        <v>100</v>
      </c>
      <c r="V1163">
        <v>63</v>
      </c>
      <c r="W1163">
        <v>60</v>
      </c>
      <c r="X1163">
        <v>97</v>
      </c>
      <c r="Y1163">
        <f t="shared" si="540"/>
        <v>207</v>
      </c>
      <c r="Z1163">
        <f t="shared" si="541"/>
        <v>207</v>
      </c>
      <c r="AA1163">
        <f t="shared" si="542"/>
        <v>175</v>
      </c>
      <c r="AB1163">
        <f t="shared" si="543"/>
        <v>175</v>
      </c>
      <c r="AC1163">
        <f t="shared" si="544"/>
        <v>160</v>
      </c>
      <c r="AD1163">
        <f t="shared" si="545"/>
        <v>200</v>
      </c>
      <c r="AE1163">
        <f t="shared" si="546"/>
        <v>182</v>
      </c>
      <c r="AF1163">
        <f t="shared" si="547"/>
        <v>150</v>
      </c>
      <c r="AG1163">
        <f t="shared" si="548"/>
        <v>135</v>
      </c>
      <c r="AH1163">
        <f t="shared" si="549"/>
        <v>121</v>
      </c>
      <c r="AI1163">
        <f t="shared" si="550"/>
        <v>167</v>
      </c>
      <c r="AJ1163">
        <f t="shared" si="551"/>
        <v>152</v>
      </c>
      <c r="AK1163">
        <f t="shared" si="552"/>
        <v>120</v>
      </c>
      <c r="AL1163">
        <f t="shared" si="553"/>
        <v>108</v>
      </c>
      <c r="AM1163">
        <f t="shared" si="554"/>
        <v>94</v>
      </c>
      <c r="AN1163">
        <f t="shared" si="555"/>
        <v>126</v>
      </c>
      <c r="AO1163">
        <f t="shared" si="556"/>
        <v>115</v>
      </c>
      <c r="AP1163">
        <f t="shared" si="557"/>
        <v>83</v>
      </c>
      <c r="AQ1163">
        <f t="shared" si="558"/>
        <v>74</v>
      </c>
      <c r="AR1163">
        <f t="shared" si="559"/>
        <v>61</v>
      </c>
      <c r="AS1163">
        <f t="shared" si="560"/>
        <v>123</v>
      </c>
      <c r="AT1163">
        <f t="shared" si="561"/>
        <v>112</v>
      </c>
      <c r="AU1163">
        <f t="shared" si="562"/>
        <v>80</v>
      </c>
      <c r="AV1163">
        <f t="shared" si="563"/>
        <v>72</v>
      </c>
      <c r="AW1163">
        <f t="shared" si="564"/>
        <v>58</v>
      </c>
      <c r="AX1163">
        <f t="shared" si="565"/>
        <v>163</v>
      </c>
      <c r="AY1163">
        <f t="shared" si="566"/>
        <v>149</v>
      </c>
      <c r="AZ1163">
        <f t="shared" si="567"/>
        <v>117</v>
      </c>
      <c r="BA1163">
        <f t="shared" si="568"/>
        <v>105</v>
      </c>
      <c r="BB1163">
        <f t="shared" si="569"/>
        <v>91</v>
      </c>
    </row>
    <row r="1164" spans="1:54" x14ac:dyDescent="0.15">
      <c r="A1164">
        <v>776</v>
      </c>
      <c r="B1164" t="s">
        <v>4052</v>
      </c>
      <c r="C1164">
        <v>892</v>
      </c>
      <c r="D1164">
        <v>1</v>
      </c>
      <c r="E1164" t="s">
        <v>4048</v>
      </c>
      <c r="F1164" t="s">
        <v>4053</v>
      </c>
      <c r="G1164" t="s">
        <v>4054</v>
      </c>
      <c r="H1164" t="s">
        <v>4700</v>
      </c>
      <c r="I1164" t="s">
        <v>4697</v>
      </c>
      <c r="J1164" t="s">
        <v>4046</v>
      </c>
      <c r="K1164">
        <v>105</v>
      </c>
      <c r="L1164">
        <v>1.9</v>
      </c>
      <c r="M1164" t="s">
        <v>354</v>
      </c>
      <c r="N1164" t="s">
        <v>71</v>
      </c>
      <c r="O1164" t="s">
        <v>4051</v>
      </c>
      <c r="R1164">
        <v>9</v>
      </c>
      <c r="S1164">
        <v>100</v>
      </c>
      <c r="T1164">
        <v>130</v>
      </c>
      <c r="U1164">
        <v>100</v>
      </c>
      <c r="V1164">
        <v>63</v>
      </c>
      <c r="W1164">
        <v>60</v>
      </c>
      <c r="X1164">
        <v>97</v>
      </c>
      <c r="Y1164">
        <f t="shared" si="540"/>
        <v>207</v>
      </c>
      <c r="Z1164">
        <f t="shared" si="541"/>
        <v>207</v>
      </c>
      <c r="AA1164">
        <f t="shared" si="542"/>
        <v>175</v>
      </c>
      <c r="AB1164">
        <f t="shared" si="543"/>
        <v>175</v>
      </c>
      <c r="AC1164">
        <f t="shared" si="544"/>
        <v>160</v>
      </c>
      <c r="AD1164">
        <f t="shared" si="545"/>
        <v>200</v>
      </c>
      <c r="AE1164">
        <f t="shared" si="546"/>
        <v>182</v>
      </c>
      <c r="AF1164">
        <f t="shared" si="547"/>
        <v>150</v>
      </c>
      <c r="AG1164">
        <f t="shared" si="548"/>
        <v>135</v>
      </c>
      <c r="AH1164">
        <f t="shared" si="549"/>
        <v>121</v>
      </c>
      <c r="AI1164">
        <f t="shared" si="550"/>
        <v>167</v>
      </c>
      <c r="AJ1164">
        <f t="shared" si="551"/>
        <v>152</v>
      </c>
      <c r="AK1164">
        <f t="shared" si="552"/>
        <v>120</v>
      </c>
      <c r="AL1164">
        <f t="shared" si="553"/>
        <v>108</v>
      </c>
      <c r="AM1164">
        <f t="shared" si="554"/>
        <v>94</v>
      </c>
      <c r="AN1164">
        <f t="shared" si="555"/>
        <v>126</v>
      </c>
      <c r="AO1164">
        <f t="shared" si="556"/>
        <v>115</v>
      </c>
      <c r="AP1164">
        <f t="shared" si="557"/>
        <v>83</v>
      </c>
      <c r="AQ1164">
        <f t="shared" si="558"/>
        <v>74</v>
      </c>
      <c r="AR1164">
        <f t="shared" si="559"/>
        <v>61</v>
      </c>
      <c r="AS1164">
        <f t="shared" si="560"/>
        <v>123</v>
      </c>
      <c r="AT1164">
        <f t="shared" si="561"/>
        <v>112</v>
      </c>
      <c r="AU1164">
        <f t="shared" si="562"/>
        <v>80</v>
      </c>
      <c r="AV1164">
        <f t="shared" si="563"/>
        <v>72</v>
      </c>
      <c r="AW1164">
        <f t="shared" si="564"/>
        <v>58</v>
      </c>
      <c r="AX1164">
        <f t="shared" si="565"/>
        <v>163</v>
      </c>
      <c r="AY1164">
        <f t="shared" si="566"/>
        <v>149</v>
      </c>
      <c r="AZ1164">
        <f t="shared" si="567"/>
        <v>117</v>
      </c>
      <c r="BA1164">
        <f t="shared" si="568"/>
        <v>105</v>
      </c>
      <c r="BB1164">
        <f t="shared" si="569"/>
        <v>91</v>
      </c>
    </row>
    <row r="1165" spans="1:54" x14ac:dyDescent="0.15">
      <c r="B1165" t="s">
        <v>4055</v>
      </c>
      <c r="C1165">
        <v>892</v>
      </c>
      <c r="D1165">
        <v>999</v>
      </c>
      <c r="E1165" t="s">
        <v>4048</v>
      </c>
      <c r="F1165" t="s">
        <v>40</v>
      </c>
      <c r="G1165" t="s">
        <v>4056</v>
      </c>
      <c r="J1165" t="s">
        <v>42</v>
      </c>
      <c r="K1165">
        <v>9999.9</v>
      </c>
      <c r="L1165">
        <v>29</v>
      </c>
      <c r="M1165" t="s">
        <v>354</v>
      </c>
      <c r="N1165" t="s">
        <v>140</v>
      </c>
      <c r="O1165" t="s">
        <v>4051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f t="shared" si="540"/>
        <v>107</v>
      </c>
      <c r="Z1165">
        <f t="shared" si="541"/>
        <v>107</v>
      </c>
      <c r="AA1165">
        <f t="shared" si="542"/>
        <v>75</v>
      </c>
      <c r="AB1165">
        <f t="shared" si="543"/>
        <v>75</v>
      </c>
      <c r="AC1165">
        <f t="shared" si="544"/>
        <v>60</v>
      </c>
      <c r="AD1165">
        <f t="shared" si="545"/>
        <v>57</v>
      </c>
      <c r="AE1165">
        <f t="shared" si="546"/>
        <v>52</v>
      </c>
      <c r="AF1165">
        <f t="shared" si="547"/>
        <v>20</v>
      </c>
      <c r="AG1165">
        <f t="shared" si="548"/>
        <v>18</v>
      </c>
      <c r="AH1165">
        <f t="shared" si="549"/>
        <v>4</v>
      </c>
      <c r="AI1165">
        <f t="shared" si="550"/>
        <v>57</v>
      </c>
      <c r="AJ1165">
        <f t="shared" si="551"/>
        <v>52</v>
      </c>
      <c r="AK1165">
        <f t="shared" si="552"/>
        <v>20</v>
      </c>
      <c r="AL1165">
        <f t="shared" si="553"/>
        <v>18</v>
      </c>
      <c r="AM1165">
        <f t="shared" si="554"/>
        <v>4</v>
      </c>
      <c r="AN1165">
        <f t="shared" si="555"/>
        <v>57</v>
      </c>
      <c r="AO1165">
        <f t="shared" si="556"/>
        <v>52</v>
      </c>
      <c r="AP1165">
        <f t="shared" si="557"/>
        <v>20</v>
      </c>
      <c r="AQ1165">
        <f t="shared" si="558"/>
        <v>18</v>
      </c>
      <c r="AR1165">
        <f t="shared" si="559"/>
        <v>4</v>
      </c>
      <c r="AS1165">
        <f t="shared" si="560"/>
        <v>57</v>
      </c>
      <c r="AT1165">
        <f t="shared" si="561"/>
        <v>52</v>
      </c>
      <c r="AU1165">
        <f t="shared" si="562"/>
        <v>20</v>
      </c>
      <c r="AV1165">
        <f t="shared" si="563"/>
        <v>18</v>
      </c>
      <c r="AW1165">
        <f t="shared" si="564"/>
        <v>4</v>
      </c>
      <c r="AX1165">
        <f t="shared" si="565"/>
        <v>57</v>
      </c>
      <c r="AY1165">
        <f t="shared" si="566"/>
        <v>52</v>
      </c>
      <c r="AZ1165">
        <f t="shared" si="567"/>
        <v>20</v>
      </c>
      <c r="BA1165">
        <f t="shared" si="568"/>
        <v>18</v>
      </c>
      <c r="BB1165">
        <f t="shared" si="569"/>
        <v>4</v>
      </c>
    </row>
    <row r="1166" spans="1:54" x14ac:dyDescent="0.15">
      <c r="A1166">
        <v>783</v>
      </c>
      <c r="B1166" t="s">
        <v>4057</v>
      </c>
      <c r="C1166">
        <v>893</v>
      </c>
      <c r="D1166">
        <v>0</v>
      </c>
      <c r="E1166" t="s">
        <v>4058</v>
      </c>
      <c r="G1166" t="s">
        <v>4058</v>
      </c>
      <c r="H1166" t="s">
        <v>4059</v>
      </c>
      <c r="J1166" t="s">
        <v>4060</v>
      </c>
      <c r="K1166">
        <v>70</v>
      </c>
      <c r="L1166">
        <v>1.8</v>
      </c>
      <c r="M1166" t="s">
        <v>140</v>
      </c>
      <c r="N1166" t="s">
        <v>26</v>
      </c>
      <c r="O1166" t="s">
        <v>660</v>
      </c>
      <c r="R1166">
        <v>9</v>
      </c>
      <c r="S1166">
        <v>105</v>
      </c>
      <c r="T1166">
        <v>120</v>
      </c>
      <c r="U1166">
        <v>105</v>
      </c>
      <c r="V1166">
        <v>70</v>
      </c>
      <c r="W1166">
        <v>95</v>
      </c>
      <c r="X1166">
        <v>105</v>
      </c>
      <c r="Y1166">
        <f t="shared" si="540"/>
        <v>212</v>
      </c>
      <c r="Z1166">
        <f t="shared" si="541"/>
        <v>212</v>
      </c>
      <c r="AA1166">
        <f t="shared" si="542"/>
        <v>180</v>
      </c>
      <c r="AB1166">
        <f t="shared" si="543"/>
        <v>180</v>
      </c>
      <c r="AC1166">
        <f t="shared" si="544"/>
        <v>165</v>
      </c>
      <c r="AD1166">
        <f t="shared" si="545"/>
        <v>189</v>
      </c>
      <c r="AE1166">
        <f t="shared" si="546"/>
        <v>172</v>
      </c>
      <c r="AF1166">
        <f t="shared" si="547"/>
        <v>140</v>
      </c>
      <c r="AG1166">
        <f t="shared" si="548"/>
        <v>126</v>
      </c>
      <c r="AH1166">
        <f t="shared" si="549"/>
        <v>112</v>
      </c>
      <c r="AI1166">
        <f t="shared" si="550"/>
        <v>172</v>
      </c>
      <c r="AJ1166">
        <f t="shared" si="551"/>
        <v>157</v>
      </c>
      <c r="AK1166">
        <f t="shared" si="552"/>
        <v>125</v>
      </c>
      <c r="AL1166">
        <f t="shared" si="553"/>
        <v>112</v>
      </c>
      <c r="AM1166">
        <f t="shared" si="554"/>
        <v>99</v>
      </c>
      <c r="AN1166">
        <f t="shared" si="555"/>
        <v>134</v>
      </c>
      <c r="AO1166">
        <f t="shared" si="556"/>
        <v>122</v>
      </c>
      <c r="AP1166">
        <f t="shared" si="557"/>
        <v>90</v>
      </c>
      <c r="AQ1166">
        <f t="shared" si="558"/>
        <v>81</v>
      </c>
      <c r="AR1166">
        <f t="shared" si="559"/>
        <v>67</v>
      </c>
      <c r="AS1166">
        <f t="shared" si="560"/>
        <v>161</v>
      </c>
      <c r="AT1166">
        <f t="shared" si="561"/>
        <v>147</v>
      </c>
      <c r="AU1166">
        <f t="shared" si="562"/>
        <v>115</v>
      </c>
      <c r="AV1166">
        <f t="shared" si="563"/>
        <v>103</v>
      </c>
      <c r="AW1166">
        <f t="shared" si="564"/>
        <v>90</v>
      </c>
      <c r="AX1166">
        <f t="shared" si="565"/>
        <v>172</v>
      </c>
      <c r="AY1166">
        <f t="shared" si="566"/>
        <v>157</v>
      </c>
      <c r="AZ1166">
        <f t="shared" si="567"/>
        <v>125</v>
      </c>
      <c r="BA1166">
        <f t="shared" si="568"/>
        <v>112</v>
      </c>
      <c r="BB1166">
        <f t="shared" si="569"/>
        <v>99</v>
      </c>
    </row>
    <row r="1167" spans="1:54" x14ac:dyDescent="0.15">
      <c r="A1167">
        <v>784</v>
      </c>
      <c r="B1167" t="s">
        <v>4057</v>
      </c>
      <c r="C1167">
        <v>893</v>
      </c>
      <c r="D1167">
        <v>1</v>
      </c>
      <c r="E1167" t="s">
        <v>4058</v>
      </c>
      <c r="F1167" t="s">
        <v>4061</v>
      </c>
      <c r="G1167" t="s">
        <v>4058</v>
      </c>
      <c r="H1167" t="s">
        <v>4062</v>
      </c>
      <c r="J1167" t="s">
        <v>4060</v>
      </c>
      <c r="K1167">
        <v>70</v>
      </c>
      <c r="L1167">
        <v>1.8</v>
      </c>
      <c r="M1167" t="s">
        <v>140</v>
      </c>
      <c r="N1167" t="s">
        <v>26</v>
      </c>
      <c r="O1167" t="s">
        <v>660</v>
      </c>
      <c r="R1167">
        <v>9</v>
      </c>
      <c r="S1167">
        <v>105</v>
      </c>
      <c r="T1167">
        <v>120</v>
      </c>
      <c r="U1167">
        <v>105</v>
      </c>
      <c r="V1167">
        <v>70</v>
      </c>
      <c r="W1167">
        <v>95</v>
      </c>
      <c r="X1167">
        <v>105</v>
      </c>
      <c r="Y1167">
        <f t="shared" si="540"/>
        <v>212</v>
      </c>
      <c r="Z1167">
        <f t="shared" si="541"/>
        <v>212</v>
      </c>
      <c r="AA1167">
        <f t="shared" si="542"/>
        <v>180</v>
      </c>
      <c r="AB1167">
        <f t="shared" si="543"/>
        <v>180</v>
      </c>
      <c r="AC1167">
        <f t="shared" si="544"/>
        <v>165</v>
      </c>
      <c r="AD1167">
        <f t="shared" si="545"/>
        <v>189</v>
      </c>
      <c r="AE1167">
        <f t="shared" si="546"/>
        <v>172</v>
      </c>
      <c r="AF1167">
        <f t="shared" si="547"/>
        <v>140</v>
      </c>
      <c r="AG1167">
        <f t="shared" si="548"/>
        <v>126</v>
      </c>
      <c r="AH1167">
        <f t="shared" si="549"/>
        <v>112</v>
      </c>
      <c r="AI1167">
        <f t="shared" si="550"/>
        <v>172</v>
      </c>
      <c r="AJ1167">
        <f t="shared" si="551"/>
        <v>157</v>
      </c>
      <c r="AK1167">
        <f t="shared" si="552"/>
        <v>125</v>
      </c>
      <c r="AL1167">
        <f t="shared" si="553"/>
        <v>112</v>
      </c>
      <c r="AM1167">
        <f t="shared" si="554"/>
        <v>99</v>
      </c>
      <c r="AN1167">
        <f t="shared" si="555"/>
        <v>134</v>
      </c>
      <c r="AO1167">
        <f t="shared" si="556"/>
        <v>122</v>
      </c>
      <c r="AP1167">
        <f t="shared" si="557"/>
        <v>90</v>
      </c>
      <c r="AQ1167">
        <f t="shared" si="558"/>
        <v>81</v>
      </c>
      <c r="AR1167">
        <f t="shared" si="559"/>
        <v>67</v>
      </c>
      <c r="AS1167">
        <f t="shared" si="560"/>
        <v>161</v>
      </c>
      <c r="AT1167">
        <f t="shared" si="561"/>
        <v>147</v>
      </c>
      <c r="AU1167">
        <f t="shared" si="562"/>
        <v>115</v>
      </c>
      <c r="AV1167">
        <f t="shared" si="563"/>
        <v>103</v>
      </c>
      <c r="AW1167">
        <f t="shared" si="564"/>
        <v>90</v>
      </c>
      <c r="AX1167">
        <f t="shared" si="565"/>
        <v>172</v>
      </c>
      <c r="AY1167">
        <f t="shared" si="566"/>
        <v>157</v>
      </c>
      <c r="AZ1167">
        <f t="shared" si="567"/>
        <v>125</v>
      </c>
      <c r="BA1167">
        <f t="shared" si="568"/>
        <v>112</v>
      </c>
      <c r="BB1167">
        <f t="shared" si="569"/>
        <v>99</v>
      </c>
    </row>
    <row r="1168" spans="1:54" x14ac:dyDescent="0.15">
      <c r="A1168">
        <v>785</v>
      </c>
      <c r="B1168" t="s">
        <v>4063</v>
      </c>
      <c r="C1168">
        <v>894</v>
      </c>
      <c r="D1168">
        <v>0</v>
      </c>
      <c r="E1168" t="s">
        <v>4064</v>
      </c>
      <c r="G1168" t="s">
        <v>4064</v>
      </c>
      <c r="H1168" t="s">
        <v>4065</v>
      </c>
      <c r="J1168" t="s">
        <v>4066</v>
      </c>
      <c r="K1168">
        <v>145</v>
      </c>
      <c r="L1168">
        <v>1.2</v>
      </c>
      <c r="M1168" t="s">
        <v>164</v>
      </c>
      <c r="O1168" t="s">
        <v>4067</v>
      </c>
      <c r="R1168">
        <v>9</v>
      </c>
      <c r="S1168">
        <v>80</v>
      </c>
      <c r="T1168">
        <v>100</v>
      </c>
      <c r="U1168">
        <v>50</v>
      </c>
      <c r="V1168">
        <v>100</v>
      </c>
      <c r="W1168">
        <v>50</v>
      </c>
      <c r="X1168">
        <v>200</v>
      </c>
      <c r="Y1168">
        <f t="shared" si="540"/>
        <v>187</v>
      </c>
      <c r="Z1168">
        <f t="shared" si="541"/>
        <v>187</v>
      </c>
      <c r="AA1168">
        <f t="shared" si="542"/>
        <v>155</v>
      </c>
      <c r="AB1168">
        <f t="shared" si="543"/>
        <v>155</v>
      </c>
      <c r="AC1168">
        <f t="shared" si="544"/>
        <v>140</v>
      </c>
      <c r="AD1168">
        <f t="shared" si="545"/>
        <v>167</v>
      </c>
      <c r="AE1168">
        <f t="shared" si="546"/>
        <v>152</v>
      </c>
      <c r="AF1168">
        <f t="shared" si="547"/>
        <v>120</v>
      </c>
      <c r="AG1168">
        <f t="shared" si="548"/>
        <v>108</v>
      </c>
      <c r="AH1168">
        <f t="shared" si="549"/>
        <v>94</v>
      </c>
      <c r="AI1168">
        <f t="shared" si="550"/>
        <v>112</v>
      </c>
      <c r="AJ1168">
        <f t="shared" si="551"/>
        <v>102</v>
      </c>
      <c r="AK1168">
        <f t="shared" si="552"/>
        <v>70</v>
      </c>
      <c r="AL1168">
        <f t="shared" si="553"/>
        <v>63</v>
      </c>
      <c r="AM1168">
        <f t="shared" si="554"/>
        <v>49</v>
      </c>
      <c r="AN1168">
        <f t="shared" si="555"/>
        <v>167</v>
      </c>
      <c r="AO1168">
        <f t="shared" si="556"/>
        <v>152</v>
      </c>
      <c r="AP1168">
        <f t="shared" si="557"/>
        <v>120</v>
      </c>
      <c r="AQ1168">
        <f t="shared" si="558"/>
        <v>108</v>
      </c>
      <c r="AR1168">
        <f t="shared" si="559"/>
        <v>94</v>
      </c>
      <c r="AS1168">
        <f t="shared" si="560"/>
        <v>112</v>
      </c>
      <c r="AT1168">
        <f t="shared" si="561"/>
        <v>102</v>
      </c>
      <c r="AU1168">
        <f t="shared" si="562"/>
        <v>70</v>
      </c>
      <c r="AV1168">
        <f t="shared" si="563"/>
        <v>63</v>
      </c>
      <c r="AW1168">
        <f t="shared" si="564"/>
        <v>49</v>
      </c>
      <c r="AX1168">
        <f t="shared" si="565"/>
        <v>277</v>
      </c>
      <c r="AY1168">
        <f t="shared" si="566"/>
        <v>252</v>
      </c>
      <c r="AZ1168">
        <f t="shared" si="567"/>
        <v>220</v>
      </c>
      <c r="BA1168">
        <f t="shared" si="568"/>
        <v>198</v>
      </c>
      <c r="BB1168">
        <f t="shared" si="569"/>
        <v>184</v>
      </c>
    </row>
    <row r="1169" spans="1:54" x14ac:dyDescent="0.15">
      <c r="A1169">
        <v>786</v>
      </c>
      <c r="B1169" t="s">
        <v>4068</v>
      </c>
      <c r="C1169">
        <v>895</v>
      </c>
      <c r="D1169">
        <v>0</v>
      </c>
      <c r="E1169" t="s">
        <v>4069</v>
      </c>
      <c r="G1169" t="s">
        <v>4069</v>
      </c>
      <c r="H1169" t="s">
        <v>4070</v>
      </c>
      <c r="J1169" t="s">
        <v>4071</v>
      </c>
      <c r="K1169">
        <v>200</v>
      </c>
      <c r="L1169">
        <v>2.1</v>
      </c>
      <c r="M1169" t="s">
        <v>60</v>
      </c>
      <c r="O1169" t="s">
        <v>4072</v>
      </c>
      <c r="R1169">
        <v>9</v>
      </c>
      <c r="S1169">
        <v>200</v>
      </c>
      <c r="T1169">
        <v>100</v>
      </c>
      <c r="U1169">
        <v>50</v>
      </c>
      <c r="V1169">
        <v>100</v>
      </c>
      <c r="W1169">
        <v>50</v>
      </c>
      <c r="X1169">
        <v>80</v>
      </c>
      <c r="Y1169">
        <f t="shared" si="540"/>
        <v>307</v>
      </c>
      <c r="Z1169">
        <f t="shared" si="541"/>
        <v>307</v>
      </c>
      <c r="AA1169">
        <f t="shared" si="542"/>
        <v>275</v>
      </c>
      <c r="AB1169">
        <f t="shared" si="543"/>
        <v>275</v>
      </c>
      <c r="AC1169">
        <f t="shared" si="544"/>
        <v>260</v>
      </c>
      <c r="AD1169">
        <f t="shared" si="545"/>
        <v>167</v>
      </c>
      <c r="AE1169">
        <f t="shared" si="546"/>
        <v>152</v>
      </c>
      <c r="AF1169">
        <f t="shared" si="547"/>
        <v>120</v>
      </c>
      <c r="AG1169">
        <f t="shared" si="548"/>
        <v>108</v>
      </c>
      <c r="AH1169">
        <f t="shared" si="549"/>
        <v>94</v>
      </c>
      <c r="AI1169">
        <f t="shared" si="550"/>
        <v>112</v>
      </c>
      <c r="AJ1169">
        <f t="shared" si="551"/>
        <v>102</v>
      </c>
      <c r="AK1169">
        <f t="shared" si="552"/>
        <v>70</v>
      </c>
      <c r="AL1169">
        <f t="shared" si="553"/>
        <v>63</v>
      </c>
      <c r="AM1169">
        <f t="shared" si="554"/>
        <v>49</v>
      </c>
      <c r="AN1169">
        <f t="shared" si="555"/>
        <v>167</v>
      </c>
      <c r="AO1169">
        <f t="shared" si="556"/>
        <v>152</v>
      </c>
      <c r="AP1169">
        <f t="shared" si="557"/>
        <v>120</v>
      </c>
      <c r="AQ1169">
        <f t="shared" si="558"/>
        <v>108</v>
      </c>
      <c r="AR1169">
        <f t="shared" si="559"/>
        <v>94</v>
      </c>
      <c r="AS1169">
        <f t="shared" si="560"/>
        <v>112</v>
      </c>
      <c r="AT1169">
        <f t="shared" si="561"/>
        <v>102</v>
      </c>
      <c r="AU1169">
        <f t="shared" si="562"/>
        <v>70</v>
      </c>
      <c r="AV1169">
        <f t="shared" si="563"/>
        <v>63</v>
      </c>
      <c r="AW1169">
        <f t="shared" si="564"/>
        <v>49</v>
      </c>
      <c r="AX1169">
        <f t="shared" si="565"/>
        <v>145</v>
      </c>
      <c r="AY1169">
        <f t="shared" si="566"/>
        <v>132</v>
      </c>
      <c r="AZ1169">
        <f t="shared" si="567"/>
        <v>100</v>
      </c>
      <c r="BA1169">
        <f t="shared" si="568"/>
        <v>90</v>
      </c>
      <c r="BB1169">
        <f t="shared" si="569"/>
        <v>76</v>
      </c>
    </row>
    <row r="1170" spans="1:54" x14ac:dyDescent="0.15">
      <c r="A1170">
        <v>777</v>
      </c>
      <c r="B1170" t="s">
        <v>4073</v>
      </c>
      <c r="C1170">
        <v>896</v>
      </c>
      <c r="D1170">
        <v>0</v>
      </c>
      <c r="E1170" t="s">
        <v>4074</v>
      </c>
      <c r="G1170" t="s">
        <v>4074</v>
      </c>
      <c r="H1170" t="s">
        <v>4075</v>
      </c>
      <c r="J1170" t="s">
        <v>4076</v>
      </c>
      <c r="K1170">
        <v>800</v>
      </c>
      <c r="L1170">
        <v>2.2000000000000002</v>
      </c>
      <c r="M1170" t="s">
        <v>202</v>
      </c>
      <c r="O1170" t="s">
        <v>4077</v>
      </c>
      <c r="R1170">
        <v>9</v>
      </c>
      <c r="S1170">
        <v>100</v>
      </c>
      <c r="T1170">
        <v>145</v>
      </c>
      <c r="U1170">
        <v>130</v>
      </c>
      <c r="V1170">
        <v>65</v>
      </c>
      <c r="W1170">
        <v>110</v>
      </c>
      <c r="X1170">
        <v>30</v>
      </c>
      <c r="Y1170">
        <f t="shared" si="540"/>
        <v>207</v>
      </c>
      <c r="Z1170">
        <f t="shared" si="541"/>
        <v>207</v>
      </c>
      <c r="AA1170">
        <f t="shared" si="542"/>
        <v>175</v>
      </c>
      <c r="AB1170">
        <f t="shared" si="543"/>
        <v>175</v>
      </c>
      <c r="AC1170">
        <f t="shared" si="544"/>
        <v>160</v>
      </c>
      <c r="AD1170">
        <f t="shared" si="545"/>
        <v>216</v>
      </c>
      <c r="AE1170">
        <f t="shared" si="546"/>
        <v>197</v>
      </c>
      <c r="AF1170">
        <f t="shared" si="547"/>
        <v>165</v>
      </c>
      <c r="AG1170">
        <f t="shared" si="548"/>
        <v>148</v>
      </c>
      <c r="AH1170">
        <f t="shared" si="549"/>
        <v>135</v>
      </c>
      <c r="AI1170">
        <f t="shared" si="550"/>
        <v>200</v>
      </c>
      <c r="AJ1170">
        <f t="shared" si="551"/>
        <v>182</v>
      </c>
      <c r="AK1170">
        <f t="shared" si="552"/>
        <v>150</v>
      </c>
      <c r="AL1170">
        <f t="shared" si="553"/>
        <v>135</v>
      </c>
      <c r="AM1170">
        <f t="shared" si="554"/>
        <v>121</v>
      </c>
      <c r="AN1170">
        <f t="shared" si="555"/>
        <v>128</v>
      </c>
      <c r="AO1170">
        <f t="shared" si="556"/>
        <v>117</v>
      </c>
      <c r="AP1170">
        <f t="shared" si="557"/>
        <v>85</v>
      </c>
      <c r="AQ1170">
        <f t="shared" si="558"/>
        <v>76</v>
      </c>
      <c r="AR1170">
        <f t="shared" si="559"/>
        <v>63</v>
      </c>
      <c r="AS1170">
        <f t="shared" si="560"/>
        <v>178</v>
      </c>
      <c r="AT1170">
        <f t="shared" si="561"/>
        <v>162</v>
      </c>
      <c r="AU1170">
        <f t="shared" si="562"/>
        <v>130</v>
      </c>
      <c r="AV1170">
        <f t="shared" si="563"/>
        <v>117</v>
      </c>
      <c r="AW1170">
        <f t="shared" si="564"/>
        <v>103</v>
      </c>
      <c r="AX1170">
        <f t="shared" si="565"/>
        <v>90</v>
      </c>
      <c r="AY1170">
        <f t="shared" si="566"/>
        <v>82</v>
      </c>
      <c r="AZ1170">
        <f t="shared" si="567"/>
        <v>50</v>
      </c>
      <c r="BA1170">
        <f t="shared" si="568"/>
        <v>45</v>
      </c>
      <c r="BB1170">
        <f t="shared" si="569"/>
        <v>31</v>
      </c>
    </row>
    <row r="1171" spans="1:54" x14ac:dyDescent="0.15">
      <c r="A1171">
        <v>778</v>
      </c>
      <c r="B1171" t="s">
        <v>4078</v>
      </c>
      <c r="C1171">
        <v>897</v>
      </c>
      <c r="D1171">
        <v>0</v>
      </c>
      <c r="E1171" t="s">
        <v>4079</v>
      </c>
      <c r="G1171" t="s">
        <v>4079</v>
      </c>
      <c r="H1171" t="s">
        <v>4080</v>
      </c>
      <c r="J1171" t="s">
        <v>4081</v>
      </c>
      <c r="K1171">
        <v>44.5</v>
      </c>
      <c r="L1171">
        <v>2</v>
      </c>
      <c r="M1171" t="s">
        <v>546</v>
      </c>
      <c r="O1171" t="s">
        <v>4082</v>
      </c>
      <c r="R1171">
        <v>9</v>
      </c>
      <c r="S1171">
        <v>100</v>
      </c>
      <c r="T1171">
        <v>65</v>
      </c>
      <c r="U1171">
        <v>60</v>
      </c>
      <c r="V1171">
        <v>145</v>
      </c>
      <c r="W1171">
        <v>80</v>
      </c>
      <c r="X1171">
        <v>130</v>
      </c>
      <c r="Y1171">
        <f t="shared" si="540"/>
        <v>207</v>
      </c>
      <c r="Z1171">
        <f t="shared" si="541"/>
        <v>207</v>
      </c>
      <c r="AA1171">
        <f t="shared" si="542"/>
        <v>175</v>
      </c>
      <c r="AB1171">
        <f t="shared" si="543"/>
        <v>175</v>
      </c>
      <c r="AC1171">
        <f t="shared" si="544"/>
        <v>160</v>
      </c>
      <c r="AD1171">
        <f t="shared" si="545"/>
        <v>128</v>
      </c>
      <c r="AE1171">
        <f t="shared" si="546"/>
        <v>117</v>
      </c>
      <c r="AF1171">
        <f t="shared" si="547"/>
        <v>85</v>
      </c>
      <c r="AG1171">
        <f t="shared" si="548"/>
        <v>76</v>
      </c>
      <c r="AH1171">
        <f t="shared" si="549"/>
        <v>63</v>
      </c>
      <c r="AI1171">
        <f t="shared" si="550"/>
        <v>123</v>
      </c>
      <c r="AJ1171">
        <f t="shared" si="551"/>
        <v>112</v>
      </c>
      <c r="AK1171">
        <f t="shared" si="552"/>
        <v>80</v>
      </c>
      <c r="AL1171">
        <f t="shared" si="553"/>
        <v>72</v>
      </c>
      <c r="AM1171">
        <f t="shared" si="554"/>
        <v>58</v>
      </c>
      <c r="AN1171">
        <f t="shared" si="555"/>
        <v>216</v>
      </c>
      <c r="AO1171">
        <f t="shared" si="556"/>
        <v>197</v>
      </c>
      <c r="AP1171">
        <f t="shared" si="557"/>
        <v>165</v>
      </c>
      <c r="AQ1171">
        <f t="shared" si="558"/>
        <v>148</v>
      </c>
      <c r="AR1171">
        <f t="shared" si="559"/>
        <v>135</v>
      </c>
      <c r="AS1171">
        <f t="shared" si="560"/>
        <v>145</v>
      </c>
      <c r="AT1171">
        <f t="shared" si="561"/>
        <v>132</v>
      </c>
      <c r="AU1171">
        <f t="shared" si="562"/>
        <v>100</v>
      </c>
      <c r="AV1171">
        <f t="shared" si="563"/>
        <v>90</v>
      </c>
      <c r="AW1171">
        <f t="shared" si="564"/>
        <v>76</v>
      </c>
      <c r="AX1171">
        <f t="shared" si="565"/>
        <v>200</v>
      </c>
      <c r="AY1171">
        <f t="shared" si="566"/>
        <v>182</v>
      </c>
      <c r="AZ1171">
        <f t="shared" si="567"/>
        <v>150</v>
      </c>
      <c r="BA1171">
        <f t="shared" si="568"/>
        <v>135</v>
      </c>
      <c r="BB1171">
        <f t="shared" si="569"/>
        <v>121</v>
      </c>
    </row>
    <row r="1172" spans="1:54" x14ac:dyDescent="0.15">
      <c r="A1172">
        <v>780</v>
      </c>
      <c r="B1172" t="s">
        <v>4083</v>
      </c>
      <c r="C1172">
        <v>898</v>
      </c>
      <c r="D1172">
        <v>0</v>
      </c>
      <c r="E1172" t="s">
        <v>4084</v>
      </c>
      <c r="G1172" t="s">
        <v>4084</v>
      </c>
      <c r="H1172" t="s">
        <v>4085</v>
      </c>
      <c r="J1172" t="s">
        <v>4086</v>
      </c>
      <c r="K1172">
        <v>7.7</v>
      </c>
      <c r="L1172">
        <v>1.1000000000000001</v>
      </c>
      <c r="M1172" t="s">
        <v>191</v>
      </c>
      <c r="N1172" t="s">
        <v>26</v>
      </c>
      <c r="O1172" t="s">
        <v>156</v>
      </c>
      <c r="R1172">
        <v>9</v>
      </c>
      <c r="S1172">
        <v>100</v>
      </c>
      <c r="T1172">
        <v>80</v>
      </c>
      <c r="U1172">
        <v>80</v>
      </c>
      <c r="V1172">
        <v>80</v>
      </c>
      <c r="W1172">
        <v>80</v>
      </c>
      <c r="X1172">
        <v>80</v>
      </c>
      <c r="Y1172">
        <f t="shared" si="540"/>
        <v>207</v>
      </c>
      <c r="Z1172">
        <f t="shared" si="541"/>
        <v>207</v>
      </c>
      <c r="AA1172">
        <f t="shared" si="542"/>
        <v>175</v>
      </c>
      <c r="AB1172">
        <f t="shared" si="543"/>
        <v>175</v>
      </c>
      <c r="AC1172">
        <f t="shared" si="544"/>
        <v>160</v>
      </c>
      <c r="AD1172">
        <f t="shared" si="545"/>
        <v>145</v>
      </c>
      <c r="AE1172">
        <f t="shared" si="546"/>
        <v>132</v>
      </c>
      <c r="AF1172">
        <f t="shared" si="547"/>
        <v>100</v>
      </c>
      <c r="AG1172">
        <f t="shared" si="548"/>
        <v>90</v>
      </c>
      <c r="AH1172">
        <f t="shared" si="549"/>
        <v>76</v>
      </c>
      <c r="AI1172">
        <f t="shared" si="550"/>
        <v>145</v>
      </c>
      <c r="AJ1172">
        <f t="shared" si="551"/>
        <v>132</v>
      </c>
      <c r="AK1172">
        <f t="shared" si="552"/>
        <v>100</v>
      </c>
      <c r="AL1172">
        <f t="shared" si="553"/>
        <v>90</v>
      </c>
      <c r="AM1172">
        <f t="shared" si="554"/>
        <v>76</v>
      </c>
      <c r="AN1172">
        <f t="shared" si="555"/>
        <v>145</v>
      </c>
      <c r="AO1172">
        <f t="shared" si="556"/>
        <v>132</v>
      </c>
      <c r="AP1172">
        <f t="shared" si="557"/>
        <v>100</v>
      </c>
      <c r="AQ1172">
        <f t="shared" si="558"/>
        <v>90</v>
      </c>
      <c r="AR1172">
        <f t="shared" si="559"/>
        <v>76</v>
      </c>
      <c r="AS1172">
        <f t="shared" si="560"/>
        <v>145</v>
      </c>
      <c r="AT1172">
        <f t="shared" si="561"/>
        <v>132</v>
      </c>
      <c r="AU1172">
        <f t="shared" si="562"/>
        <v>100</v>
      </c>
      <c r="AV1172">
        <f t="shared" si="563"/>
        <v>90</v>
      </c>
      <c r="AW1172">
        <f t="shared" si="564"/>
        <v>76</v>
      </c>
      <c r="AX1172">
        <f t="shared" si="565"/>
        <v>145</v>
      </c>
      <c r="AY1172">
        <f t="shared" si="566"/>
        <v>132</v>
      </c>
      <c r="AZ1172">
        <f t="shared" si="567"/>
        <v>100</v>
      </c>
      <c r="BA1172">
        <f t="shared" si="568"/>
        <v>90</v>
      </c>
      <c r="BB1172">
        <f t="shared" si="569"/>
        <v>76</v>
      </c>
    </row>
    <row r="1173" spans="1:54" x14ac:dyDescent="0.15">
      <c r="A1173">
        <v>781</v>
      </c>
      <c r="B1173" t="s">
        <v>4087</v>
      </c>
      <c r="C1173">
        <v>898</v>
      </c>
      <c r="D1173">
        <v>1</v>
      </c>
      <c r="E1173" t="s">
        <v>4084</v>
      </c>
      <c r="F1173" t="s">
        <v>4088</v>
      </c>
      <c r="G1173" t="s">
        <v>4089</v>
      </c>
      <c r="H1173" t="s">
        <v>4090</v>
      </c>
      <c r="J1173" t="s">
        <v>4091</v>
      </c>
      <c r="K1173">
        <v>809.1</v>
      </c>
      <c r="L1173">
        <v>2.4</v>
      </c>
      <c r="M1173" t="s">
        <v>191</v>
      </c>
      <c r="N1173" t="s">
        <v>202</v>
      </c>
      <c r="O1173" t="s">
        <v>4092</v>
      </c>
      <c r="P1173" t="s">
        <v>156</v>
      </c>
      <c r="R1173">
        <v>9</v>
      </c>
      <c r="S1173">
        <v>100</v>
      </c>
      <c r="T1173">
        <v>165</v>
      </c>
      <c r="U1173">
        <v>150</v>
      </c>
      <c r="V1173">
        <v>85</v>
      </c>
      <c r="W1173">
        <v>130</v>
      </c>
      <c r="X1173">
        <v>50</v>
      </c>
      <c r="Y1173">
        <f t="shared" si="540"/>
        <v>207</v>
      </c>
      <c r="Z1173">
        <f t="shared" si="541"/>
        <v>207</v>
      </c>
      <c r="AA1173">
        <f t="shared" si="542"/>
        <v>175</v>
      </c>
      <c r="AB1173">
        <f t="shared" si="543"/>
        <v>175</v>
      </c>
      <c r="AC1173">
        <f t="shared" si="544"/>
        <v>160</v>
      </c>
      <c r="AD1173">
        <f t="shared" si="545"/>
        <v>238</v>
      </c>
      <c r="AE1173">
        <f t="shared" si="546"/>
        <v>217</v>
      </c>
      <c r="AF1173">
        <f t="shared" si="547"/>
        <v>185</v>
      </c>
      <c r="AG1173">
        <f t="shared" si="548"/>
        <v>166</v>
      </c>
      <c r="AH1173">
        <f t="shared" si="549"/>
        <v>153</v>
      </c>
      <c r="AI1173">
        <f t="shared" si="550"/>
        <v>222</v>
      </c>
      <c r="AJ1173">
        <f t="shared" si="551"/>
        <v>202</v>
      </c>
      <c r="AK1173">
        <f t="shared" si="552"/>
        <v>170</v>
      </c>
      <c r="AL1173">
        <f t="shared" si="553"/>
        <v>153</v>
      </c>
      <c r="AM1173">
        <f t="shared" si="554"/>
        <v>139</v>
      </c>
      <c r="AN1173">
        <f t="shared" si="555"/>
        <v>150</v>
      </c>
      <c r="AO1173">
        <f t="shared" si="556"/>
        <v>137</v>
      </c>
      <c r="AP1173">
        <f t="shared" si="557"/>
        <v>105</v>
      </c>
      <c r="AQ1173">
        <f t="shared" si="558"/>
        <v>94</v>
      </c>
      <c r="AR1173">
        <f t="shared" si="559"/>
        <v>81</v>
      </c>
      <c r="AS1173">
        <f t="shared" si="560"/>
        <v>200</v>
      </c>
      <c r="AT1173">
        <f t="shared" si="561"/>
        <v>182</v>
      </c>
      <c r="AU1173">
        <f t="shared" si="562"/>
        <v>150</v>
      </c>
      <c r="AV1173">
        <f t="shared" si="563"/>
        <v>135</v>
      </c>
      <c r="AW1173">
        <f t="shared" si="564"/>
        <v>121</v>
      </c>
      <c r="AX1173">
        <f t="shared" si="565"/>
        <v>112</v>
      </c>
      <c r="AY1173">
        <f t="shared" si="566"/>
        <v>102</v>
      </c>
      <c r="AZ1173">
        <f t="shared" si="567"/>
        <v>70</v>
      </c>
      <c r="BA1173">
        <f t="shared" si="568"/>
        <v>63</v>
      </c>
      <c r="BB1173">
        <f t="shared" si="569"/>
        <v>49</v>
      </c>
    </row>
    <row r="1174" spans="1:54" x14ac:dyDescent="0.15">
      <c r="A1174">
        <v>782</v>
      </c>
      <c r="B1174" t="s">
        <v>4093</v>
      </c>
      <c r="C1174">
        <v>898</v>
      </c>
      <c r="D1174">
        <v>2</v>
      </c>
      <c r="E1174" t="s">
        <v>4084</v>
      </c>
      <c r="F1174" t="s">
        <v>4094</v>
      </c>
      <c r="G1174" t="s">
        <v>4095</v>
      </c>
      <c r="H1174" t="s">
        <v>4096</v>
      </c>
      <c r="J1174" t="s">
        <v>4091</v>
      </c>
      <c r="K1174">
        <v>53.6</v>
      </c>
      <c r="L1174">
        <v>2.4</v>
      </c>
      <c r="M1174" t="s">
        <v>191</v>
      </c>
      <c r="N1174" t="s">
        <v>546</v>
      </c>
      <c r="O1174" t="s">
        <v>4092</v>
      </c>
      <c r="P1174" t="s">
        <v>156</v>
      </c>
      <c r="R1174">
        <v>9</v>
      </c>
      <c r="S1174">
        <v>100</v>
      </c>
      <c r="T1174">
        <v>85</v>
      </c>
      <c r="U1174">
        <v>80</v>
      </c>
      <c r="V1174">
        <v>165</v>
      </c>
      <c r="W1174">
        <v>100</v>
      </c>
      <c r="X1174">
        <v>150</v>
      </c>
      <c r="Y1174">
        <f t="shared" si="540"/>
        <v>207</v>
      </c>
      <c r="Z1174">
        <f t="shared" si="541"/>
        <v>207</v>
      </c>
      <c r="AA1174">
        <f t="shared" si="542"/>
        <v>175</v>
      </c>
      <c r="AB1174">
        <f t="shared" si="543"/>
        <v>175</v>
      </c>
      <c r="AC1174">
        <f t="shared" si="544"/>
        <v>160</v>
      </c>
      <c r="AD1174">
        <f t="shared" si="545"/>
        <v>150</v>
      </c>
      <c r="AE1174">
        <f t="shared" si="546"/>
        <v>137</v>
      </c>
      <c r="AF1174">
        <f t="shared" si="547"/>
        <v>105</v>
      </c>
      <c r="AG1174">
        <f t="shared" si="548"/>
        <v>94</v>
      </c>
      <c r="AH1174">
        <f t="shared" si="549"/>
        <v>81</v>
      </c>
      <c r="AI1174">
        <f t="shared" si="550"/>
        <v>145</v>
      </c>
      <c r="AJ1174">
        <f t="shared" si="551"/>
        <v>132</v>
      </c>
      <c r="AK1174">
        <f t="shared" si="552"/>
        <v>100</v>
      </c>
      <c r="AL1174">
        <f t="shared" si="553"/>
        <v>90</v>
      </c>
      <c r="AM1174">
        <f t="shared" si="554"/>
        <v>76</v>
      </c>
      <c r="AN1174">
        <f t="shared" si="555"/>
        <v>238</v>
      </c>
      <c r="AO1174">
        <f t="shared" si="556"/>
        <v>217</v>
      </c>
      <c r="AP1174">
        <f t="shared" si="557"/>
        <v>185</v>
      </c>
      <c r="AQ1174">
        <f t="shared" si="558"/>
        <v>166</v>
      </c>
      <c r="AR1174">
        <f t="shared" si="559"/>
        <v>153</v>
      </c>
      <c r="AS1174">
        <f t="shared" si="560"/>
        <v>167</v>
      </c>
      <c r="AT1174">
        <f t="shared" si="561"/>
        <v>152</v>
      </c>
      <c r="AU1174">
        <f t="shared" si="562"/>
        <v>120</v>
      </c>
      <c r="AV1174">
        <f t="shared" si="563"/>
        <v>108</v>
      </c>
      <c r="AW1174">
        <f t="shared" si="564"/>
        <v>94</v>
      </c>
      <c r="AX1174">
        <f t="shared" si="565"/>
        <v>222</v>
      </c>
      <c r="AY1174">
        <f t="shared" si="566"/>
        <v>202</v>
      </c>
      <c r="AZ1174">
        <f t="shared" si="567"/>
        <v>170</v>
      </c>
      <c r="BA1174">
        <f t="shared" si="568"/>
        <v>153</v>
      </c>
      <c r="BB1174">
        <f t="shared" si="569"/>
        <v>139</v>
      </c>
    </row>
    <row r="1175" spans="1:54" x14ac:dyDescent="0.15">
      <c r="A1175">
        <v>787</v>
      </c>
      <c r="B1175" t="s">
        <v>4097</v>
      </c>
      <c r="C1175">
        <v>899</v>
      </c>
      <c r="D1175">
        <v>0</v>
      </c>
      <c r="E1175" t="s">
        <v>4098</v>
      </c>
      <c r="G1175" t="s">
        <v>4098</v>
      </c>
      <c r="H1175" t="s">
        <v>4099</v>
      </c>
      <c r="J1175" t="s">
        <v>1183</v>
      </c>
      <c r="K1175">
        <v>95.1</v>
      </c>
      <c r="L1175">
        <v>1.8</v>
      </c>
      <c r="M1175" t="s">
        <v>120</v>
      </c>
      <c r="N1175" t="s">
        <v>191</v>
      </c>
      <c r="O1175" t="s">
        <v>155</v>
      </c>
      <c r="P1175" t="s">
        <v>264</v>
      </c>
      <c r="Q1175" t="s">
        <v>965</v>
      </c>
      <c r="R1175">
        <v>9</v>
      </c>
      <c r="S1175">
        <v>103</v>
      </c>
      <c r="T1175">
        <v>105</v>
      </c>
      <c r="U1175">
        <v>72</v>
      </c>
      <c r="V1175">
        <v>105</v>
      </c>
      <c r="W1175">
        <v>75</v>
      </c>
      <c r="X1175">
        <v>65</v>
      </c>
      <c r="Y1175">
        <f t="shared" si="540"/>
        <v>210</v>
      </c>
      <c r="Z1175">
        <f t="shared" si="541"/>
        <v>210</v>
      </c>
      <c r="AA1175">
        <f t="shared" si="542"/>
        <v>178</v>
      </c>
      <c r="AB1175">
        <f t="shared" si="543"/>
        <v>178</v>
      </c>
      <c r="AC1175">
        <f t="shared" si="544"/>
        <v>163</v>
      </c>
      <c r="AD1175">
        <f t="shared" si="545"/>
        <v>172</v>
      </c>
      <c r="AE1175">
        <f t="shared" si="546"/>
        <v>157</v>
      </c>
      <c r="AF1175">
        <f t="shared" si="547"/>
        <v>125</v>
      </c>
      <c r="AG1175">
        <f t="shared" si="548"/>
        <v>112</v>
      </c>
      <c r="AH1175">
        <f t="shared" si="549"/>
        <v>99</v>
      </c>
      <c r="AI1175">
        <f t="shared" si="550"/>
        <v>136</v>
      </c>
      <c r="AJ1175">
        <f t="shared" si="551"/>
        <v>124</v>
      </c>
      <c r="AK1175">
        <f t="shared" si="552"/>
        <v>92</v>
      </c>
      <c r="AL1175">
        <f t="shared" si="553"/>
        <v>82</v>
      </c>
      <c r="AM1175">
        <f t="shared" si="554"/>
        <v>69</v>
      </c>
      <c r="AN1175">
        <f t="shared" si="555"/>
        <v>172</v>
      </c>
      <c r="AO1175">
        <f t="shared" si="556"/>
        <v>157</v>
      </c>
      <c r="AP1175">
        <f t="shared" si="557"/>
        <v>125</v>
      </c>
      <c r="AQ1175">
        <f t="shared" si="558"/>
        <v>112</v>
      </c>
      <c r="AR1175">
        <f t="shared" si="559"/>
        <v>99</v>
      </c>
      <c r="AS1175">
        <f t="shared" si="560"/>
        <v>139</v>
      </c>
      <c r="AT1175">
        <f t="shared" si="561"/>
        <v>127</v>
      </c>
      <c r="AU1175">
        <f t="shared" si="562"/>
        <v>95</v>
      </c>
      <c r="AV1175">
        <f t="shared" si="563"/>
        <v>85</v>
      </c>
      <c r="AW1175">
        <f t="shared" si="564"/>
        <v>72</v>
      </c>
      <c r="AX1175">
        <f t="shared" si="565"/>
        <v>128</v>
      </c>
      <c r="AY1175">
        <f t="shared" si="566"/>
        <v>117</v>
      </c>
      <c r="AZ1175">
        <f t="shared" si="567"/>
        <v>85</v>
      </c>
      <c r="BA1175">
        <f t="shared" si="568"/>
        <v>76</v>
      </c>
      <c r="BB1175">
        <f t="shared" si="569"/>
        <v>63</v>
      </c>
    </row>
    <row r="1176" spans="1:54" x14ac:dyDescent="0.15">
      <c r="A1176">
        <v>788</v>
      </c>
      <c r="B1176" t="s">
        <v>4100</v>
      </c>
      <c r="C1176">
        <v>900</v>
      </c>
      <c r="D1176">
        <v>0</v>
      </c>
      <c r="E1176" t="s">
        <v>4101</v>
      </c>
      <c r="G1176" t="s">
        <v>4101</v>
      </c>
      <c r="H1176" t="s">
        <v>4102</v>
      </c>
      <c r="J1176" t="s">
        <v>4103</v>
      </c>
      <c r="K1176">
        <v>89</v>
      </c>
      <c r="L1176">
        <v>1.8</v>
      </c>
      <c r="M1176" t="s">
        <v>90</v>
      </c>
      <c r="N1176" t="s">
        <v>371</v>
      </c>
      <c r="O1176" t="s">
        <v>112</v>
      </c>
      <c r="P1176" t="s">
        <v>222</v>
      </c>
      <c r="Q1176" t="s">
        <v>2149</v>
      </c>
      <c r="R1176">
        <v>9</v>
      </c>
      <c r="S1176">
        <v>70</v>
      </c>
      <c r="T1176">
        <v>135</v>
      </c>
      <c r="U1176">
        <v>95</v>
      </c>
      <c r="V1176">
        <v>45</v>
      </c>
      <c r="W1176">
        <v>70</v>
      </c>
      <c r="X1176">
        <v>85</v>
      </c>
      <c r="Y1176">
        <f t="shared" si="540"/>
        <v>177</v>
      </c>
      <c r="Z1176">
        <f t="shared" si="541"/>
        <v>177</v>
      </c>
      <c r="AA1176">
        <f t="shared" si="542"/>
        <v>145</v>
      </c>
      <c r="AB1176">
        <f t="shared" si="543"/>
        <v>145</v>
      </c>
      <c r="AC1176">
        <f t="shared" si="544"/>
        <v>130</v>
      </c>
      <c r="AD1176">
        <f t="shared" si="545"/>
        <v>205</v>
      </c>
      <c r="AE1176">
        <f t="shared" si="546"/>
        <v>187</v>
      </c>
      <c r="AF1176">
        <f t="shared" si="547"/>
        <v>155</v>
      </c>
      <c r="AG1176">
        <f t="shared" si="548"/>
        <v>139</v>
      </c>
      <c r="AH1176">
        <f t="shared" si="549"/>
        <v>126</v>
      </c>
      <c r="AI1176">
        <f t="shared" si="550"/>
        <v>161</v>
      </c>
      <c r="AJ1176">
        <f t="shared" si="551"/>
        <v>147</v>
      </c>
      <c r="AK1176">
        <f t="shared" si="552"/>
        <v>115</v>
      </c>
      <c r="AL1176">
        <f t="shared" si="553"/>
        <v>103</v>
      </c>
      <c r="AM1176">
        <f t="shared" si="554"/>
        <v>90</v>
      </c>
      <c r="AN1176">
        <f t="shared" si="555"/>
        <v>106</v>
      </c>
      <c r="AO1176">
        <f t="shared" si="556"/>
        <v>97</v>
      </c>
      <c r="AP1176">
        <f t="shared" si="557"/>
        <v>65</v>
      </c>
      <c r="AQ1176">
        <f t="shared" si="558"/>
        <v>58</v>
      </c>
      <c r="AR1176">
        <f t="shared" si="559"/>
        <v>45</v>
      </c>
      <c r="AS1176">
        <f t="shared" si="560"/>
        <v>134</v>
      </c>
      <c r="AT1176">
        <f t="shared" si="561"/>
        <v>122</v>
      </c>
      <c r="AU1176">
        <f t="shared" si="562"/>
        <v>90</v>
      </c>
      <c r="AV1176">
        <f t="shared" si="563"/>
        <v>81</v>
      </c>
      <c r="AW1176">
        <f t="shared" si="564"/>
        <v>67</v>
      </c>
      <c r="AX1176">
        <f t="shared" si="565"/>
        <v>150</v>
      </c>
      <c r="AY1176">
        <f t="shared" si="566"/>
        <v>137</v>
      </c>
      <c r="AZ1176">
        <f t="shared" si="567"/>
        <v>105</v>
      </c>
      <c r="BA1176">
        <f t="shared" si="568"/>
        <v>94</v>
      </c>
      <c r="BB1176">
        <f t="shared" si="569"/>
        <v>81</v>
      </c>
    </row>
    <row r="1177" spans="1:54" x14ac:dyDescent="0.15">
      <c r="A1177">
        <v>795</v>
      </c>
      <c r="B1177" t="s">
        <v>4104</v>
      </c>
      <c r="C1177">
        <v>901</v>
      </c>
      <c r="D1177">
        <v>0</v>
      </c>
      <c r="E1177" t="s">
        <v>4105</v>
      </c>
      <c r="G1177" t="s">
        <v>4105</v>
      </c>
      <c r="H1177" t="s">
        <v>4106</v>
      </c>
      <c r="J1177" t="s">
        <v>4107</v>
      </c>
      <c r="K1177">
        <v>290</v>
      </c>
      <c r="L1177">
        <v>2.4</v>
      </c>
      <c r="M1177" t="s">
        <v>196</v>
      </c>
      <c r="N1177" t="s">
        <v>120</v>
      </c>
      <c r="O1177" t="s">
        <v>135</v>
      </c>
      <c r="P1177" t="s">
        <v>2917</v>
      </c>
      <c r="Q1177" t="s">
        <v>156</v>
      </c>
      <c r="R1177">
        <v>9</v>
      </c>
      <c r="S1177">
        <v>130</v>
      </c>
      <c r="T1177">
        <v>140</v>
      </c>
      <c r="U1177">
        <v>105</v>
      </c>
      <c r="V1177">
        <v>45</v>
      </c>
      <c r="W1177">
        <v>80</v>
      </c>
      <c r="X1177">
        <v>50</v>
      </c>
      <c r="Y1177">
        <f t="shared" si="540"/>
        <v>237</v>
      </c>
      <c r="Z1177">
        <f t="shared" si="541"/>
        <v>237</v>
      </c>
      <c r="AA1177">
        <f t="shared" si="542"/>
        <v>205</v>
      </c>
      <c r="AB1177">
        <f t="shared" si="543"/>
        <v>205</v>
      </c>
      <c r="AC1177">
        <f t="shared" si="544"/>
        <v>190</v>
      </c>
      <c r="AD1177">
        <f t="shared" si="545"/>
        <v>211</v>
      </c>
      <c r="AE1177">
        <f t="shared" si="546"/>
        <v>192</v>
      </c>
      <c r="AF1177">
        <f t="shared" si="547"/>
        <v>160</v>
      </c>
      <c r="AG1177">
        <f t="shared" si="548"/>
        <v>144</v>
      </c>
      <c r="AH1177">
        <f t="shared" si="549"/>
        <v>130</v>
      </c>
      <c r="AI1177">
        <f t="shared" si="550"/>
        <v>172</v>
      </c>
      <c r="AJ1177">
        <f t="shared" si="551"/>
        <v>157</v>
      </c>
      <c r="AK1177">
        <f t="shared" si="552"/>
        <v>125</v>
      </c>
      <c r="AL1177">
        <f t="shared" si="553"/>
        <v>112</v>
      </c>
      <c r="AM1177">
        <f t="shared" si="554"/>
        <v>99</v>
      </c>
      <c r="AN1177">
        <f t="shared" si="555"/>
        <v>106</v>
      </c>
      <c r="AO1177">
        <f t="shared" si="556"/>
        <v>97</v>
      </c>
      <c r="AP1177">
        <f t="shared" si="557"/>
        <v>65</v>
      </c>
      <c r="AQ1177">
        <f t="shared" si="558"/>
        <v>58</v>
      </c>
      <c r="AR1177">
        <f t="shared" si="559"/>
        <v>45</v>
      </c>
      <c r="AS1177">
        <f t="shared" si="560"/>
        <v>145</v>
      </c>
      <c r="AT1177">
        <f t="shared" si="561"/>
        <v>132</v>
      </c>
      <c r="AU1177">
        <f t="shared" si="562"/>
        <v>100</v>
      </c>
      <c r="AV1177">
        <f t="shared" si="563"/>
        <v>90</v>
      </c>
      <c r="AW1177">
        <f t="shared" si="564"/>
        <v>76</v>
      </c>
      <c r="AX1177">
        <f t="shared" si="565"/>
        <v>112</v>
      </c>
      <c r="AY1177">
        <f t="shared" si="566"/>
        <v>102</v>
      </c>
      <c r="AZ1177">
        <f t="shared" si="567"/>
        <v>70</v>
      </c>
      <c r="BA1177">
        <f t="shared" si="568"/>
        <v>63</v>
      </c>
      <c r="BB1177">
        <f t="shared" si="569"/>
        <v>49</v>
      </c>
    </row>
    <row r="1178" spans="1:54" x14ac:dyDescent="0.15">
      <c r="A1178">
        <v>797</v>
      </c>
      <c r="B1178" t="s">
        <v>4108</v>
      </c>
      <c r="C1178">
        <v>901</v>
      </c>
      <c r="D1178">
        <v>1</v>
      </c>
      <c r="E1178" t="s">
        <v>4105</v>
      </c>
      <c r="F1178" t="s">
        <v>4109</v>
      </c>
      <c r="G1178" t="s">
        <v>4110</v>
      </c>
      <c r="H1178" t="s">
        <v>4111</v>
      </c>
      <c r="J1178" t="s">
        <v>4107</v>
      </c>
      <c r="K1178">
        <v>333</v>
      </c>
      <c r="L1178">
        <v>2.7</v>
      </c>
      <c r="M1178" t="s">
        <v>196</v>
      </c>
      <c r="N1178" t="s">
        <v>120</v>
      </c>
      <c r="O1178" t="s">
        <v>4112</v>
      </c>
      <c r="P1178" t="s">
        <v>156</v>
      </c>
      <c r="R1178">
        <v>9</v>
      </c>
      <c r="S1178">
        <v>130</v>
      </c>
      <c r="T1178">
        <v>140</v>
      </c>
      <c r="U1178">
        <v>105</v>
      </c>
      <c r="V1178">
        <v>45</v>
      </c>
      <c r="W1178">
        <v>80</v>
      </c>
      <c r="X1178">
        <v>50</v>
      </c>
      <c r="Y1178">
        <f t="shared" si="540"/>
        <v>237</v>
      </c>
      <c r="Z1178">
        <f t="shared" si="541"/>
        <v>237</v>
      </c>
      <c r="AA1178">
        <f t="shared" si="542"/>
        <v>205</v>
      </c>
      <c r="AB1178">
        <f t="shared" si="543"/>
        <v>205</v>
      </c>
      <c r="AC1178">
        <f t="shared" si="544"/>
        <v>190</v>
      </c>
      <c r="AD1178">
        <f t="shared" si="545"/>
        <v>211</v>
      </c>
      <c r="AE1178">
        <f t="shared" si="546"/>
        <v>192</v>
      </c>
      <c r="AF1178">
        <f t="shared" si="547"/>
        <v>160</v>
      </c>
      <c r="AG1178">
        <f t="shared" si="548"/>
        <v>144</v>
      </c>
      <c r="AH1178">
        <f t="shared" si="549"/>
        <v>130</v>
      </c>
      <c r="AI1178">
        <f t="shared" si="550"/>
        <v>172</v>
      </c>
      <c r="AJ1178">
        <f t="shared" si="551"/>
        <v>157</v>
      </c>
      <c r="AK1178">
        <f t="shared" si="552"/>
        <v>125</v>
      </c>
      <c r="AL1178">
        <f t="shared" si="553"/>
        <v>112</v>
      </c>
      <c r="AM1178">
        <f t="shared" si="554"/>
        <v>99</v>
      </c>
      <c r="AN1178">
        <f t="shared" si="555"/>
        <v>106</v>
      </c>
      <c r="AO1178">
        <f t="shared" si="556"/>
        <v>97</v>
      </c>
      <c r="AP1178">
        <f t="shared" si="557"/>
        <v>65</v>
      </c>
      <c r="AQ1178">
        <f t="shared" si="558"/>
        <v>58</v>
      </c>
      <c r="AR1178">
        <f t="shared" si="559"/>
        <v>45</v>
      </c>
      <c r="AS1178">
        <f t="shared" si="560"/>
        <v>145</v>
      </c>
      <c r="AT1178">
        <f t="shared" si="561"/>
        <v>132</v>
      </c>
      <c r="AU1178">
        <f t="shared" si="562"/>
        <v>100</v>
      </c>
      <c r="AV1178">
        <f t="shared" si="563"/>
        <v>90</v>
      </c>
      <c r="AW1178">
        <f t="shared" si="564"/>
        <v>76</v>
      </c>
      <c r="AX1178">
        <f t="shared" si="565"/>
        <v>112</v>
      </c>
      <c r="AY1178">
        <f t="shared" si="566"/>
        <v>102</v>
      </c>
      <c r="AZ1178">
        <f t="shared" si="567"/>
        <v>70</v>
      </c>
      <c r="BA1178">
        <f t="shared" si="568"/>
        <v>63</v>
      </c>
      <c r="BB1178">
        <f t="shared" si="569"/>
        <v>49</v>
      </c>
    </row>
    <row r="1179" spans="1:54" x14ac:dyDescent="0.15">
      <c r="A1179">
        <v>793</v>
      </c>
      <c r="B1179" t="s">
        <v>4113</v>
      </c>
      <c r="C1179">
        <v>902</v>
      </c>
      <c r="D1179">
        <v>0</v>
      </c>
      <c r="E1179" t="s">
        <v>4114</v>
      </c>
      <c r="F1179" t="s">
        <v>3075</v>
      </c>
      <c r="G1179" t="s">
        <v>4115</v>
      </c>
      <c r="H1179" t="s">
        <v>4116</v>
      </c>
      <c r="J1179" t="s">
        <v>4117</v>
      </c>
      <c r="K1179">
        <v>110</v>
      </c>
      <c r="L1179">
        <v>3</v>
      </c>
      <c r="M1179" t="s">
        <v>71</v>
      </c>
      <c r="N1179" t="s">
        <v>546</v>
      </c>
      <c r="O1179" t="s">
        <v>346</v>
      </c>
      <c r="P1179" t="s">
        <v>116</v>
      </c>
      <c r="Q1179" t="s">
        <v>713</v>
      </c>
      <c r="R1179">
        <v>9</v>
      </c>
      <c r="S1179">
        <v>120</v>
      </c>
      <c r="T1179">
        <v>112</v>
      </c>
      <c r="U1179">
        <v>65</v>
      </c>
      <c r="V1179">
        <v>80</v>
      </c>
      <c r="W1179">
        <v>75</v>
      </c>
      <c r="X1179">
        <v>78</v>
      </c>
      <c r="Y1179">
        <f t="shared" si="540"/>
        <v>227</v>
      </c>
      <c r="Z1179">
        <f t="shared" si="541"/>
        <v>227</v>
      </c>
      <c r="AA1179">
        <f t="shared" si="542"/>
        <v>195</v>
      </c>
      <c r="AB1179">
        <f t="shared" si="543"/>
        <v>195</v>
      </c>
      <c r="AC1179">
        <f t="shared" si="544"/>
        <v>180</v>
      </c>
      <c r="AD1179">
        <f t="shared" si="545"/>
        <v>180</v>
      </c>
      <c r="AE1179">
        <f t="shared" si="546"/>
        <v>164</v>
      </c>
      <c r="AF1179">
        <f t="shared" si="547"/>
        <v>132</v>
      </c>
      <c r="AG1179">
        <f t="shared" si="548"/>
        <v>118</v>
      </c>
      <c r="AH1179">
        <f t="shared" si="549"/>
        <v>105</v>
      </c>
      <c r="AI1179">
        <f t="shared" si="550"/>
        <v>128</v>
      </c>
      <c r="AJ1179">
        <f t="shared" si="551"/>
        <v>117</v>
      </c>
      <c r="AK1179">
        <f t="shared" si="552"/>
        <v>85</v>
      </c>
      <c r="AL1179">
        <f t="shared" si="553"/>
        <v>76</v>
      </c>
      <c r="AM1179">
        <f t="shared" si="554"/>
        <v>63</v>
      </c>
      <c r="AN1179">
        <f t="shared" si="555"/>
        <v>145</v>
      </c>
      <c r="AO1179">
        <f t="shared" si="556"/>
        <v>132</v>
      </c>
      <c r="AP1179">
        <f t="shared" si="557"/>
        <v>100</v>
      </c>
      <c r="AQ1179">
        <f t="shared" si="558"/>
        <v>90</v>
      </c>
      <c r="AR1179">
        <f t="shared" si="559"/>
        <v>76</v>
      </c>
      <c r="AS1179">
        <f t="shared" si="560"/>
        <v>139</v>
      </c>
      <c r="AT1179">
        <f t="shared" si="561"/>
        <v>127</v>
      </c>
      <c r="AU1179">
        <f t="shared" si="562"/>
        <v>95</v>
      </c>
      <c r="AV1179">
        <f t="shared" si="563"/>
        <v>85</v>
      </c>
      <c r="AW1179">
        <f t="shared" si="564"/>
        <v>72</v>
      </c>
      <c r="AX1179">
        <f t="shared" si="565"/>
        <v>143</v>
      </c>
      <c r="AY1179">
        <f t="shared" si="566"/>
        <v>130</v>
      </c>
      <c r="AZ1179">
        <f t="shared" si="567"/>
        <v>98</v>
      </c>
      <c r="BA1179">
        <f t="shared" si="568"/>
        <v>88</v>
      </c>
      <c r="BB1179">
        <f t="shared" si="569"/>
        <v>74</v>
      </c>
    </row>
    <row r="1180" spans="1:54" x14ac:dyDescent="0.15">
      <c r="A1180">
        <v>794</v>
      </c>
      <c r="B1180" t="s">
        <v>4118</v>
      </c>
      <c r="C1180">
        <v>902</v>
      </c>
      <c r="D1180">
        <v>1</v>
      </c>
      <c r="E1180" t="s">
        <v>4114</v>
      </c>
      <c r="F1180" t="s">
        <v>3080</v>
      </c>
      <c r="G1180" t="s">
        <v>4119</v>
      </c>
      <c r="H1180" t="s">
        <v>4120</v>
      </c>
      <c r="J1180" t="s">
        <v>4117</v>
      </c>
      <c r="K1180">
        <v>110</v>
      </c>
      <c r="L1180">
        <v>3</v>
      </c>
      <c r="M1180" t="s">
        <v>71</v>
      </c>
      <c r="N1180" t="s">
        <v>546</v>
      </c>
      <c r="O1180" t="s">
        <v>346</v>
      </c>
      <c r="P1180" t="s">
        <v>116</v>
      </c>
      <c r="Q1180" t="s">
        <v>713</v>
      </c>
      <c r="R1180">
        <v>9</v>
      </c>
      <c r="S1180">
        <v>120</v>
      </c>
      <c r="T1180">
        <v>92</v>
      </c>
      <c r="U1180">
        <v>65</v>
      </c>
      <c r="V1180">
        <v>100</v>
      </c>
      <c r="W1180">
        <v>75</v>
      </c>
      <c r="X1180">
        <v>78</v>
      </c>
      <c r="Y1180">
        <f t="shared" si="540"/>
        <v>227</v>
      </c>
      <c r="Z1180">
        <f t="shared" si="541"/>
        <v>227</v>
      </c>
      <c r="AA1180">
        <f t="shared" si="542"/>
        <v>195</v>
      </c>
      <c r="AB1180">
        <f t="shared" si="543"/>
        <v>195</v>
      </c>
      <c r="AC1180">
        <f t="shared" si="544"/>
        <v>180</v>
      </c>
      <c r="AD1180">
        <f t="shared" si="545"/>
        <v>158</v>
      </c>
      <c r="AE1180">
        <f t="shared" si="546"/>
        <v>144</v>
      </c>
      <c r="AF1180">
        <f t="shared" si="547"/>
        <v>112</v>
      </c>
      <c r="AG1180">
        <f t="shared" si="548"/>
        <v>100</v>
      </c>
      <c r="AH1180">
        <f t="shared" si="549"/>
        <v>87</v>
      </c>
      <c r="AI1180">
        <f t="shared" si="550"/>
        <v>128</v>
      </c>
      <c r="AJ1180">
        <f t="shared" si="551"/>
        <v>117</v>
      </c>
      <c r="AK1180">
        <f t="shared" si="552"/>
        <v>85</v>
      </c>
      <c r="AL1180">
        <f t="shared" si="553"/>
        <v>76</v>
      </c>
      <c r="AM1180">
        <f t="shared" si="554"/>
        <v>63</v>
      </c>
      <c r="AN1180">
        <f t="shared" si="555"/>
        <v>167</v>
      </c>
      <c r="AO1180">
        <f t="shared" si="556"/>
        <v>152</v>
      </c>
      <c r="AP1180">
        <f t="shared" si="557"/>
        <v>120</v>
      </c>
      <c r="AQ1180">
        <f t="shared" si="558"/>
        <v>108</v>
      </c>
      <c r="AR1180">
        <f t="shared" si="559"/>
        <v>94</v>
      </c>
      <c r="AS1180">
        <f t="shared" si="560"/>
        <v>139</v>
      </c>
      <c r="AT1180">
        <f t="shared" si="561"/>
        <v>127</v>
      </c>
      <c r="AU1180">
        <f t="shared" si="562"/>
        <v>95</v>
      </c>
      <c r="AV1180">
        <f t="shared" si="563"/>
        <v>85</v>
      </c>
      <c r="AW1180">
        <f t="shared" si="564"/>
        <v>72</v>
      </c>
      <c r="AX1180">
        <f t="shared" si="565"/>
        <v>143</v>
      </c>
      <c r="AY1180">
        <f t="shared" si="566"/>
        <v>130</v>
      </c>
      <c r="AZ1180">
        <f t="shared" si="567"/>
        <v>98</v>
      </c>
      <c r="BA1180">
        <f t="shared" si="568"/>
        <v>88</v>
      </c>
      <c r="BB1180">
        <f t="shared" si="569"/>
        <v>74</v>
      </c>
    </row>
    <row r="1181" spans="1:54" x14ac:dyDescent="0.15">
      <c r="A1181">
        <v>789</v>
      </c>
      <c r="B1181" t="s">
        <v>4121</v>
      </c>
      <c r="C1181">
        <v>903</v>
      </c>
      <c r="D1181">
        <v>0</v>
      </c>
      <c r="E1181" t="s">
        <v>4122</v>
      </c>
      <c r="G1181" t="s">
        <v>4122</v>
      </c>
      <c r="H1181" t="s">
        <v>4123</v>
      </c>
      <c r="J1181" t="s">
        <v>4124</v>
      </c>
      <c r="K1181">
        <v>43</v>
      </c>
      <c r="L1181">
        <v>1.3</v>
      </c>
      <c r="M1181" t="s">
        <v>354</v>
      </c>
      <c r="N1181" t="s">
        <v>27</v>
      </c>
      <c r="O1181" t="s">
        <v>792</v>
      </c>
      <c r="P1181" t="s">
        <v>624</v>
      </c>
      <c r="Q1181" t="s">
        <v>523</v>
      </c>
      <c r="R1181">
        <v>9</v>
      </c>
      <c r="S1181">
        <v>80</v>
      </c>
      <c r="T1181">
        <v>130</v>
      </c>
      <c r="U1181">
        <v>60</v>
      </c>
      <c r="V1181">
        <v>40</v>
      </c>
      <c r="W1181">
        <v>80</v>
      </c>
      <c r="X1181">
        <v>120</v>
      </c>
      <c r="Y1181">
        <f t="shared" si="540"/>
        <v>187</v>
      </c>
      <c r="Z1181">
        <f t="shared" si="541"/>
        <v>187</v>
      </c>
      <c r="AA1181">
        <f t="shared" si="542"/>
        <v>155</v>
      </c>
      <c r="AB1181">
        <f t="shared" si="543"/>
        <v>155</v>
      </c>
      <c r="AC1181">
        <f t="shared" si="544"/>
        <v>140</v>
      </c>
      <c r="AD1181">
        <f t="shared" si="545"/>
        <v>200</v>
      </c>
      <c r="AE1181">
        <f t="shared" si="546"/>
        <v>182</v>
      </c>
      <c r="AF1181">
        <f t="shared" si="547"/>
        <v>150</v>
      </c>
      <c r="AG1181">
        <f t="shared" si="548"/>
        <v>135</v>
      </c>
      <c r="AH1181">
        <f t="shared" si="549"/>
        <v>121</v>
      </c>
      <c r="AI1181">
        <f t="shared" si="550"/>
        <v>123</v>
      </c>
      <c r="AJ1181">
        <f t="shared" si="551"/>
        <v>112</v>
      </c>
      <c r="AK1181">
        <f t="shared" si="552"/>
        <v>80</v>
      </c>
      <c r="AL1181">
        <f t="shared" si="553"/>
        <v>72</v>
      </c>
      <c r="AM1181">
        <f t="shared" si="554"/>
        <v>58</v>
      </c>
      <c r="AN1181">
        <f t="shared" si="555"/>
        <v>101</v>
      </c>
      <c r="AO1181">
        <f t="shared" si="556"/>
        <v>92</v>
      </c>
      <c r="AP1181">
        <f t="shared" si="557"/>
        <v>60</v>
      </c>
      <c r="AQ1181">
        <f t="shared" si="558"/>
        <v>54</v>
      </c>
      <c r="AR1181">
        <f t="shared" si="559"/>
        <v>40</v>
      </c>
      <c r="AS1181">
        <f t="shared" si="560"/>
        <v>145</v>
      </c>
      <c r="AT1181">
        <f t="shared" si="561"/>
        <v>132</v>
      </c>
      <c r="AU1181">
        <f t="shared" si="562"/>
        <v>100</v>
      </c>
      <c r="AV1181">
        <f t="shared" si="563"/>
        <v>90</v>
      </c>
      <c r="AW1181">
        <f t="shared" si="564"/>
        <v>76</v>
      </c>
      <c r="AX1181">
        <f t="shared" si="565"/>
        <v>189</v>
      </c>
      <c r="AY1181">
        <f t="shared" si="566"/>
        <v>172</v>
      </c>
      <c r="AZ1181">
        <f t="shared" si="567"/>
        <v>140</v>
      </c>
      <c r="BA1181">
        <f t="shared" si="568"/>
        <v>126</v>
      </c>
      <c r="BB1181">
        <f t="shared" si="569"/>
        <v>112</v>
      </c>
    </row>
    <row r="1182" spans="1:54" x14ac:dyDescent="0.15">
      <c r="A1182">
        <v>792</v>
      </c>
      <c r="B1182" t="s">
        <v>4125</v>
      </c>
      <c r="C1182">
        <v>904</v>
      </c>
      <c r="D1182">
        <v>0</v>
      </c>
      <c r="E1182" t="s">
        <v>4126</v>
      </c>
      <c r="G1182" t="s">
        <v>4126</v>
      </c>
      <c r="H1182" t="s">
        <v>4127</v>
      </c>
      <c r="J1182" t="s">
        <v>4128</v>
      </c>
      <c r="K1182">
        <v>60.5</v>
      </c>
      <c r="L1182">
        <v>2.5</v>
      </c>
      <c r="M1182" t="s">
        <v>140</v>
      </c>
      <c r="N1182" t="s">
        <v>27</v>
      </c>
      <c r="O1182" t="s">
        <v>215</v>
      </c>
      <c r="P1182" t="s">
        <v>346</v>
      </c>
      <c r="Q1182" t="s">
        <v>155</v>
      </c>
      <c r="R1182">
        <v>9</v>
      </c>
      <c r="S1182">
        <v>85</v>
      </c>
      <c r="T1182">
        <v>115</v>
      </c>
      <c r="U1182">
        <v>95</v>
      </c>
      <c r="V1182">
        <v>65</v>
      </c>
      <c r="W1182">
        <v>65</v>
      </c>
      <c r="X1182">
        <v>85</v>
      </c>
      <c r="Y1182">
        <f t="shared" si="540"/>
        <v>192</v>
      </c>
      <c r="Z1182">
        <f t="shared" si="541"/>
        <v>192</v>
      </c>
      <c r="AA1182">
        <f t="shared" si="542"/>
        <v>160</v>
      </c>
      <c r="AB1182">
        <f t="shared" si="543"/>
        <v>160</v>
      </c>
      <c r="AC1182">
        <f t="shared" si="544"/>
        <v>145</v>
      </c>
      <c r="AD1182">
        <f t="shared" si="545"/>
        <v>183</v>
      </c>
      <c r="AE1182">
        <f t="shared" si="546"/>
        <v>167</v>
      </c>
      <c r="AF1182">
        <f t="shared" si="547"/>
        <v>135</v>
      </c>
      <c r="AG1182">
        <f t="shared" si="548"/>
        <v>121</v>
      </c>
      <c r="AH1182">
        <f t="shared" si="549"/>
        <v>108</v>
      </c>
      <c r="AI1182">
        <f t="shared" si="550"/>
        <v>161</v>
      </c>
      <c r="AJ1182">
        <f t="shared" si="551"/>
        <v>147</v>
      </c>
      <c r="AK1182">
        <f t="shared" si="552"/>
        <v>115</v>
      </c>
      <c r="AL1182">
        <f t="shared" si="553"/>
        <v>103</v>
      </c>
      <c r="AM1182">
        <f t="shared" si="554"/>
        <v>90</v>
      </c>
      <c r="AN1182">
        <f t="shared" si="555"/>
        <v>128</v>
      </c>
      <c r="AO1182">
        <f t="shared" si="556"/>
        <v>117</v>
      </c>
      <c r="AP1182">
        <f t="shared" si="557"/>
        <v>85</v>
      </c>
      <c r="AQ1182">
        <f t="shared" si="558"/>
        <v>76</v>
      </c>
      <c r="AR1182">
        <f t="shared" si="559"/>
        <v>63</v>
      </c>
      <c r="AS1182">
        <f t="shared" si="560"/>
        <v>128</v>
      </c>
      <c r="AT1182">
        <f t="shared" si="561"/>
        <v>117</v>
      </c>
      <c r="AU1182">
        <f t="shared" si="562"/>
        <v>85</v>
      </c>
      <c r="AV1182">
        <f t="shared" si="563"/>
        <v>76</v>
      </c>
      <c r="AW1182">
        <f t="shared" si="564"/>
        <v>63</v>
      </c>
      <c r="AX1182">
        <f t="shared" si="565"/>
        <v>150</v>
      </c>
      <c r="AY1182">
        <f t="shared" si="566"/>
        <v>137</v>
      </c>
      <c r="AZ1182">
        <f t="shared" si="567"/>
        <v>105</v>
      </c>
      <c r="BA1182">
        <f t="shared" si="568"/>
        <v>94</v>
      </c>
      <c r="BB1182">
        <f t="shared" si="569"/>
        <v>81</v>
      </c>
    </row>
    <row r="1183" spans="1:54" x14ac:dyDescent="0.15">
      <c r="A1183">
        <v>790</v>
      </c>
      <c r="B1183" t="s">
        <v>4129</v>
      </c>
      <c r="C1183">
        <v>905</v>
      </c>
      <c r="D1183">
        <v>0</v>
      </c>
      <c r="E1183" t="s">
        <v>4130</v>
      </c>
      <c r="F1183" t="s">
        <v>2844</v>
      </c>
      <c r="G1183" t="s">
        <v>4131</v>
      </c>
      <c r="H1183" t="s">
        <v>4132</v>
      </c>
      <c r="J1183" t="s">
        <v>4133</v>
      </c>
      <c r="K1183">
        <v>48</v>
      </c>
      <c r="L1183">
        <v>1.6</v>
      </c>
      <c r="M1183" t="s">
        <v>233</v>
      </c>
      <c r="N1183" t="s">
        <v>57</v>
      </c>
      <c r="O1183" t="s">
        <v>234</v>
      </c>
      <c r="P1183" t="s">
        <v>1094</v>
      </c>
      <c r="R1183">
        <v>9</v>
      </c>
      <c r="S1183">
        <v>74</v>
      </c>
      <c r="T1183">
        <v>115</v>
      </c>
      <c r="U1183">
        <v>70</v>
      </c>
      <c r="V1183">
        <v>135</v>
      </c>
      <c r="W1183">
        <v>80</v>
      </c>
      <c r="X1183">
        <v>106</v>
      </c>
      <c r="Y1183">
        <f t="shared" si="540"/>
        <v>181</v>
      </c>
      <c r="Z1183">
        <f t="shared" si="541"/>
        <v>181</v>
      </c>
      <c r="AA1183">
        <f t="shared" si="542"/>
        <v>149</v>
      </c>
      <c r="AB1183">
        <f t="shared" si="543"/>
        <v>149</v>
      </c>
      <c r="AC1183">
        <f t="shared" si="544"/>
        <v>134</v>
      </c>
      <c r="AD1183">
        <f t="shared" si="545"/>
        <v>183</v>
      </c>
      <c r="AE1183">
        <f t="shared" si="546"/>
        <v>167</v>
      </c>
      <c r="AF1183">
        <f t="shared" si="547"/>
        <v>135</v>
      </c>
      <c r="AG1183">
        <f t="shared" si="548"/>
        <v>121</v>
      </c>
      <c r="AH1183">
        <f t="shared" si="549"/>
        <v>108</v>
      </c>
      <c r="AI1183">
        <f t="shared" si="550"/>
        <v>134</v>
      </c>
      <c r="AJ1183">
        <f t="shared" si="551"/>
        <v>122</v>
      </c>
      <c r="AK1183">
        <f t="shared" si="552"/>
        <v>90</v>
      </c>
      <c r="AL1183">
        <f t="shared" si="553"/>
        <v>81</v>
      </c>
      <c r="AM1183">
        <f t="shared" si="554"/>
        <v>67</v>
      </c>
      <c r="AN1183">
        <f t="shared" si="555"/>
        <v>205</v>
      </c>
      <c r="AO1183">
        <f t="shared" si="556"/>
        <v>187</v>
      </c>
      <c r="AP1183">
        <f t="shared" si="557"/>
        <v>155</v>
      </c>
      <c r="AQ1183">
        <f t="shared" si="558"/>
        <v>139</v>
      </c>
      <c r="AR1183">
        <f t="shared" si="559"/>
        <v>126</v>
      </c>
      <c r="AS1183">
        <f t="shared" si="560"/>
        <v>145</v>
      </c>
      <c r="AT1183">
        <f t="shared" si="561"/>
        <v>132</v>
      </c>
      <c r="AU1183">
        <f t="shared" si="562"/>
        <v>100</v>
      </c>
      <c r="AV1183">
        <f t="shared" si="563"/>
        <v>90</v>
      </c>
      <c r="AW1183">
        <f t="shared" si="564"/>
        <v>76</v>
      </c>
      <c r="AX1183">
        <f t="shared" si="565"/>
        <v>173</v>
      </c>
      <c r="AY1183">
        <f t="shared" si="566"/>
        <v>158</v>
      </c>
      <c r="AZ1183">
        <f t="shared" si="567"/>
        <v>126</v>
      </c>
      <c r="BA1183">
        <f t="shared" si="568"/>
        <v>113</v>
      </c>
      <c r="BB1183">
        <f t="shared" si="569"/>
        <v>99</v>
      </c>
    </row>
    <row r="1184" spans="1:54" x14ac:dyDescent="0.15">
      <c r="A1184">
        <v>791</v>
      </c>
      <c r="B1184" t="s">
        <v>4134</v>
      </c>
      <c r="C1184">
        <v>905</v>
      </c>
      <c r="D1184">
        <v>1</v>
      </c>
      <c r="E1184" t="s">
        <v>4130</v>
      </c>
      <c r="F1184" t="s">
        <v>2849</v>
      </c>
      <c r="G1184" t="s">
        <v>4135</v>
      </c>
      <c r="H1184" t="s">
        <v>4136</v>
      </c>
      <c r="J1184" t="s">
        <v>4133</v>
      </c>
      <c r="K1184">
        <v>48</v>
      </c>
      <c r="L1184">
        <v>1.6</v>
      </c>
      <c r="M1184" t="s">
        <v>233</v>
      </c>
      <c r="N1184" t="s">
        <v>57</v>
      </c>
      <c r="O1184" t="s">
        <v>538</v>
      </c>
      <c r="R1184">
        <v>9</v>
      </c>
      <c r="S1184">
        <v>74</v>
      </c>
      <c r="T1184">
        <v>115</v>
      </c>
      <c r="U1184">
        <v>110</v>
      </c>
      <c r="V1184">
        <v>135</v>
      </c>
      <c r="W1184">
        <v>100</v>
      </c>
      <c r="X1184">
        <v>46</v>
      </c>
      <c r="Y1184">
        <f t="shared" si="540"/>
        <v>181</v>
      </c>
      <c r="Z1184">
        <f t="shared" si="541"/>
        <v>181</v>
      </c>
      <c r="AA1184">
        <f t="shared" si="542"/>
        <v>149</v>
      </c>
      <c r="AB1184">
        <f t="shared" si="543"/>
        <v>149</v>
      </c>
      <c r="AC1184">
        <f t="shared" si="544"/>
        <v>134</v>
      </c>
      <c r="AD1184">
        <f t="shared" si="545"/>
        <v>183</v>
      </c>
      <c r="AE1184">
        <f t="shared" si="546"/>
        <v>167</v>
      </c>
      <c r="AF1184">
        <f t="shared" si="547"/>
        <v>135</v>
      </c>
      <c r="AG1184">
        <f t="shared" si="548"/>
        <v>121</v>
      </c>
      <c r="AH1184">
        <f t="shared" si="549"/>
        <v>108</v>
      </c>
      <c r="AI1184">
        <f t="shared" si="550"/>
        <v>178</v>
      </c>
      <c r="AJ1184">
        <f t="shared" si="551"/>
        <v>162</v>
      </c>
      <c r="AK1184">
        <f t="shared" si="552"/>
        <v>130</v>
      </c>
      <c r="AL1184">
        <f t="shared" si="553"/>
        <v>117</v>
      </c>
      <c r="AM1184">
        <f t="shared" si="554"/>
        <v>103</v>
      </c>
      <c r="AN1184">
        <f t="shared" si="555"/>
        <v>205</v>
      </c>
      <c r="AO1184">
        <f t="shared" si="556"/>
        <v>187</v>
      </c>
      <c r="AP1184">
        <f t="shared" si="557"/>
        <v>155</v>
      </c>
      <c r="AQ1184">
        <f t="shared" si="558"/>
        <v>139</v>
      </c>
      <c r="AR1184">
        <f t="shared" si="559"/>
        <v>126</v>
      </c>
      <c r="AS1184">
        <f t="shared" si="560"/>
        <v>167</v>
      </c>
      <c r="AT1184">
        <f t="shared" si="561"/>
        <v>152</v>
      </c>
      <c r="AU1184">
        <f t="shared" si="562"/>
        <v>120</v>
      </c>
      <c r="AV1184">
        <f t="shared" si="563"/>
        <v>108</v>
      </c>
      <c r="AW1184">
        <f t="shared" si="564"/>
        <v>94</v>
      </c>
      <c r="AX1184">
        <f t="shared" si="565"/>
        <v>107</v>
      </c>
      <c r="AY1184">
        <f t="shared" si="566"/>
        <v>98</v>
      </c>
      <c r="AZ1184">
        <f t="shared" si="567"/>
        <v>66</v>
      </c>
      <c r="BA1184">
        <f t="shared" si="568"/>
        <v>59</v>
      </c>
      <c r="BB1184">
        <f t="shared" si="569"/>
        <v>45</v>
      </c>
    </row>
    <row r="1185" spans="1:54" x14ac:dyDescent="0.15">
      <c r="A1185">
        <v>798</v>
      </c>
      <c r="B1185" t="s">
        <v>4137</v>
      </c>
      <c r="C1185">
        <v>906</v>
      </c>
      <c r="D1185">
        <v>0</v>
      </c>
      <c r="E1185" t="s">
        <v>4138</v>
      </c>
      <c r="G1185" t="s">
        <v>4138</v>
      </c>
      <c r="H1185" t="s">
        <v>4139</v>
      </c>
      <c r="J1185" t="s">
        <v>4140</v>
      </c>
      <c r="K1185">
        <v>4.0999999999999996</v>
      </c>
      <c r="L1185">
        <v>0.4</v>
      </c>
      <c r="M1185" t="s">
        <v>26</v>
      </c>
      <c r="O1185" t="s">
        <v>28</v>
      </c>
      <c r="P1185" t="s">
        <v>1640</v>
      </c>
      <c r="R1185">
        <v>9</v>
      </c>
      <c r="S1185">
        <v>40</v>
      </c>
      <c r="T1185">
        <v>61</v>
      </c>
      <c r="U1185">
        <v>54</v>
      </c>
      <c r="V1185">
        <v>45</v>
      </c>
      <c r="W1185">
        <v>45</v>
      </c>
      <c r="X1185">
        <v>65</v>
      </c>
      <c r="Y1185">
        <f t="shared" si="540"/>
        <v>147</v>
      </c>
      <c r="Z1185">
        <f t="shared" si="541"/>
        <v>147</v>
      </c>
      <c r="AA1185">
        <f t="shared" si="542"/>
        <v>115</v>
      </c>
      <c r="AB1185">
        <f t="shared" si="543"/>
        <v>115</v>
      </c>
      <c r="AC1185">
        <f t="shared" si="544"/>
        <v>100</v>
      </c>
      <c r="AD1185">
        <f t="shared" si="545"/>
        <v>124</v>
      </c>
      <c r="AE1185">
        <f t="shared" si="546"/>
        <v>113</v>
      </c>
      <c r="AF1185">
        <f t="shared" si="547"/>
        <v>81</v>
      </c>
      <c r="AG1185">
        <f t="shared" si="548"/>
        <v>72</v>
      </c>
      <c r="AH1185">
        <f t="shared" si="549"/>
        <v>59</v>
      </c>
      <c r="AI1185">
        <f t="shared" si="550"/>
        <v>116</v>
      </c>
      <c r="AJ1185">
        <f t="shared" si="551"/>
        <v>106</v>
      </c>
      <c r="AK1185">
        <f t="shared" si="552"/>
        <v>74</v>
      </c>
      <c r="AL1185">
        <f t="shared" si="553"/>
        <v>66</v>
      </c>
      <c r="AM1185">
        <f t="shared" si="554"/>
        <v>53</v>
      </c>
      <c r="AN1185">
        <f t="shared" si="555"/>
        <v>106</v>
      </c>
      <c r="AO1185">
        <f t="shared" si="556"/>
        <v>97</v>
      </c>
      <c r="AP1185">
        <f t="shared" si="557"/>
        <v>65</v>
      </c>
      <c r="AQ1185">
        <f t="shared" si="558"/>
        <v>58</v>
      </c>
      <c r="AR1185">
        <f t="shared" si="559"/>
        <v>45</v>
      </c>
      <c r="AS1185">
        <f t="shared" si="560"/>
        <v>106</v>
      </c>
      <c r="AT1185">
        <f t="shared" si="561"/>
        <v>97</v>
      </c>
      <c r="AU1185">
        <f t="shared" si="562"/>
        <v>65</v>
      </c>
      <c r="AV1185">
        <f t="shared" si="563"/>
        <v>58</v>
      </c>
      <c r="AW1185">
        <f t="shared" si="564"/>
        <v>45</v>
      </c>
      <c r="AX1185">
        <f t="shared" si="565"/>
        <v>128</v>
      </c>
      <c r="AY1185">
        <f t="shared" si="566"/>
        <v>117</v>
      </c>
      <c r="AZ1185">
        <f t="shared" si="567"/>
        <v>85</v>
      </c>
      <c r="BA1185">
        <f t="shared" si="568"/>
        <v>76</v>
      </c>
      <c r="BB1185">
        <f t="shared" si="569"/>
        <v>63</v>
      </c>
    </row>
    <row r="1186" spans="1:54" x14ac:dyDescent="0.15">
      <c r="A1186">
        <v>799</v>
      </c>
      <c r="B1186" t="s">
        <v>4141</v>
      </c>
      <c r="C1186">
        <v>907</v>
      </c>
      <c r="D1186">
        <v>0</v>
      </c>
      <c r="E1186" t="s">
        <v>4142</v>
      </c>
      <c r="G1186" t="s">
        <v>4142</v>
      </c>
      <c r="H1186" t="s">
        <v>4143</v>
      </c>
      <c r="J1186" t="s">
        <v>4140</v>
      </c>
      <c r="K1186">
        <v>12.2</v>
      </c>
      <c r="L1186">
        <v>0.9</v>
      </c>
      <c r="M1186" t="s">
        <v>26</v>
      </c>
      <c r="O1186" t="s">
        <v>28</v>
      </c>
      <c r="P1186" t="s">
        <v>1640</v>
      </c>
      <c r="R1186">
        <v>9</v>
      </c>
      <c r="S1186">
        <v>61</v>
      </c>
      <c r="T1186">
        <v>80</v>
      </c>
      <c r="U1186">
        <v>63</v>
      </c>
      <c r="V1186">
        <v>60</v>
      </c>
      <c r="W1186">
        <v>63</v>
      </c>
      <c r="X1186">
        <v>83</v>
      </c>
      <c r="Y1186">
        <f t="shared" si="540"/>
        <v>168</v>
      </c>
      <c r="Z1186">
        <f t="shared" si="541"/>
        <v>168</v>
      </c>
      <c r="AA1186">
        <f t="shared" si="542"/>
        <v>136</v>
      </c>
      <c r="AB1186">
        <f t="shared" si="543"/>
        <v>136</v>
      </c>
      <c r="AC1186">
        <f t="shared" si="544"/>
        <v>121</v>
      </c>
      <c r="AD1186">
        <f t="shared" si="545"/>
        <v>145</v>
      </c>
      <c r="AE1186">
        <f t="shared" si="546"/>
        <v>132</v>
      </c>
      <c r="AF1186">
        <f t="shared" si="547"/>
        <v>100</v>
      </c>
      <c r="AG1186">
        <f t="shared" si="548"/>
        <v>90</v>
      </c>
      <c r="AH1186">
        <f t="shared" si="549"/>
        <v>76</v>
      </c>
      <c r="AI1186">
        <f t="shared" si="550"/>
        <v>126</v>
      </c>
      <c r="AJ1186">
        <f t="shared" si="551"/>
        <v>115</v>
      </c>
      <c r="AK1186">
        <f t="shared" si="552"/>
        <v>83</v>
      </c>
      <c r="AL1186">
        <f t="shared" si="553"/>
        <v>74</v>
      </c>
      <c r="AM1186">
        <f t="shared" si="554"/>
        <v>61</v>
      </c>
      <c r="AN1186">
        <f t="shared" si="555"/>
        <v>123</v>
      </c>
      <c r="AO1186">
        <f t="shared" si="556"/>
        <v>112</v>
      </c>
      <c r="AP1186">
        <f t="shared" si="557"/>
        <v>80</v>
      </c>
      <c r="AQ1186">
        <f t="shared" si="558"/>
        <v>72</v>
      </c>
      <c r="AR1186">
        <f t="shared" si="559"/>
        <v>58</v>
      </c>
      <c r="AS1186">
        <f t="shared" si="560"/>
        <v>126</v>
      </c>
      <c r="AT1186">
        <f t="shared" si="561"/>
        <v>115</v>
      </c>
      <c r="AU1186">
        <f t="shared" si="562"/>
        <v>83</v>
      </c>
      <c r="AV1186">
        <f t="shared" si="563"/>
        <v>74</v>
      </c>
      <c r="AW1186">
        <f t="shared" si="564"/>
        <v>61</v>
      </c>
      <c r="AX1186">
        <f t="shared" si="565"/>
        <v>148</v>
      </c>
      <c r="AY1186">
        <f t="shared" si="566"/>
        <v>135</v>
      </c>
      <c r="AZ1186">
        <f t="shared" si="567"/>
        <v>103</v>
      </c>
      <c r="BA1186">
        <f t="shared" si="568"/>
        <v>92</v>
      </c>
      <c r="BB1186">
        <f t="shared" si="569"/>
        <v>79</v>
      </c>
    </row>
    <row r="1187" spans="1:54" x14ac:dyDescent="0.15">
      <c r="A1187">
        <v>800</v>
      </c>
      <c r="B1187" t="s">
        <v>4144</v>
      </c>
      <c r="C1187">
        <v>908</v>
      </c>
      <c r="D1187">
        <v>0</v>
      </c>
      <c r="E1187" t="s">
        <v>4145</v>
      </c>
      <c r="G1187" t="s">
        <v>4145</v>
      </c>
      <c r="H1187" t="s">
        <v>4146</v>
      </c>
      <c r="J1187" t="s">
        <v>4147</v>
      </c>
      <c r="K1187">
        <v>31.2</v>
      </c>
      <c r="L1187">
        <v>1.5</v>
      </c>
      <c r="M1187" t="s">
        <v>26</v>
      </c>
      <c r="N1187" t="s">
        <v>140</v>
      </c>
      <c r="O1187" t="s">
        <v>28</v>
      </c>
      <c r="P1187" t="s">
        <v>1640</v>
      </c>
      <c r="R1187">
        <v>9</v>
      </c>
      <c r="S1187">
        <v>76</v>
      </c>
      <c r="T1187">
        <v>110</v>
      </c>
      <c r="U1187">
        <v>70</v>
      </c>
      <c r="V1187">
        <v>81</v>
      </c>
      <c r="W1187">
        <v>70</v>
      </c>
      <c r="X1187">
        <v>123</v>
      </c>
      <c r="Y1187">
        <f t="shared" si="540"/>
        <v>183</v>
      </c>
      <c r="Z1187">
        <f t="shared" si="541"/>
        <v>183</v>
      </c>
      <c r="AA1187">
        <f t="shared" si="542"/>
        <v>151</v>
      </c>
      <c r="AB1187">
        <f t="shared" si="543"/>
        <v>151</v>
      </c>
      <c r="AC1187">
        <f t="shared" si="544"/>
        <v>136</v>
      </c>
      <c r="AD1187">
        <f t="shared" si="545"/>
        <v>178</v>
      </c>
      <c r="AE1187">
        <f t="shared" si="546"/>
        <v>162</v>
      </c>
      <c r="AF1187">
        <f t="shared" si="547"/>
        <v>130</v>
      </c>
      <c r="AG1187">
        <f t="shared" si="548"/>
        <v>117</v>
      </c>
      <c r="AH1187">
        <f t="shared" si="549"/>
        <v>103</v>
      </c>
      <c r="AI1187">
        <f t="shared" si="550"/>
        <v>134</v>
      </c>
      <c r="AJ1187">
        <f t="shared" si="551"/>
        <v>122</v>
      </c>
      <c r="AK1187">
        <f t="shared" si="552"/>
        <v>90</v>
      </c>
      <c r="AL1187">
        <f t="shared" si="553"/>
        <v>81</v>
      </c>
      <c r="AM1187">
        <f t="shared" si="554"/>
        <v>67</v>
      </c>
      <c r="AN1187">
        <f t="shared" si="555"/>
        <v>146</v>
      </c>
      <c r="AO1187">
        <f t="shared" si="556"/>
        <v>133</v>
      </c>
      <c r="AP1187">
        <f t="shared" si="557"/>
        <v>101</v>
      </c>
      <c r="AQ1187">
        <f t="shared" si="558"/>
        <v>90</v>
      </c>
      <c r="AR1187">
        <f t="shared" si="559"/>
        <v>77</v>
      </c>
      <c r="AS1187">
        <f t="shared" si="560"/>
        <v>134</v>
      </c>
      <c r="AT1187">
        <f t="shared" si="561"/>
        <v>122</v>
      </c>
      <c r="AU1187">
        <f t="shared" si="562"/>
        <v>90</v>
      </c>
      <c r="AV1187">
        <f t="shared" si="563"/>
        <v>81</v>
      </c>
      <c r="AW1187">
        <f t="shared" si="564"/>
        <v>67</v>
      </c>
      <c r="AX1187">
        <f t="shared" si="565"/>
        <v>192</v>
      </c>
      <c r="AY1187">
        <f t="shared" si="566"/>
        <v>175</v>
      </c>
      <c r="AZ1187">
        <f t="shared" si="567"/>
        <v>143</v>
      </c>
      <c r="BA1187">
        <f t="shared" si="568"/>
        <v>128</v>
      </c>
      <c r="BB1187">
        <f t="shared" si="569"/>
        <v>115</v>
      </c>
    </row>
    <row r="1188" spans="1:54" x14ac:dyDescent="0.15">
      <c r="A1188">
        <v>801</v>
      </c>
      <c r="B1188" t="s">
        <v>4148</v>
      </c>
      <c r="C1188">
        <v>909</v>
      </c>
      <c r="D1188">
        <v>0</v>
      </c>
      <c r="E1188" t="s">
        <v>4149</v>
      </c>
      <c r="G1188" t="s">
        <v>4149</v>
      </c>
      <c r="H1188" t="s">
        <v>4150</v>
      </c>
      <c r="J1188" t="s">
        <v>4151</v>
      </c>
      <c r="K1188">
        <v>9.8000000000000007</v>
      </c>
      <c r="L1188">
        <v>0.4</v>
      </c>
      <c r="M1188" t="s">
        <v>47</v>
      </c>
      <c r="O1188" t="s">
        <v>48</v>
      </c>
      <c r="P1188" t="s">
        <v>240</v>
      </c>
      <c r="R1188">
        <v>9</v>
      </c>
      <c r="S1188">
        <v>67</v>
      </c>
      <c r="T1188">
        <v>45</v>
      </c>
      <c r="U1188">
        <v>59</v>
      </c>
      <c r="V1188">
        <v>63</v>
      </c>
      <c r="W1188">
        <v>40</v>
      </c>
      <c r="X1188">
        <v>36</v>
      </c>
      <c r="Y1188">
        <f t="shared" si="540"/>
        <v>174</v>
      </c>
      <c r="Z1188">
        <f t="shared" si="541"/>
        <v>174</v>
      </c>
      <c r="AA1188">
        <f t="shared" si="542"/>
        <v>142</v>
      </c>
      <c r="AB1188">
        <f t="shared" si="543"/>
        <v>142</v>
      </c>
      <c r="AC1188">
        <f t="shared" si="544"/>
        <v>127</v>
      </c>
      <c r="AD1188">
        <f t="shared" si="545"/>
        <v>106</v>
      </c>
      <c r="AE1188">
        <f t="shared" si="546"/>
        <v>97</v>
      </c>
      <c r="AF1188">
        <f t="shared" si="547"/>
        <v>65</v>
      </c>
      <c r="AG1188">
        <f t="shared" si="548"/>
        <v>58</v>
      </c>
      <c r="AH1188">
        <f t="shared" si="549"/>
        <v>45</v>
      </c>
      <c r="AI1188">
        <f t="shared" si="550"/>
        <v>122</v>
      </c>
      <c r="AJ1188">
        <f t="shared" si="551"/>
        <v>111</v>
      </c>
      <c r="AK1188">
        <f t="shared" si="552"/>
        <v>79</v>
      </c>
      <c r="AL1188">
        <f t="shared" si="553"/>
        <v>71</v>
      </c>
      <c r="AM1188">
        <f t="shared" si="554"/>
        <v>57</v>
      </c>
      <c r="AN1188">
        <f t="shared" si="555"/>
        <v>126</v>
      </c>
      <c r="AO1188">
        <f t="shared" si="556"/>
        <v>115</v>
      </c>
      <c r="AP1188">
        <f t="shared" si="557"/>
        <v>83</v>
      </c>
      <c r="AQ1188">
        <f t="shared" si="558"/>
        <v>74</v>
      </c>
      <c r="AR1188">
        <f t="shared" si="559"/>
        <v>61</v>
      </c>
      <c r="AS1188">
        <f t="shared" si="560"/>
        <v>101</v>
      </c>
      <c r="AT1188">
        <f t="shared" si="561"/>
        <v>92</v>
      </c>
      <c r="AU1188">
        <f t="shared" si="562"/>
        <v>60</v>
      </c>
      <c r="AV1188">
        <f t="shared" si="563"/>
        <v>54</v>
      </c>
      <c r="AW1188">
        <f t="shared" si="564"/>
        <v>40</v>
      </c>
      <c r="AX1188">
        <f t="shared" si="565"/>
        <v>96</v>
      </c>
      <c r="AY1188">
        <f t="shared" si="566"/>
        <v>88</v>
      </c>
      <c r="AZ1188">
        <f t="shared" si="567"/>
        <v>56</v>
      </c>
      <c r="BA1188">
        <f t="shared" si="568"/>
        <v>50</v>
      </c>
      <c r="BB1188">
        <f t="shared" si="569"/>
        <v>36</v>
      </c>
    </row>
    <row r="1189" spans="1:54" x14ac:dyDescent="0.15">
      <c r="A1189">
        <v>802</v>
      </c>
      <c r="B1189" t="s">
        <v>4152</v>
      </c>
      <c r="C1189">
        <v>910</v>
      </c>
      <c r="D1189">
        <v>0</v>
      </c>
      <c r="E1189" t="s">
        <v>4153</v>
      </c>
      <c r="G1189" t="s">
        <v>4153</v>
      </c>
      <c r="H1189" t="s">
        <v>4154</v>
      </c>
      <c r="J1189" t="s">
        <v>4151</v>
      </c>
      <c r="K1189">
        <v>30.7</v>
      </c>
      <c r="L1189">
        <v>1</v>
      </c>
      <c r="M1189" t="s">
        <v>47</v>
      </c>
      <c r="O1189" t="s">
        <v>48</v>
      </c>
      <c r="P1189" t="s">
        <v>240</v>
      </c>
      <c r="R1189">
        <v>9</v>
      </c>
      <c r="S1189">
        <v>81</v>
      </c>
      <c r="T1189">
        <v>55</v>
      </c>
      <c r="U1189">
        <v>78</v>
      </c>
      <c r="V1189">
        <v>90</v>
      </c>
      <c r="W1189">
        <v>58</v>
      </c>
      <c r="X1189">
        <v>49</v>
      </c>
      <c r="Y1189">
        <f t="shared" si="540"/>
        <v>188</v>
      </c>
      <c r="Z1189">
        <f t="shared" si="541"/>
        <v>188</v>
      </c>
      <c r="AA1189">
        <f t="shared" si="542"/>
        <v>156</v>
      </c>
      <c r="AB1189">
        <f t="shared" si="543"/>
        <v>156</v>
      </c>
      <c r="AC1189">
        <f t="shared" si="544"/>
        <v>141</v>
      </c>
      <c r="AD1189">
        <f t="shared" si="545"/>
        <v>117</v>
      </c>
      <c r="AE1189">
        <f t="shared" si="546"/>
        <v>107</v>
      </c>
      <c r="AF1189">
        <f t="shared" si="547"/>
        <v>75</v>
      </c>
      <c r="AG1189">
        <f t="shared" si="548"/>
        <v>67</v>
      </c>
      <c r="AH1189">
        <f t="shared" si="549"/>
        <v>54</v>
      </c>
      <c r="AI1189">
        <f t="shared" si="550"/>
        <v>143</v>
      </c>
      <c r="AJ1189">
        <f t="shared" si="551"/>
        <v>130</v>
      </c>
      <c r="AK1189">
        <f t="shared" si="552"/>
        <v>98</v>
      </c>
      <c r="AL1189">
        <f t="shared" si="553"/>
        <v>88</v>
      </c>
      <c r="AM1189">
        <f t="shared" si="554"/>
        <v>74</v>
      </c>
      <c r="AN1189">
        <f t="shared" si="555"/>
        <v>156</v>
      </c>
      <c r="AO1189">
        <f t="shared" si="556"/>
        <v>142</v>
      </c>
      <c r="AP1189">
        <f t="shared" si="557"/>
        <v>110</v>
      </c>
      <c r="AQ1189">
        <f t="shared" si="558"/>
        <v>99</v>
      </c>
      <c r="AR1189">
        <f t="shared" si="559"/>
        <v>85</v>
      </c>
      <c r="AS1189">
        <f t="shared" si="560"/>
        <v>121</v>
      </c>
      <c r="AT1189">
        <f t="shared" si="561"/>
        <v>110</v>
      </c>
      <c r="AU1189">
        <f t="shared" si="562"/>
        <v>78</v>
      </c>
      <c r="AV1189">
        <f t="shared" si="563"/>
        <v>70</v>
      </c>
      <c r="AW1189">
        <f t="shared" si="564"/>
        <v>56</v>
      </c>
      <c r="AX1189">
        <f t="shared" si="565"/>
        <v>111</v>
      </c>
      <c r="AY1189">
        <f t="shared" si="566"/>
        <v>101</v>
      </c>
      <c r="AZ1189">
        <f t="shared" si="567"/>
        <v>69</v>
      </c>
      <c r="BA1189">
        <f t="shared" si="568"/>
        <v>62</v>
      </c>
      <c r="BB1189">
        <f t="shared" si="569"/>
        <v>48</v>
      </c>
    </row>
    <row r="1190" spans="1:54" x14ac:dyDescent="0.15">
      <c r="A1190">
        <v>803</v>
      </c>
      <c r="B1190" t="s">
        <v>4155</v>
      </c>
      <c r="C1190">
        <v>911</v>
      </c>
      <c r="D1190">
        <v>0</v>
      </c>
      <c r="E1190" t="s">
        <v>4156</v>
      </c>
      <c r="G1190" t="s">
        <v>4156</v>
      </c>
      <c r="H1190" t="s">
        <v>4157</v>
      </c>
      <c r="J1190" t="s">
        <v>4158</v>
      </c>
      <c r="K1190">
        <v>326.5</v>
      </c>
      <c r="L1190">
        <v>1.6</v>
      </c>
      <c r="M1190" t="s">
        <v>47</v>
      </c>
      <c r="N1190" t="s">
        <v>546</v>
      </c>
      <c r="O1190" t="s">
        <v>48</v>
      </c>
      <c r="P1190" t="s">
        <v>240</v>
      </c>
      <c r="R1190">
        <v>9</v>
      </c>
      <c r="S1190">
        <v>104</v>
      </c>
      <c r="T1190">
        <v>75</v>
      </c>
      <c r="U1190">
        <v>100</v>
      </c>
      <c r="V1190">
        <v>110</v>
      </c>
      <c r="W1190">
        <v>75</v>
      </c>
      <c r="X1190">
        <v>66</v>
      </c>
      <c r="Y1190">
        <f t="shared" si="540"/>
        <v>211</v>
      </c>
      <c r="Z1190">
        <f t="shared" si="541"/>
        <v>211</v>
      </c>
      <c r="AA1190">
        <f t="shared" si="542"/>
        <v>179</v>
      </c>
      <c r="AB1190">
        <f t="shared" si="543"/>
        <v>179</v>
      </c>
      <c r="AC1190">
        <f t="shared" si="544"/>
        <v>164</v>
      </c>
      <c r="AD1190">
        <f t="shared" si="545"/>
        <v>139</v>
      </c>
      <c r="AE1190">
        <f t="shared" si="546"/>
        <v>127</v>
      </c>
      <c r="AF1190">
        <f t="shared" si="547"/>
        <v>95</v>
      </c>
      <c r="AG1190">
        <f t="shared" si="548"/>
        <v>85</v>
      </c>
      <c r="AH1190">
        <f t="shared" si="549"/>
        <v>72</v>
      </c>
      <c r="AI1190">
        <f t="shared" si="550"/>
        <v>167</v>
      </c>
      <c r="AJ1190">
        <f t="shared" si="551"/>
        <v>152</v>
      </c>
      <c r="AK1190">
        <f t="shared" si="552"/>
        <v>120</v>
      </c>
      <c r="AL1190">
        <f t="shared" si="553"/>
        <v>108</v>
      </c>
      <c r="AM1190">
        <f t="shared" si="554"/>
        <v>94</v>
      </c>
      <c r="AN1190">
        <f t="shared" si="555"/>
        <v>178</v>
      </c>
      <c r="AO1190">
        <f t="shared" si="556"/>
        <v>162</v>
      </c>
      <c r="AP1190">
        <f t="shared" si="557"/>
        <v>130</v>
      </c>
      <c r="AQ1190">
        <f t="shared" si="558"/>
        <v>117</v>
      </c>
      <c r="AR1190">
        <f t="shared" si="559"/>
        <v>103</v>
      </c>
      <c r="AS1190">
        <f t="shared" si="560"/>
        <v>139</v>
      </c>
      <c r="AT1190">
        <f t="shared" si="561"/>
        <v>127</v>
      </c>
      <c r="AU1190">
        <f t="shared" si="562"/>
        <v>95</v>
      </c>
      <c r="AV1190">
        <f t="shared" si="563"/>
        <v>85</v>
      </c>
      <c r="AW1190">
        <f t="shared" si="564"/>
        <v>72</v>
      </c>
      <c r="AX1190">
        <f t="shared" si="565"/>
        <v>129</v>
      </c>
      <c r="AY1190">
        <f t="shared" si="566"/>
        <v>118</v>
      </c>
      <c r="AZ1190">
        <f t="shared" si="567"/>
        <v>86</v>
      </c>
      <c r="BA1190">
        <f t="shared" si="568"/>
        <v>77</v>
      </c>
      <c r="BB1190">
        <f t="shared" si="569"/>
        <v>63</v>
      </c>
    </row>
    <row r="1191" spans="1:54" x14ac:dyDescent="0.15">
      <c r="A1191">
        <v>805</v>
      </c>
      <c r="B1191" t="s">
        <v>4159</v>
      </c>
      <c r="C1191">
        <v>912</v>
      </c>
      <c r="D1191">
        <v>0</v>
      </c>
      <c r="E1191" t="s">
        <v>4160</v>
      </c>
      <c r="G1191" t="s">
        <v>4160</v>
      </c>
      <c r="H1191" t="s">
        <v>4161</v>
      </c>
      <c r="J1191" t="s">
        <v>4162</v>
      </c>
      <c r="K1191">
        <v>6.1</v>
      </c>
      <c r="L1191">
        <v>0.5</v>
      </c>
      <c r="M1191" t="s">
        <v>71</v>
      </c>
      <c r="O1191" t="s">
        <v>72</v>
      </c>
      <c r="P1191" t="s">
        <v>714</v>
      </c>
      <c r="R1191">
        <v>9</v>
      </c>
      <c r="S1191">
        <v>55</v>
      </c>
      <c r="T1191">
        <v>65</v>
      </c>
      <c r="U1191">
        <v>45</v>
      </c>
      <c r="V1191">
        <v>50</v>
      </c>
      <c r="W1191">
        <v>45</v>
      </c>
      <c r="X1191">
        <v>50</v>
      </c>
      <c r="Y1191">
        <f t="shared" si="540"/>
        <v>162</v>
      </c>
      <c r="Z1191">
        <f t="shared" si="541"/>
        <v>162</v>
      </c>
      <c r="AA1191">
        <f t="shared" si="542"/>
        <v>130</v>
      </c>
      <c r="AB1191">
        <f t="shared" si="543"/>
        <v>130</v>
      </c>
      <c r="AC1191">
        <f t="shared" si="544"/>
        <v>115</v>
      </c>
      <c r="AD1191">
        <f t="shared" si="545"/>
        <v>128</v>
      </c>
      <c r="AE1191">
        <f t="shared" si="546"/>
        <v>117</v>
      </c>
      <c r="AF1191">
        <f t="shared" si="547"/>
        <v>85</v>
      </c>
      <c r="AG1191">
        <f t="shared" si="548"/>
        <v>76</v>
      </c>
      <c r="AH1191">
        <f t="shared" si="549"/>
        <v>63</v>
      </c>
      <c r="AI1191">
        <f t="shared" si="550"/>
        <v>106</v>
      </c>
      <c r="AJ1191">
        <f t="shared" si="551"/>
        <v>97</v>
      </c>
      <c r="AK1191">
        <f t="shared" si="552"/>
        <v>65</v>
      </c>
      <c r="AL1191">
        <f t="shared" si="553"/>
        <v>58</v>
      </c>
      <c r="AM1191">
        <f t="shared" si="554"/>
        <v>45</v>
      </c>
      <c r="AN1191">
        <f t="shared" si="555"/>
        <v>112</v>
      </c>
      <c r="AO1191">
        <f t="shared" si="556"/>
        <v>102</v>
      </c>
      <c r="AP1191">
        <f t="shared" si="557"/>
        <v>70</v>
      </c>
      <c r="AQ1191">
        <f t="shared" si="558"/>
        <v>63</v>
      </c>
      <c r="AR1191">
        <f t="shared" si="559"/>
        <v>49</v>
      </c>
      <c r="AS1191">
        <f t="shared" si="560"/>
        <v>106</v>
      </c>
      <c r="AT1191">
        <f t="shared" si="561"/>
        <v>97</v>
      </c>
      <c r="AU1191">
        <f t="shared" si="562"/>
        <v>65</v>
      </c>
      <c r="AV1191">
        <f t="shared" si="563"/>
        <v>58</v>
      </c>
      <c r="AW1191">
        <f t="shared" si="564"/>
        <v>45</v>
      </c>
      <c r="AX1191">
        <f t="shared" si="565"/>
        <v>112</v>
      </c>
      <c r="AY1191">
        <f t="shared" si="566"/>
        <v>102</v>
      </c>
      <c r="AZ1191">
        <f t="shared" si="567"/>
        <v>70</v>
      </c>
      <c r="BA1191">
        <f t="shared" si="568"/>
        <v>63</v>
      </c>
      <c r="BB1191">
        <f t="shared" si="569"/>
        <v>49</v>
      </c>
    </row>
    <row r="1192" spans="1:54" x14ac:dyDescent="0.15">
      <c r="A1192">
        <v>806</v>
      </c>
      <c r="B1192" t="s">
        <v>4163</v>
      </c>
      <c r="C1192">
        <v>913</v>
      </c>
      <c r="D1192">
        <v>0</v>
      </c>
      <c r="E1192" t="s">
        <v>4164</v>
      </c>
      <c r="G1192" t="s">
        <v>4164</v>
      </c>
      <c r="H1192" t="s">
        <v>4165</v>
      </c>
      <c r="J1192" t="s">
        <v>4166</v>
      </c>
      <c r="K1192">
        <v>21.5</v>
      </c>
      <c r="L1192">
        <v>1.2</v>
      </c>
      <c r="M1192" t="s">
        <v>71</v>
      </c>
      <c r="O1192" t="s">
        <v>72</v>
      </c>
      <c r="P1192" t="s">
        <v>714</v>
      </c>
      <c r="R1192">
        <v>9</v>
      </c>
      <c r="S1192">
        <v>70</v>
      </c>
      <c r="T1192">
        <v>85</v>
      </c>
      <c r="U1192">
        <v>65</v>
      </c>
      <c r="V1192">
        <v>65</v>
      </c>
      <c r="W1192">
        <v>60</v>
      </c>
      <c r="X1192">
        <v>65</v>
      </c>
      <c r="Y1192">
        <f t="shared" si="540"/>
        <v>177</v>
      </c>
      <c r="Z1192">
        <f t="shared" si="541"/>
        <v>177</v>
      </c>
      <c r="AA1192">
        <f t="shared" si="542"/>
        <v>145</v>
      </c>
      <c r="AB1192">
        <f t="shared" si="543"/>
        <v>145</v>
      </c>
      <c r="AC1192">
        <f t="shared" si="544"/>
        <v>130</v>
      </c>
      <c r="AD1192">
        <f t="shared" si="545"/>
        <v>150</v>
      </c>
      <c r="AE1192">
        <f t="shared" si="546"/>
        <v>137</v>
      </c>
      <c r="AF1192">
        <f t="shared" si="547"/>
        <v>105</v>
      </c>
      <c r="AG1192">
        <f t="shared" si="548"/>
        <v>94</v>
      </c>
      <c r="AH1192">
        <f t="shared" si="549"/>
        <v>81</v>
      </c>
      <c r="AI1192">
        <f t="shared" si="550"/>
        <v>128</v>
      </c>
      <c r="AJ1192">
        <f t="shared" si="551"/>
        <v>117</v>
      </c>
      <c r="AK1192">
        <f t="shared" si="552"/>
        <v>85</v>
      </c>
      <c r="AL1192">
        <f t="shared" si="553"/>
        <v>76</v>
      </c>
      <c r="AM1192">
        <f t="shared" si="554"/>
        <v>63</v>
      </c>
      <c r="AN1192">
        <f t="shared" si="555"/>
        <v>128</v>
      </c>
      <c r="AO1192">
        <f t="shared" si="556"/>
        <v>117</v>
      </c>
      <c r="AP1192">
        <f t="shared" si="557"/>
        <v>85</v>
      </c>
      <c r="AQ1192">
        <f t="shared" si="558"/>
        <v>76</v>
      </c>
      <c r="AR1192">
        <f t="shared" si="559"/>
        <v>63</v>
      </c>
      <c r="AS1192">
        <f t="shared" si="560"/>
        <v>123</v>
      </c>
      <c r="AT1192">
        <f t="shared" si="561"/>
        <v>112</v>
      </c>
      <c r="AU1192">
        <f t="shared" si="562"/>
        <v>80</v>
      </c>
      <c r="AV1192">
        <f t="shared" si="563"/>
        <v>72</v>
      </c>
      <c r="AW1192">
        <f t="shared" si="564"/>
        <v>58</v>
      </c>
      <c r="AX1192">
        <f t="shared" si="565"/>
        <v>128</v>
      </c>
      <c r="AY1192">
        <f t="shared" si="566"/>
        <v>117</v>
      </c>
      <c r="AZ1192">
        <f t="shared" si="567"/>
        <v>85</v>
      </c>
      <c r="BA1192">
        <f t="shared" si="568"/>
        <v>76</v>
      </c>
      <c r="BB1192">
        <f t="shared" si="569"/>
        <v>63</v>
      </c>
    </row>
    <row r="1193" spans="1:54" x14ac:dyDescent="0.15">
      <c r="A1193">
        <v>807</v>
      </c>
      <c r="B1193" t="s">
        <v>4167</v>
      </c>
      <c r="C1193">
        <v>914</v>
      </c>
      <c r="D1193">
        <v>0</v>
      </c>
      <c r="E1193" t="s">
        <v>4168</v>
      </c>
      <c r="G1193" t="s">
        <v>4168</v>
      </c>
      <c r="H1193" t="s">
        <v>4169</v>
      </c>
      <c r="J1193" t="s">
        <v>4170</v>
      </c>
      <c r="K1193">
        <v>61.9</v>
      </c>
      <c r="L1193">
        <v>1.8</v>
      </c>
      <c r="M1193" t="s">
        <v>71</v>
      </c>
      <c r="N1193" t="s">
        <v>354</v>
      </c>
      <c r="O1193" t="s">
        <v>72</v>
      </c>
      <c r="P1193" t="s">
        <v>714</v>
      </c>
      <c r="R1193">
        <v>9</v>
      </c>
      <c r="S1193">
        <v>85</v>
      </c>
      <c r="T1193">
        <v>120</v>
      </c>
      <c r="U1193">
        <v>80</v>
      </c>
      <c r="V1193">
        <v>85</v>
      </c>
      <c r="W1193">
        <v>75</v>
      </c>
      <c r="X1193">
        <v>85</v>
      </c>
      <c r="Y1193">
        <f t="shared" si="540"/>
        <v>192</v>
      </c>
      <c r="Z1193">
        <f t="shared" si="541"/>
        <v>192</v>
      </c>
      <c r="AA1193">
        <f t="shared" si="542"/>
        <v>160</v>
      </c>
      <c r="AB1193">
        <f t="shared" si="543"/>
        <v>160</v>
      </c>
      <c r="AC1193">
        <f t="shared" si="544"/>
        <v>145</v>
      </c>
      <c r="AD1193">
        <f t="shared" si="545"/>
        <v>189</v>
      </c>
      <c r="AE1193">
        <f t="shared" si="546"/>
        <v>172</v>
      </c>
      <c r="AF1193">
        <f t="shared" si="547"/>
        <v>140</v>
      </c>
      <c r="AG1193">
        <f t="shared" si="548"/>
        <v>126</v>
      </c>
      <c r="AH1193">
        <f t="shared" si="549"/>
        <v>112</v>
      </c>
      <c r="AI1193">
        <f t="shared" si="550"/>
        <v>145</v>
      </c>
      <c r="AJ1193">
        <f t="shared" si="551"/>
        <v>132</v>
      </c>
      <c r="AK1193">
        <f t="shared" si="552"/>
        <v>100</v>
      </c>
      <c r="AL1193">
        <f t="shared" si="553"/>
        <v>90</v>
      </c>
      <c r="AM1193">
        <f t="shared" si="554"/>
        <v>76</v>
      </c>
      <c r="AN1193">
        <f t="shared" si="555"/>
        <v>150</v>
      </c>
      <c r="AO1193">
        <f t="shared" si="556"/>
        <v>137</v>
      </c>
      <c r="AP1193">
        <f t="shared" si="557"/>
        <v>105</v>
      </c>
      <c r="AQ1193">
        <f t="shared" si="558"/>
        <v>94</v>
      </c>
      <c r="AR1193">
        <f t="shared" si="559"/>
        <v>81</v>
      </c>
      <c r="AS1193">
        <f t="shared" si="560"/>
        <v>139</v>
      </c>
      <c r="AT1193">
        <f t="shared" si="561"/>
        <v>127</v>
      </c>
      <c r="AU1193">
        <f t="shared" si="562"/>
        <v>95</v>
      </c>
      <c r="AV1193">
        <f t="shared" si="563"/>
        <v>85</v>
      </c>
      <c r="AW1193">
        <f t="shared" si="564"/>
        <v>72</v>
      </c>
      <c r="AX1193">
        <f t="shared" si="565"/>
        <v>150</v>
      </c>
      <c r="AY1193">
        <f t="shared" si="566"/>
        <v>137</v>
      </c>
      <c r="AZ1193">
        <f t="shared" si="567"/>
        <v>105</v>
      </c>
      <c r="BA1193">
        <f t="shared" si="568"/>
        <v>94</v>
      </c>
      <c r="BB1193">
        <f t="shared" si="569"/>
        <v>81</v>
      </c>
    </row>
    <row r="1194" spans="1:54" x14ac:dyDescent="0.15">
      <c r="A1194">
        <v>808</v>
      </c>
      <c r="B1194" t="s">
        <v>4171</v>
      </c>
      <c r="C1194">
        <v>915</v>
      </c>
      <c r="D1194">
        <v>0</v>
      </c>
      <c r="E1194" t="s">
        <v>4172</v>
      </c>
      <c r="G1194" t="s">
        <v>4172</v>
      </c>
      <c r="H1194" t="s">
        <v>4173</v>
      </c>
      <c r="J1194" t="s">
        <v>4174</v>
      </c>
      <c r="K1194">
        <v>10.199999999999999</v>
      </c>
      <c r="L1194">
        <v>0.5</v>
      </c>
      <c r="M1194" t="s">
        <v>120</v>
      </c>
      <c r="O1194" t="s">
        <v>3100</v>
      </c>
      <c r="P1194" t="s">
        <v>141</v>
      </c>
      <c r="Q1194" t="s">
        <v>38</v>
      </c>
      <c r="R1194">
        <v>9</v>
      </c>
      <c r="S1194">
        <v>54</v>
      </c>
      <c r="T1194">
        <v>45</v>
      </c>
      <c r="U1194">
        <v>40</v>
      </c>
      <c r="V1194">
        <v>35</v>
      </c>
      <c r="W1194">
        <v>45</v>
      </c>
      <c r="X1194">
        <v>35</v>
      </c>
      <c r="Y1194">
        <f t="shared" si="540"/>
        <v>161</v>
      </c>
      <c r="Z1194">
        <f t="shared" si="541"/>
        <v>161</v>
      </c>
      <c r="AA1194">
        <f t="shared" si="542"/>
        <v>129</v>
      </c>
      <c r="AB1194">
        <f t="shared" si="543"/>
        <v>129</v>
      </c>
      <c r="AC1194">
        <f t="shared" si="544"/>
        <v>114</v>
      </c>
      <c r="AD1194">
        <f t="shared" si="545"/>
        <v>106</v>
      </c>
      <c r="AE1194">
        <f t="shared" si="546"/>
        <v>97</v>
      </c>
      <c r="AF1194">
        <f t="shared" si="547"/>
        <v>65</v>
      </c>
      <c r="AG1194">
        <f t="shared" si="548"/>
        <v>58</v>
      </c>
      <c r="AH1194">
        <f t="shared" si="549"/>
        <v>45</v>
      </c>
      <c r="AI1194">
        <f t="shared" si="550"/>
        <v>101</v>
      </c>
      <c r="AJ1194">
        <f t="shared" si="551"/>
        <v>92</v>
      </c>
      <c r="AK1194">
        <f t="shared" si="552"/>
        <v>60</v>
      </c>
      <c r="AL1194">
        <f t="shared" si="553"/>
        <v>54</v>
      </c>
      <c r="AM1194">
        <f t="shared" si="554"/>
        <v>40</v>
      </c>
      <c r="AN1194">
        <f t="shared" si="555"/>
        <v>95</v>
      </c>
      <c r="AO1194">
        <f t="shared" si="556"/>
        <v>87</v>
      </c>
      <c r="AP1194">
        <f t="shared" si="557"/>
        <v>55</v>
      </c>
      <c r="AQ1194">
        <f t="shared" si="558"/>
        <v>49</v>
      </c>
      <c r="AR1194">
        <f t="shared" si="559"/>
        <v>36</v>
      </c>
      <c r="AS1194">
        <f t="shared" si="560"/>
        <v>106</v>
      </c>
      <c r="AT1194">
        <f t="shared" si="561"/>
        <v>97</v>
      </c>
      <c r="AU1194">
        <f t="shared" si="562"/>
        <v>65</v>
      </c>
      <c r="AV1194">
        <f t="shared" si="563"/>
        <v>58</v>
      </c>
      <c r="AW1194">
        <f t="shared" si="564"/>
        <v>45</v>
      </c>
      <c r="AX1194">
        <f t="shared" si="565"/>
        <v>95</v>
      </c>
      <c r="AY1194">
        <f t="shared" si="566"/>
        <v>87</v>
      </c>
      <c r="AZ1194">
        <f t="shared" si="567"/>
        <v>55</v>
      </c>
      <c r="BA1194">
        <f t="shared" si="568"/>
        <v>49</v>
      </c>
      <c r="BB1194">
        <f t="shared" si="569"/>
        <v>36</v>
      </c>
    </row>
    <row r="1195" spans="1:54" x14ac:dyDescent="0.15">
      <c r="A1195">
        <v>810</v>
      </c>
      <c r="B1195" t="s">
        <v>4175</v>
      </c>
      <c r="C1195">
        <v>916</v>
      </c>
      <c r="D1195">
        <v>0</v>
      </c>
      <c r="E1195" t="s">
        <v>4176</v>
      </c>
      <c r="F1195" t="s">
        <v>3075</v>
      </c>
      <c r="G1195" t="s">
        <v>4177</v>
      </c>
      <c r="H1195" t="s">
        <v>4178</v>
      </c>
      <c r="J1195" t="s">
        <v>4174</v>
      </c>
      <c r="K1195">
        <v>120</v>
      </c>
      <c r="L1195">
        <v>1</v>
      </c>
      <c r="M1195" t="s">
        <v>120</v>
      </c>
      <c r="O1195" t="s">
        <v>4179</v>
      </c>
      <c r="P1195" t="s">
        <v>141</v>
      </c>
      <c r="Q1195" t="s">
        <v>38</v>
      </c>
      <c r="R1195">
        <v>9</v>
      </c>
      <c r="S1195">
        <v>110</v>
      </c>
      <c r="T1195">
        <v>100</v>
      </c>
      <c r="U1195">
        <v>75</v>
      </c>
      <c r="V1195">
        <v>59</v>
      </c>
      <c r="W1195">
        <v>80</v>
      </c>
      <c r="X1195">
        <v>65</v>
      </c>
      <c r="Y1195">
        <f t="shared" si="540"/>
        <v>217</v>
      </c>
      <c r="Z1195">
        <f t="shared" si="541"/>
        <v>217</v>
      </c>
      <c r="AA1195">
        <f t="shared" si="542"/>
        <v>185</v>
      </c>
      <c r="AB1195">
        <f t="shared" si="543"/>
        <v>185</v>
      </c>
      <c r="AC1195">
        <f t="shared" si="544"/>
        <v>170</v>
      </c>
      <c r="AD1195">
        <f t="shared" si="545"/>
        <v>167</v>
      </c>
      <c r="AE1195">
        <f t="shared" si="546"/>
        <v>152</v>
      </c>
      <c r="AF1195">
        <f t="shared" si="547"/>
        <v>120</v>
      </c>
      <c r="AG1195">
        <f t="shared" si="548"/>
        <v>108</v>
      </c>
      <c r="AH1195">
        <f t="shared" si="549"/>
        <v>94</v>
      </c>
      <c r="AI1195">
        <f t="shared" si="550"/>
        <v>139</v>
      </c>
      <c r="AJ1195">
        <f t="shared" si="551"/>
        <v>127</v>
      </c>
      <c r="AK1195">
        <f t="shared" si="552"/>
        <v>95</v>
      </c>
      <c r="AL1195">
        <f t="shared" si="553"/>
        <v>85</v>
      </c>
      <c r="AM1195">
        <f t="shared" si="554"/>
        <v>72</v>
      </c>
      <c r="AN1195">
        <f t="shared" si="555"/>
        <v>122</v>
      </c>
      <c r="AO1195">
        <f t="shared" si="556"/>
        <v>111</v>
      </c>
      <c r="AP1195">
        <f t="shared" si="557"/>
        <v>79</v>
      </c>
      <c r="AQ1195">
        <f t="shared" si="558"/>
        <v>71</v>
      </c>
      <c r="AR1195">
        <f t="shared" si="559"/>
        <v>57</v>
      </c>
      <c r="AS1195">
        <f t="shared" si="560"/>
        <v>145</v>
      </c>
      <c r="AT1195">
        <f t="shared" si="561"/>
        <v>132</v>
      </c>
      <c r="AU1195">
        <f t="shared" si="562"/>
        <v>100</v>
      </c>
      <c r="AV1195">
        <f t="shared" si="563"/>
        <v>90</v>
      </c>
      <c r="AW1195">
        <f t="shared" si="564"/>
        <v>76</v>
      </c>
      <c r="AX1195">
        <f t="shared" si="565"/>
        <v>128</v>
      </c>
      <c r="AY1195">
        <f t="shared" si="566"/>
        <v>117</v>
      </c>
      <c r="AZ1195">
        <f t="shared" si="567"/>
        <v>85</v>
      </c>
      <c r="BA1195">
        <f t="shared" si="568"/>
        <v>76</v>
      </c>
      <c r="BB1195">
        <f t="shared" si="569"/>
        <v>63</v>
      </c>
    </row>
    <row r="1196" spans="1:54" x14ac:dyDescent="0.15">
      <c r="A1196">
        <v>811</v>
      </c>
      <c r="B1196" t="s">
        <v>4180</v>
      </c>
      <c r="C1196">
        <v>916</v>
      </c>
      <c r="D1196">
        <v>1</v>
      </c>
      <c r="E1196" t="s">
        <v>4176</v>
      </c>
      <c r="F1196" t="s">
        <v>3080</v>
      </c>
      <c r="G1196" t="s">
        <v>4181</v>
      </c>
      <c r="H1196" t="s">
        <v>4182</v>
      </c>
      <c r="J1196" t="s">
        <v>4174</v>
      </c>
      <c r="K1196">
        <v>120</v>
      </c>
      <c r="L1196">
        <v>1</v>
      </c>
      <c r="M1196" t="s">
        <v>120</v>
      </c>
      <c r="O1196" t="s">
        <v>3100</v>
      </c>
      <c r="P1196" t="s">
        <v>141</v>
      </c>
      <c r="Q1196" t="s">
        <v>38</v>
      </c>
      <c r="R1196">
        <v>9</v>
      </c>
      <c r="S1196">
        <v>115</v>
      </c>
      <c r="T1196">
        <v>90</v>
      </c>
      <c r="U1196">
        <v>70</v>
      </c>
      <c r="V1196">
        <v>59</v>
      </c>
      <c r="W1196">
        <v>90</v>
      </c>
      <c r="X1196">
        <v>65</v>
      </c>
      <c r="Y1196">
        <f t="shared" si="540"/>
        <v>222</v>
      </c>
      <c r="Z1196">
        <f t="shared" si="541"/>
        <v>222</v>
      </c>
      <c r="AA1196">
        <f t="shared" si="542"/>
        <v>190</v>
      </c>
      <c r="AB1196">
        <f t="shared" si="543"/>
        <v>190</v>
      </c>
      <c r="AC1196">
        <f t="shared" si="544"/>
        <v>175</v>
      </c>
      <c r="AD1196">
        <f t="shared" si="545"/>
        <v>156</v>
      </c>
      <c r="AE1196">
        <f t="shared" si="546"/>
        <v>142</v>
      </c>
      <c r="AF1196">
        <f t="shared" si="547"/>
        <v>110</v>
      </c>
      <c r="AG1196">
        <f t="shared" si="548"/>
        <v>99</v>
      </c>
      <c r="AH1196">
        <f t="shared" si="549"/>
        <v>85</v>
      </c>
      <c r="AI1196">
        <f t="shared" si="550"/>
        <v>134</v>
      </c>
      <c r="AJ1196">
        <f t="shared" si="551"/>
        <v>122</v>
      </c>
      <c r="AK1196">
        <f t="shared" si="552"/>
        <v>90</v>
      </c>
      <c r="AL1196">
        <f t="shared" si="553"/>
        <v>81</v>
      </c>
      <c r="AM1196">
        <f t="shared" si="554"/>
        <v>67</v>
      </c>
      <c r="AN1196">
        <f t="shared" si="555"/>
        <v>122</v>
      </c>
      <c r="AO1196">
        <f t="shared" si="556"/>
        <v>111</v>
      </c>
      <c r="AP1196">
        <f t="shared" si="557"/>
        <v>79</v>
      </c>
      <c r="AQ1196">
        <f t="shared" si="558"/>
        <v>71</v>
      </c>
      <c r="AR1196">
        <f t="shared" si="559"/>
        <v>57</v>
      </c>
      <c r="AS1196">
        <f t="shared" si="560"/>
        <v>156</v>
      </c>
      <c r="AT1196">
        <f t="shared" si="561"/>
        <v>142</v>
      </c>
      <c r="AU1196">
        <f t="shared" si="562"/>
        <v>110</v>
      </c>
      <c r="AV1196">
        <f t="shared" si="563"/>
        <v>99</v>
      </c>
      <c r="AW1196">
        <f t="shared" si="564"/>
        <v>85</v>
      </c>
      <c r="AX1196">
        <f t="shared" si="565"/>
        <v>128</v>
      </c>
      <c r="AY1196">
        <f t="shared" si="566"/>
        <v>117</v>
      </c>
      <c r="AZ1196">
        <f t="shared" si="567"/>
        <v>85</v>
      </c>
      <c r="BA1196">
        <f t="shared" si="568"/>
        <v>76</v>
      </c>
      <c r="BB1196">
        <f t="shared" si="569"/>
        <v>63</v>
      </c>
    </row>
    <row r="1197" spans="1:54" x14ac:dyDescent="0.15">
      <c r="A1197">
        <v>813</v>
      </c>
      <c r="B1197" t="s">
        <v>4183</v>
      </c>
      <c r="C1197">
        <v>917</v>
      </c>
      <c r="D1197">
        <v>0</v>
      </c>
      <c r="E1197" t="s">
        <v>4184</v>
      </c>
      <c r="G1197" t="s">
        <v>4184</v>
      </c>
      <c r="H1197" t="s">
        <v>4185</v>
      </c>
      <c r="J1197" t="s">
        <v>4186</v>
      </c>
      <c r="K1197">
        <v>4</v>
      </c>
      <c r="L1197">
        <v>0.3</v>
      </c>
      <c r="M1197" t="s">
        <v>90</v>
      </c>
      <c r="O1197" t="s">
        <v>568</v>
      </c>
      <c r="P1197" t="s">
        <v>3339</v>
      </c>
      <c r="R1197">
        <v>9</v>
      </c>
      <c r="S1197">
        <v>35</v>
      </c>
      <c r="T1197">
        <v>41</v>
      </c>
      <c r="U1197">
        <v>45</v>
      </c>
      <c r="V1197">
        <v>29</v>
      </c>
      <c r="W1197">
        <v>40</v>
      </c>
      <c r="X1197">
        <v>20</v>
      </c>
      <c r="Y1197">
        <f t="shared" si="540"/>
        <v>142</v>
      </c>
      <c r="Z1197">
        <f t="shared" si="541"/>
        <v>142</v>
      </c>
      <c r="AA1197">
        <f t="shared" si="542"/>
        <v>110</v>
      </c>
      <c r="AB1197">
        <f t="shared" si="543"/>
        <v>110</v>
      </c>
      <c r="AC1197">
        <f t="shared" si="544"/>
        <v>95</v>
      </c>
      <c r="AD1197">
        <f t="shared" si="545"/>
        <v>102</v>
      </c>
      <c r="AE1197">
        <f t="shared" si="546"/>
        <v>93</v>
      </c>
      <c r="AF1197">
        <f t="shared" si="547"/>
        <v>61</v>
      </c>
      <c r="AG1197">
        <f t="shared" si="548"/>
        <v>54</v>
      </c>
      <c r="AH1197">
        <f t="shared" si="549"/>
        <v>41</v>
      </c>
      <c r="AI1197">
        <f t="shared" si="550"/>
        <v>106</v>
      </c>
      <c r="AJ1197">
        <f t="shared" si="551"/>
        <v>97</v>
      </c>
      <c r="AK1197">
        <f t="shared" si="552"/>
        <v>65</v>
      </c>
      <c r="AL1197">
        <f t="shared" si="553"/>
        <v>58</v>
      </c>
      <c r="AM1197">
        <f t="shared" si="554"/>
        <v>45</v>
      </c>
      <c r="AN1197">
        <f t="shared" si="555"/>
        <v>89</v>
      </c>
      <c r="AO1197">
        <f t="shared" si="556"/>
        <v>81</v>
      </c>
      <c r="AP1197">
        <f t="shared" si="557"/>
        <v>49</v>
      </c>
      <c r="AQ1197">
        <f t="shared" si="558"/>
        <v>44</v>
      </c>
      <c r="AR1197">
        <f t="shared" si="559"/>
        <v>30</v>
      </c>
      <c r="AS1197">
        <f t="shared" si="560"/>
        <v>101</v>
      </c>
      <c r="AT1197">
        <f t="shared" si="561"/>
        <v>92</v>
      </c>
      <c r="AU1197">
        <f t="shared" si="562"/>
        <v>60</v>
      </c>
      <c r="AV1197">
        <f t="shared" si="563"/>
        <v>54</v>
      </c>
      <c r="AW1197">
        <f t="shared" si="564"/>
        <v>40</v>
      </c>
      <c r="AX1197">
        <f t="shared" si="565"/>
        <v>79</v>
      </c>
      <c r="AY1197">
        <f t="shared" si="566"/>
        <v>72</v>
      </c>
      <c r="AZ1197">
        <f t="shared" si="567"/>
        <v>40</v>
      </c>
      <c r="BA1197">
        <f t="shared" si="568"/>
        <v>36</v>
      </c>
      <c r="BB1197">
        <f t="shared" si="569"/>
        <v>22</v>
      </c>
    </row>
    <row r="1198" spans="1:54" x14ac:dyDescent="0.15">
      <c r="A1198">
        <v>814</v>
      </c>
      <c r="B1198" t="s">
        <v>4187</v>
      </c>
      <c r="C1198">
        <v>918</v>
      </c>
      <c r="D1198">
        <v>0</v>
      </c>
      <c r="E1198" t="s">
        <v>4188</v>
      </c>
      <c r="G1198" t="s">
        <v>4188</v>
      </c>
      <c r="H1198" t="s">
        <v>4189</v>
      </c>
      <c r="J1198" t="s">
        <v>2756</v>
      </c>
      <c r="K1198">
        <v>16.5</v>
      </c>
      <c r="L1198">
        <v>1</v>
      </c>
      <c r="M1198" t="s">
        <v>90</v>
      </c>
      <c r="O1198" t="s">
        <v>568</v>
      </c>
      <c r="P1198" t="s">
        <v>3339</v>
      </c>
      <c r="R1198">
        <v>9</v>
      </c>
      <c r="S1198">
        <v>60</v>
      </c>
      <c r="T1198">
        <v>79</v>
      </c>
      <c r="U1198">
        <v>92</v>
      </c>
      <c r="V1198">
        <v>52</v>
      </c>
      <c r="W1198">
        <v>86</v>
      </c>
      <c r="X1198">
        <v>35</v>
      </c>
      <c r="Y1198">
        <f t="shared" si="540"/>
        <v>167</v>
      </c>
      <c r="Z1198">
        <f t="shared" si="541"/>
        <v>167</v>
      </c>
      <c r="AA1198">
        <f t="shared" si="542"/>
        <v>135</v>
      </c>
      <c r="AB1198">
        <f t="shared" si="543"/>
        <v>135</v>
      </c>
      <c r="AC1198">
        <f t="shared" si="544"/>
        <v>120</v>
      </c>
      <c r="AD1198">
        <f t="shared" si="545"/>
        <v>144</v>
      </c>
      <c r="AE1198">
        <f t="shared" si="546"/>
        <v>131</v>
      </c>
      <c r="AF1198">
        <f t="shared" si="547"/>
        <v>99</v>
      </c>
      <c r="AG1198">
        <f t="shared" si="548"/>
        <v>89</v>
      </c>
      <c r="AH1198">
        <f t="shared" si="549"/>
        <v>75</v>
      </c>
      <c r="AI1198">
        <f t="shared" si="550"/>
        <v>158</v>
      </c>
      <c r="AJ1198">
        <f t="shared" si="551"/>
        <v>144</v>
      </c>
      <c r="AK1198">
        <f t="shared" si="552"/>
        <v>112</v>
      </c>
      <c r="AL1198">
        <f t="shared" si="553"/>
        <v>100</v>
      </c>
      <c r="AM1198">
        <f t="shared" si="554"/>
        <v>87</v>
      </c>
      <c r="AN1198">
        <f t="shared" si="555"/>
        <v>114</v>
      </c>
      <c r="AO1198">
        <f t="shared" si="556"/>
        <v>104</v>
      </c>
      <c r="AP1198">
        <f t="shared" si="557"/>
        <v>72</v>
      </c>
      <c r="AQ1198">
        <f t="shared" si="558"/>
        <v>64</v>
      </c>
      <c r="AR1198">
        <f t="shared" si="559"/>
        <v>51</v>
      </c>
      <c r="AS1198">
        <f t="shared" si="560"/>
        <v>151</v>
      </c>
      <c r="AT1198">
        <f t="shared" si="561"/>
        <v>138</v>
      </c>
      <c r="AU1198">
        <f t="shared" si="562"/>
        <v>106</v>
      </c>
      <c r="AV1198">
        <f t="shared" si="563"/>
        <v>95</v>
      </c>
      <c r="AW1198">
        <f t="shared" si="564"/>
        <v>81</v>
      </c>
      <c r="AX1198">
        <f t="shared" si="565"/>
        <v>95</v>
      </c>
      <c r="AY1198">
        <f t="shared" si="566"/>
        <v>87</v>
      </c>
      <c r="AZ1198">
        <f t="shared" si="567"/>
        <v>55</v>
      </c>
      <c r="BA1198">
        <f t="shared" si="568"/>
        <v>49</v>
      </c>
      <c r="BB1198">
        <f t="shared" si="569"/>
        <v>36</v>
      </c>
    </row>
    <row r="1199" spans="1:54" x14ac:dyDescent="0.15">
      <c r="A1199">
        <v>815</v>
      </c>
      <c r="B1199" t="s">
        <v>4190</v>
      </c>
      <c r="C1199">
        <v>919</v>
      </c>
      <c r="D1199">
        <v>0</v>
      </c>
      <c r="E1199" t="s">
        <v>4191</v>
      </c>
      <c r="G1199" t="s">
        <v>4191</v>
      </c>
      <c r="H1199" t="s">
        <v>4192</v>
      </c>
      <c r="J1199" t="s">
        <v>4193</v>
      </c>
      <c r="K1199">
        <v>1</v>
      </c>
      <c r="L1199">
        <v>0.2</v>
      </c>
      <c r="M1199" t="s">
        <v>90</v>
      </c>
      <c r="O1199" t="s">
        <v>112</v>
      </c>
      <c r="P1199" t="s">
        <v>101</v>
      </c>
      <c r="R1199">
        <v>9</v>
      </c>
      <c r="S1199">
        <v>33</v>
      </c>
      <c r="T1199">
        <v>46</v>
      </c>
      <c r="U1199">
        <v>40</v>
      </c>
      <c r="V1199">
        <v>21</v>
      </c>
      <c r="W1199">
        <v>25</v>
      </c>
      <c r="X1199">
        <v>45</v>
      </c>
      <c r="Y1199">
        <f t="shared" si="540"/>
        <v>140</v>
      </c>
      <c r="Z1199">
        <f t="shared" si="541"/>
        <v>140</v>
      </c>
      <c r="AA1199">
        <f t="shared" si="542"/>
        <v>108</v>
      </c>
      <c r="AB1199">
        <f t="shared" si="543"/>
        <v>108</v>
      </c>
      <c r="AC1199">
        <f t="shared" si="544"/>
        <v>93</v>
      </c>
      <c r="AD1199">
        <f t="shared" si="545"/>
        <v>107</v>
      </c>
      <c r="AE1199">
        <f t="shared" si="546"/>
        <v>98</v>
      </c>
      <c r="AF1199">
        <f t="shared" si="547"/>
        <v>66</v>
      </c>
      <c r="AG1199">
        <f t="shared" si="548"/>
        <v>59</v>
      </c>
      <c r="AH1199">
        <f t="shared" si="549"/>
        <v>45</v>
      </c>
      <c r="AI1199">
        <f t="shared" si="550"/>
        <v>101</v>
      </c>
      <c r="AJ1199">
        <f t="shared" si="551"/>
        <v>92</v>
      </c>
      <c r="AK1199">
        <f t="shared" si="552"/>
        <v>60</v>
      </c>
      <c r="AL1199">
        <f t="shared" si="553"/>
        <v>54</v>
      </c>
      <c r="AM1199">
        <f t="shared" si="554"/>
        <v>40</v>
      </c>
      <c r="AN1199">
        <f t="shared" si="555"/>
        <v>80</v>
      </c>
      <c r="AO1199">
        <f t="shared" si="556"/>
        <v>73</v>
      </c>
      <c r="AP1199">
        <f t="shared" si="557"/>
        <v>41</v>
      </c>
      <c r="AQ1199">
        <f t="shared" si="558"/>
        <v>36</v>
      </c>
      <c r="AR1199">
        <f t="shared" si="559"/>
        <v>23</v>
      </c>
      <c r="AS1199">
        <f t="shared" si="560"/>
        <v>84</v>
      </c>
      <c r="AT1199">
        <f t="shared" si="561"/>
        <v>77</v>
      </c>
      <c r="AU1199">
        <f t="shared" si="562"/>
        <v>45</v>
      </c>
      <c r="AV1199">
        <f t="shared" si="563"/>
        <v>40</v>
      </c>
      <c r="AW1199">
        <f t="shared" si="564"/>
        <v>27</v>
      </c>
      <c r="AX1199">
        <f t="shared" si="565"/>
        <v>106</v>
      </c>
      <c r="AY1199">
        <f t="shared" si="566"/>
        <v>97</v>
      </c>
      <c r="AZ1199">
        <f t="shared" si="567"/>
        <v>65</v>
      </c>
      <c r="BA1199">
        <f t="shared" si="568"/>
        <v>58</v>
      </c>
      <c r="BB1199">
        <f t="shared" si="569"/>
        <v>45</v>
      </c>
    </row>
    <row r="1200" spans="1:54" x14ac:dyDescent="0.15">
      <c r="A1200">
        <v>816</v>
      </c>
      <c r="B1200" t="s">
        <v>4194</v>
      </c>
      <c r="C1200">
        <v>920</v>
      </c>
      <c r="D1200">
        <v>0</v>
      </c>
      <c r="E1200" t="s">
        <v>4195</v>
      </c>
      <c r="G1200" t="s">
        <v>4195</v>
      </c>
      <c r="H1200" t="s">
        <v>4196</v>
      </c>
      <c r="J1200" t="s">
        <v>4193</v>
      </c>
      <c r="K1200">
        <v>17.5</v>
      </c>
      <c r="L1200">
        <v>1</v>
      </c>
      <c r="M1200" t="s">
        <v>90</v>
      </c>
      <c r="N1200" t="s">
        <v>140</v>
      </c>
      <c r="O1200" t="s">
        <v>112</v>
      </c>
      <c r="P1200" t="s">
        <v>101</v>
      </c>
      <c r="R1200">
        <v>9</v>
      </c>
      <c r="S1200">
        <v>71</v>
      </c>
      <c r="T1200">
        <v>102</v>
      </c>
      <c r="U1200">
        <v>78</v>
      </c>
      <c r="V1200">
        <v>52</v>
      </c>
      <c r="W1200">
        <v>55</v>
      </c>
      <c r="X1200">
        <v>92</v>
      </c>
      <c r="Y1200">
        <f t="shared" si="540"/>
        <v>178</v>
      </c>
      <c r="Z1200">
        <f t="shared" si="541"/>
        <v>178</v>
      </c>
      <c r="AA1200">
        <f t="shared" si="542"/>
        <v>146</v>
      </c>
      <c r="AB1200">
        <f t="shared" si="543"/>
        <v>146</v>
      </c>
      <c r="AC1200">
        <f t="shared" si="544"/>
        <v>131</v>
      </c>
      <c r="AD1200">
        <f t="shared" si="545"/>
        <v>169</v>
      </c>
      <c r="AE1200">
        <f t="shared" si="546"/>
        <v>154</v>
      </c>
      <c r="AF1200">
        <f t="shared" si="547"/>
        <v>122</v>
      </c>
      <c r="AG1200">
        <f t="shared" si="548"/>
        <v>109</v>
      </c>
      <c r="AH1200">
        <f t="shared" si="549"/>
        <v>96</v>
      </c>
      <c r="AI1200">
        <f t="shared" si="550"/>
        <v>143</v>
      </c>
      <c r="AJ1200">
        <f t="shared" si="551"/>
        <v>130</v>
      </c>
      <c r="AK1200">
        <f t="shared" si="552"/>
        <v>98</v>
      </c>
      <c r="AL1200">
        <f t="shared" si="553"/>
        <v>88</v>
      </c>
      <c r="AM1200">
        <f t="shared" si="554"/>
        <v>74</v>
      </c>
      <c r="AN1200">
        <f t="shared" si="555"/>
        <v>114</v>
      </c>
      <c r="AO1200">
        <f t="shared" si="556"/>
        <v>104</v>
      </c>
      <c r="AP1200">
        <f t="shared" si="557"/>
        <v>72</v>
      </c>
      <c r="AQ1200">
        <f t="shared" si="558"/>
        <v>64</v>
      </c>
      <c r="AR1200">
        <f t="shared" si="559"/>
        <v>51</v>
      </c>
      <c r="AS1200">
        <f t="shared" si="560"/>
        <v>117</v>
      </c>
      <c r="AT1200">
        <f t="shared" si="561"/>
        <v>107</v>
      </c>
      <c r="AU1200">
        <f t="shared" si="562"/>
        <v>75</v>
      </c>
      <c r="AV1200">
        <f t="shared" si="563"/>
        <v>67</v>
      </c>
      <c r="AW1200">
        <f t="shared" si="564"/>
        <v>54</v>
      </c>
      <c r="AX1200">
        <f t="shared" si="565"/>
        <v>158</v>
      </c>
      <c r="AY1200">
        <f t="shared" si="566"/>
        <v>144</v>
      </c>
      <c r="AZ1200">
        <f t="shared" si="567"/>
        <v>112</v>
      </c>
      <c r="BA1200">
        <f t="shared" si="568"/>
        <v>100</v>
      </c>
      <c r="BB1200">
        <f t="shared" si="569"/>
        <v>87</v>
      </c>
    </row>
    <row r="1201" spans="1:54" x14ac:dyDescent="0.15">
      <c r="A1201">
        <v>854</v>
      </c>
      <c r="B1201" t="s">
        <v>4197</v>
      </c>
      <c r="C1201">
        <v>921</v>
      </c>
      <c r="D1201">
        <v>0</v>
      </c>
      <c r="E1201" t="s">
        <v>4198</v>
      </c>
      <c r="G1201" t="s">
        <v>4198</v>
      </c>
      <c r="H1201" t="s">
        <v>4199</v>
      </c>
      <c r="J1201" t="s">
        <v>134</v>
      </c>
      <c r="K1201">
        <v>2.5</v>
      </c>
      <c r="L1201">
        <v>0.3</v>
      </c>
      <c r="M1201" t="s">
        <v>164</v>
      </c>
      <c r="O1201" t="s">
        <v>165</v>
      </c>
      <c r="P1201" t="s">
        <v>654</v>
      </c>
      <c r="Q1201" t="s">
        <v>629</v>
      </c>
      <c r="R1201">
        <v>9</v>
      </c>
      <c r="S1201">
        <v>45</v>
      </c>
      <c r="T1201">
        <v>50</v>
      </c>
      <c r="U1201">
        <v>20</v>
      </c>
      <c r="V1201">
        <v>40</v>
      </c>
      <c r="W1201">
        <v>25</v>
      </c>
      <c r="X1201">
        <v>60</v>
      </c>
      <c r="Y1201">
        <f t="shared" si="540"/>
        <v>152</v>
      </c>
      <c r="Z1201">
        <f t="shared" si="541"/>
        <v>152</v>
      </c>
      <c r="AA1201">
        <f t="shared" si="542"/>
        <v>120</v>
      </c>
      <c r="AB1201">
        <f t="shared" si="543"/>
        <v>120</v>
      </c>
      <c r="AC1201">
        <f t="shared" si="544"/>
        <v>105</v>
      </c>
      <c r="AD1201">
        <f t="shared" si="545"/>
        <v>112</v>
      </c>
      <c r="AE1201">
        <f t="shared" si="546"/>
        <v>102</v>
      </c>
      <c r="AF1201">
        <f t="shared" si="547"/>
        <v>70</v>
      </c>
      <c r="AG1201">
        <f t="shared" si="548"/>
        <v>63</v>
      </c>
      <c r="AH1201">
        <f t="shared" si="549"/>
        <v>49</v>
      </c>
      <c r="AI1201">
        <f t="shared" si="550"/>
        <v>79</v>
      </c>
      <c r="AJ1201">
        <f t="shared" si="551"/>
        <v>72</v>
      </c>
      <c r="AK1201">
        <f t="shared" si="552"/>
        <v>40</v>
      </c>
      <c r="AL1201">
        <f t="shared" si="553"/>
        <v>36</v>
      </c>
      <c r="AM1201">
        <f t="shared" si="554"/>
        <v>22</v>
      </c>
      <c r="AN1201">
        <f t="shared" si="555"/>
        <v>101</v>
      </c>
      <c r="AO1201">
        <f t="shared" si="556"/>
        <v>92</v>
      </c>
      <c r="AP1201">
        <f t="shared" si="557"/>
        <v>60</v>
      </c>
      <c r="AQ1201">
        <f t="shared" si="558"/>
        <v>54</v>
      </c>
      <c r="AR1201">
        <f t="shared" si="559"/>
        <v>40</v>
      </c>
      <c r="AS1201">
        <f t="shared" si="560"/>
        <v>84</v>
      </c>
      <c r="AT1201">
        <f t="shared" si="561"/>
        <v>77</v>
      </c>
      <c r="AU1201">
        <f t="shared" si="562"/>
        <v>45</v>
      </c>
      <c r="AV1201">
        <f t="shared" si="563"/>
        <v>40</v>
      </c>
      <c r="AW1201">
        <f t="shared" si="564"/>
        <v>27</v>
      </c>
      <c r="AX1201">
        <f t="shared" si="565"/>
        <v>123</v>
      </c>
      <c r="AY1201">
        <f t="shared" si="566"/>
        <v>112</v>
      </c>
      <c r="AZ1201">
        <f t="shared" si="567"/>
        <v>80</v>
      </c>
      <c r="BA1201">
        <f t="shared" si="568"/>
        <v>72</v>
      </c>
      <c r="BB1201">
        <f t="shared" si="569"/>
        <v>58</v>
      </c>
    </row>
    <row r="1202" spans="1:54" x14ac:dyDescent="0.15">
      <c r="A1202">
        <v>855</v>
      </c>
      <c r="B1202" t="s">
        <v>4200</v>
      </c>
      <c r="C1202">
        <v>922</v>
      </c>
      <c r="D1202">
        <v>0</v>
      </c>
      <c r="E1202" t="s">
        <v>4201</v>
      </c>
      <c r="G1202" t="s">
        <v>4201</v>
      </c>
      <c r="H1202" t="s">
        <v>4202</v>
      </c>
      <c r="J1202" t="s">
        <v>134</v>
      </c>
      <c r="K1202">
        <v>6.5</v>
      </c>
      <c r="L1202">
        <v>0.4</v>
      </c>
      <c r="M1202" t="s">
        <v>164</v>
      </c>
      <c r="N1202" t="s">
        <v>354</v>
      </c>
      <c r="O1202" t="s">
        <v>769</v>
      </c>
      <c r="P1202" t="s">
        <v>654</v>
      </c>
      <c r="Q1202" t="s">
        <v>629</v>
      </c>
      <c r="R1202">
        <v>9</v>
      </c>
      <c r="S1202">
        <v>60</v>
      </c>
      <c r="T1202">
        <v>75</v>
      </c>
      <c r="U1202">
        <v>40</v>
      </c>
      <c r="V1202">
        <v>50</v>
      </c>
      <c r="W1202">
        <v>40</v>
      </c>
      <c r="X1202">
        <v>85</v>
      </c>
      <c r="Y1202">
        <f t="shared" si="540"/>
        <v>167</v>
      </c>
      <c r="Z1202">
        <f t="shared" si="541"/>
        <v>167</v>
      </c>
      <c r="AA1202">
        <f t="shared" si="542"/>
        <v>135</v>
      </c>
      <c r="AB1202">
        <f t="shared" si="543"/>
        <v>135</v>
      </c>
      <c r="AC1202">
        <f t="shared" si="544"/>
        <v>120</v>
      </c>
      <c r="AD1202">
        <f t="shared" si="545"/>
        <v>139</v>
      </c>
      <c r="AE1202">
        <f t="shared" si="546"/>
        <v>127</v>
      </c>
      <c r="AF1202">
        <f t="shared" si="547"/>
        <v>95</v>
      </c>
      <c r="AG1202">
        <f t="shared" si="548"/>
        <v>85</v>
      </c>
      <c r="AH1202">
        <f t="shared" si="549"/>
        <v>72</v>
      </c>
      <c r="AI1202">
        <f t="shared" si="550"/>
        <v>101</v>
      </c>
      <c r="AJ1202">
        <f t="shared" si="551"/>
        <v>92</v>
      </c>
      <c r="AK1202">
        <f t="shared" si="552"/>
        <v>60</v>
      </c>
      <c r="AL1202">
        <f t="shared" si="553"/>
        <v>54</v>
      </c>
      <c r="AM1202">
        <f t="shared" si="554"/>
        <v>40</v>
      </c>
      <c r="AN1202">
        <f t="shared" si="555"/>
        <v>112</v>
      </c>
      <c r="AO1202">
        <f t="shared" si="556"/>
        <v>102</v>
      </c>
      <c r="AP1202">
        <f t="shared" si="557"/>
        <v>70</v>
      </c>
      <c r="AQ1202">
        <f t="shared" si="558"/>
        <v>63</v>
      </c>
      <c r="AR1202">
        <f t="shared" si="559"/>
        <v>49</v>
      </c>
      <c r="AS1202">
        <f t="shared" si="560"/>
        <v>101</v>
      </c>
      <c r="AT1202">
        <f t="shared" si="561"/>
        <v>92</v>
      </c>
      <c r="AU1202">
        <f t="shared" si="562"/>
        <v>60</v>
      </c>
      <c r="AV1202">
        <f t="shared" si="563"/>
        <v>54</v>
      </c>
      <c r="AW1202">
        <f t="shared" si="564"/>
        <v>40</v>
      </c>
      <c r="AX1202">
        <f t="shared" si="565"/>
        <v>150</v>
      </c>
      <c r="AY1202">
        <f t="shared" si="566"/>
        <v>137</v>
      </c>
      <c r="AZ1202">
        <f t="shared" si="567"/>
        <v>105</v>
      </c>
      <c r="BA1202">
        <f t="shared" si="568"/>
        <v>94</v>
      </c>
      <c r="BB1202">
        <f t="shared" si="569"/>
        <v>81</v>
      </c>
    </row>
    <row r="1203" spans="1:54" x14ac:dyDescent="0.15">
      <c r="A1203">
        <v>856</v>
      </c>
      <c r="B1203" t="s">
        <v>4203</v>
      </c>
      <c r="C1203">
        <v>923</v>
      </c>
      <c r="D1203">
        <v>0</v>
      </c>
      <c r="E1203" t="s">
        <v>4204</v>
      </c>
      <c r="G1203" t="s">
        <v>4204</v>
      </c>
      <c r="H1203" t="s">
        <v>4205</v>
      </c>
      <c r="J1203" t="s">
        <v>4206</v>
      </c>
      <c r="K1203">
        <v>41</v>
      </c>
      <c r="L1203">
        <v>0.9</v>
      </c>
      <c r="M1203" t="s">
        <v>164</v>
      </c>
      <c r="N1203" t="s">
        <v>354</v>
      </c>
      <c r="O1203" t="s">
        <v>769</v>
      </c>
      <c r="P1203" t="s">
        <v>654</v>
      </c>
      <c r="Q1203" t="s">
        <v>629</v>
      </c>
      <c r="R1203">
        <v>9</v>
      </c>
      <c r="S1203">
        <v>70</v>
      </c>
      <c r="T1203">
        <v>115</v>
      </c>
      <c r="U1203">
        <v>70</v>
      </c>
      <c r="V1203">
        <v>70</v>
      </c>
      <c r="W1203">
        <v>60</v>
      </c>
      <c r="X1203">
        <v>105</v>
      </c>
      <c r="Y1203">
        <f t="shared" si="540"/>
        <v>177</v>
      </c>
      <c r="Z1203">
        <f t="shared" si="541"/>
        <v>177</v>
      </c>
      <c r="AA1203">
        <f t="shared" si="542"/>
        <v>145</v>
      </c>
      <c r="AB1203">
        <f t="shared" si="543"/>
        <v>145</v>
      </c>
      <c r="AC1203">
        <f t="shared" si="544"/>
        <v>130</v>
      </c>
      <c r="AD1203">
        <f t="shared" si="545"/>
        <v>183</v>
      </c>
      <c r="AE1203">
        <f t="shared" si="546"/>
        <v>167</v>
      </c>
      <c r="AF1203">
        <f t="shared" si="547"/>
        <v>135</v>
      </c>
      <c r="AG1203">
        <f t="shared" si="548"/>
        <v>121</v>
      </c>
      <c r="AH1203">
        <f t="shared" si="549"/>
        <v>108</v>
      </c>
      <c r="AI1203">
        <f t="shared" si="550"/>
        <v>134</v>
      </c>
      <c r="AJ1203">
        <f t="shared" si="551"/>
        <v>122</v>
      </c>
      <c r="AK1203">
        <f t="shared" si="552"/>
        <v>90</v>
      </c>
      <c r="AL1203">
        <f t="shared" si="553"/>
        <v>81</v>
      </c>
      <c r="AM1203">
        <f t="shared" si="554"/>
        <v>67</v>
      </c>
      <c r="AN1203">
        <f t="shared" si="555"/>
        <v>134</v>
      </c>
      <c r="AO1203">
        <f t="shared" si="556"/>
        <v>122</v>
      </c>
      <c r="AP1203">
        <f t="shared" si="557"/>
        <v>90</v>
      </c>
      <c r="AQ1203">
        <f t="shared" si="558"/>
        <v>81</v>
      </c>
      <c r="AR1203">
        <f t="shared" si="559"/>
        <v>67</v>
      </c>
      <c r="AS1203">
        <f t="shared" si="560"/>
        <v>123</v>
      </c>
      <c r="AT1203">
        <f t="shared" si="561"/>
        <v>112</v>
      </c>
      <c r="AU1203">
        <f t="shared" si="562"/>
        <v>80</v>
      </c>
      <c r="AV1203">
        <f t="shared" si="563"/>
        <v>72</v>
      </c>
      <c r="AW1203">
        <f t="shared" si="564"/>
        <v>58</v>
      </c>
      <c r="AX1203">
        <f t="shared" si="565"/>
        <v>172</v>
      </c>
      <c r="AY1203">
        <f t="shared" si="566"/>
        <v>157</v>
      </c>
      <c r="AZ1203">
        <f t="shared" si="567"/>
        <v>125</v>
      </c>
      <c r="BA1203">
        <f t="shared" si="568"/>
        <v>112</v>
      </c>
      <c r="BB1203">
        <f t="shared" si="569"/>
        <v>99</v>
      </c>
    </row>
    <row r="1204" spans="1:54" x14ac:dyDescent="0.15">
      <c r="A1204">
        <v>842</v>
      </c>
      <c r="B1204" t="s">
        <v>4207</v>
      </c>
      <c r="C1204">
        <v>924</v>
      </c>
      <c r="D1204">
        <v>0</v>
      </c>
      <c r="E1204" t="s">
        <v>4208</v>
      </c>
      <c r="G1204" t="s">
        <v>4208</v>
      </c>
      <c r="H1204" t="s">
        <v>4209</v>
      </c>
      <c r="J1204" t="s">
        <v>4210</v>
      </c>
      <c r="K1204">
        <v>1.8</v>
      </c>
      <c r="L1204">
        <v>0.3</v>
      </c>
      <c r="M1204" t="s">
        <v>120</v>
      </c>
      <c r="O1204" t="s">
        <v>92</v>
      </c>
      <c r="P1204" t="s">
        <v>321</v>
      </c>
      <c r="Q1204" t="s">
        <v>470</v>
      </c>
      <c r="R1204">
        <v>9</v>
      </c>
      <c r="S1204">
        <v>50</v>
      </c>
      <c r="T1204">
        <v>50</v>
      </c>
      <c r="U1204">
        <v>45</v>
      </c>
      <c r="V1204">
        <v>40</v>
      </c>
      <c r="W1204">
        <v>45</v>
      </c>
      <c r="X1204">
        <v>75</v>
      </c>
      <c r="Y1204">
        <f t="shared" si="540"/>
        <v>157</v>
      </c>
      <c r="Z1204">
        <f t="shared" si="541"/>
        <v>157</v>
      </c>
      <c r="AA1204">
        <f t="shared" si="542"/>
        <v>125</v>
      </c>
      <c r="AB1204">
        <f t="shared" si="543"/>
        <v>125</v>
      </c>
      <c r="AC1204">
        <f t="shared" si="544"/>
        <v>110</v>
      </c>
      <c r="AD1204">
        <f t="shared" si="545"/>
        <v>112</v>
      </c>
      <c r="AE1204">
        <f t="shared" si="546"/>
        <v>102</v>
      </c>
      <c r="AF1204">
        <f t="shared" si="547"/>
        <v>70</v>
      </c>
      <c r="AG1204">
        <f t="shared" si="548"/>
        <v>63</v>
      </c>
      <c r="AH1204">
        <f t="shared" si="549"/>
        <v>49</v>
      </c>
      <c r="AI1204">
        <f t="shared" si="550"/>
        <v>106</v>
      </c>
      <c r="AJ1204">
        <f t="shared" si="551"/>
        <v>97</v>
      </c>
      <c r="AK1204">
        <f t="shared" si="552"/>
        <v>65</v>
      </c>
      <c r="AL1204">
        <f t="shared" si="553"/>
        <v>58</v>
      </c>
      <c r="AM1204">
        <f t="shared" si="554"/>
        <v>45</v>
      </c>
      <c r="AN1204">
        <f t="shared" si="555"/>
        <v>101</v>
      </c>
      <c r="AO1204">
        <f t="shared" si="556"/>
        <v>92</v>
      </c>
      <c r="AP1204">
        <f t="shared" si="557"/>
        <v>60</v>
      </c>
      <c r="AQ1204">
        <f t="shared" si="558"/>
        <v>54</v>
      </c>
      <c r="AR1204">
        <f t="shared" si="559"/>
        <v>40</v>
      </c>
      <c r="AS1204">
        <f t="shared" si="560"/>
        <v>106</v>
      </c>
      <c r="AT1204">
        <f t="shared" si="561"/>
        <v>97</v>
      </c>
      <c r="AU1204">
        <f t="shared" si="562"/>
        <v>65</v>
      </c>
      <c r="AV1204">
        <f t="shared" si="563"/>
        <v>58</v>
      </c>
      <c r="AW1204">
        <f t="shared" si="564"/>
        <v>45</v>
      </c>
      <c r="AX1204">
        <f t="shared" si="565"/>
        <v>139</v>
      </c>
      <c r="AY1204">
        <f t="shared" si="566"/>
        <v>127</v>
      </c>
      <c r="AZ1204">
        <f t="shared" si="567"/>
        <v>95</v>
      </c>
      <c r="BA1204">
        <f t="shared" si="568"/>
        <v>85</v>
      </c>
      <c r="BB1204">
        <f t="shared" si="569"/>
        <v>72</v>
      </c>
    </row>
    <row r="1205" spans="1:54" x14ac:dyDescent="0.15">
      <c r="A1205">
        <v>843</v>
      </c>
      <c r="B1205" t="s">
        <v>4211</v>
      </c>
      <c r="C1205">
        <v>925</v>
      </c>
      <c r="D1205">
        <v>0</v>
      </c>
      <c r="E1205" t="s">
        <v>4212</v>
      </c>
      <c r="F1205" t="s">
        <v>4213</v>
      </c>
      <c r="G1205" t="s">
        <v>4212</v>
      </c>
      <c r="H1205" t="s">
        <v>4214</v>
      </c>
      <c r="J1205" t="s">
        <v>4215</v>
      </c>
      <c r="K1205">
        <v>2.2999999999999998</v>
      </c>
      <c r="L1205">
        <v>0.3</v>
      </c>
      <c r="M1205" t="s">
        <v>120</v>
      </c>
      <c r="O1205" t="s">
        <v>236</v>
      </c>
      <c r="P1205" t="s">
        <v>2949</v>
      </c>
      <c r="Q1205" t="s">
        <v>322</v>
      </c>
      <c r="R1205">
        <v>9</v>
      </c>
      <c r="S1205">
        <v>74</v>
      </c>
      <c r="T1205">
        <v>75</v>
      </c>
      <c r="U1205">
        <v>70</v>
      </c>
      <c r="V1205">
        <v>65</v>
      </c>
      <c r="W1205">
        <v>75</v>
      </c>
      <c r="X1205">
        <v>111</v>
      </c>
      <c r="Y1205">
        <f t="shared" si="540"/>
        <v>181</v>
      </c>
      <c r="Z1205">
        <f t="shared" si="541"/>
        <v>181</v>
      </c>
      <c r="AA1205">
        <f t="shared" si="542"/>
        <v>149</v>
      </c>
      <c r="AB1205">
        <f t="shared" si="543"/>
        <v>149</v>
      </c>
      <c r="AC1205">
        <f t="shared" si="544"/>
        <v>134</v>
      </c>
      <c r="AD1205">
        <f t="shared" si="545"/>
        <v>139</v>
      </c>
      <c r="AE1205">
        <f t="shared" si="546"/>
        <v>127</v>
      </c>
      <c r="AF1205">
        <f t="shared" si="547"/>
        <v>95</v>
      </c>
      <c r="AG1205">
        <f t="shared" si="548"/>
        <v>85</v>
      </c>
      <c r="AH1205">
        <f t="shared" si="549"/>
        <v>72</v>
      </c>
      <c r="AI1205">
        <f t="shared" si="550"/>
        <v>134</v>
      </c>
      <c r="AJ1205">
        <f t="shared" si="551"/>
        <v>122</v>
      </c>
      <c r="AK1205">
        <f t="shared" si="552"/>
        <v>90</v>
      </c>
      <c r="AL1205">
        <f t="shared" si="553"/>
        <v>81</v>
      </c>
      <c r="AM1205">
        <f t="shared" si="554"/>
        <v>67</v>
      </c>
      <c r="AN1205">
        <f t="shared" si="555"/>
        <v>128</v>
      </c>
      <c r="AO1205">
        <f t="shared" si="556"/>
        <v>117</v>
      </c>
      <c r="AP1205">
        <f t="shared" si="557"/>
        <v>85</v>
      </c>
      <c r="AQ1205">
        <f t="shared" si="558"/>
        <v>76</v>
      </c>
      <c r="AR1205">
        <f t="shared" si="559"/>
        <v>63</v>
      </c>
      <c r="AS1205">
        <f t="shared" si="560"/>
        <v>139</v>
      </c>
      <c r="AT1205">
        <f t="shared" si="561"/>
        <v>127</v>
      </c>
      <c r="AU1205">
        <f t="shared" si="562"/>
        <v>95</v>
      </c>
      <c r="AV1205">
        <f t="shared" si="563"/>
        <v>85</v>
      </c>
      <c r="AW1205">
        <f t="shared" si="564"/>
        <v>72</v>
      </c>
      <c r="AX1205">
        <f t="shared" si="565"/>
        <v>179</v>
      </c>
      <c r="AY1205">
        <f t="shared" si="566"/>
        <v>163</v>
      </c>
      <c r="AZ1205">
        <f t="shared" si="567"/>
        <v>131</v>
      </c>
      <c r="BA1205">
        <f t="shared" si="568"/>
        <v>117</v>
      </c>
      <c r="BB1205">
        <f t="shared" si="569"/>
        <v>104</v>
      </c>
    </row>
    <row r="1206" spans="1:54" x14ac:dyDescent="0.15">
      <c r="A1206">
        <v>844</v>
      </c>
      <c r="B1206" t="s">
        <v>4211</v>
      </c>
      <c r="C1206">
        <v>925</v>
      </c>
      <c r="D1206">
        <v>0</v>
      </c>
      <c r="E1206" t="s">
        <v>4212</v>
      </c>
      <c r="F1206" t="s">
        <v>4216</v>
      </c>
      <c r="G1206" t="s">
        <v>4212</v>
      </c>
      <c r="H1206" t="s">
        <v>4217</v>
      </c>
      <c r="J1206" t="s">
        <v>4215</v>
      </c>
      <c r="K1206">
        <v>2.2999999999999998</v>
      </c>
      <c r="L1206">
        <v>0.3</v>
      </c>
      <c r="M1206" t="s">
        <v>120</v>
      </c>
      <c r="O1206" t="s">
        <v>236</v>
      </c>
      <c r="P1206" t="s">
        <v>2949</v>
      </c>
      <c r="Q1206" t="s">
        <v>322</v>
      </c>
      <c r="R1206">
        <v>9</v>
      </c>
      <c r="S1206">
        <v>74</v>
      </c>
      <c r="T1206">
        <v>75</v>
      </c>
      <c r="U1206">
        <v>70</v>
      </c>
      <c r="V1206">
        <v>65</v>
      </c>
      <c r="W1206">
        <v>75</v>
      </c>
      <c r="X1206">
        <v>111</v>
      </c>
      <c r="Y1206">
        <f t="shared" si="540"/>
        <v>181</v>
      </c>
      <c r="Z1206">
        <f t="shared" si="541"/>
        <v>181</v>
      </c>
      <c r="AA1206">
        <f t="shared" si="542"/>
        <v>149</v>
      </c>
      <c r="AB1206">
        <f t="shared" si="543"/>
        <v>149</v>
      </c>
      <c r="AC1206">
        <f t="shared" si="544"/>
        <v>134</v>
      </c>
      <c r="AD1206">
        <f t="shared" si="545"/>
        <v>139</v>
      </c>
      <c r="AE1206">
        <f t="shared" si="546"/>
        <v>127</v>
      </c>
      <c r="AF1206">
        <f t="shared" si="547"/>
        <v>95</v>
      </c>
      <c r="AG1206">
        <f t="shared" si="548"/>
        <v>85</v>
      </c>
      <c r="AH1206">
        <f t="shared" si="549"/>
        <v>72</v>
      </c>
      <c r="AI1206">
        <f t="shared" si="550"/>
        <v>134</v>
      </c>
      <c r="AJ1206">
        <f t="shared" si="551"/>
        <v>122</v>
      </c>
      <c r="AK1206">
        <f t="shared" si="552"/>
        <v>90</v>
      </c>
      <c r="AL1206">
        <f t="shared" si="553"/>
        <v>81</v>
      </c>
      <c r="AM1206">
        <f t="shared" si="554"/>
        <v>67</v>
      </c>
      <c r="AN1206">
        <f t="shared" si="555"/>
        <v>128</v>
      </c>
      <c r="AO1206">
        <f t="shared" si="556"/>
        <v>117</v>
      </c>
      <c r="AP1206">
        <f t="shared" si="557"/>
        <v>85</v>
      </c>
      <c r="AQ1206">
        <f t="shared" si="558"/>
        <v>76</v>
      </c>
      <c r="AR1206">
        <f t="shared" si="559"/>
        <v>63</v>
      </c>
      <c r="AS1206">
        <f t="shared" si="560"/>
        <v>139</v>
      </c>
      <c r="AT1206">
        <f t="shared" si="561"/>
        <v>127</v>
      </c>
      <c r="AU1206">
        <f t="shared" si="562"/>
        <v>95</v>
      </c>
      <c r="AV1206">
        <f t="shared" si="563"/>
        <v>85</v>
      </c>
      <c r="AW1206">
        <f t="shared" si="564"/>
        <v>72</v>
      </c>
      <c r="AX1206">
        <f t="shared" si="565"/>
        <v>179</v>
      </c>
      <c r="AY1206">
        <f t="shared" si="566"/>
        <v>163</v>
      </c>
      <c r="AZ1206">
        <f t="shared" si="567"/>
        <v>131</v>
      </c>
      <c r="BA1206">
        <f t="shared" si="568"/>
        <v>117</v>
      </c>
      <c r="BB1206">
        <f t="shared" si="569"/>
        <v>104</v>
      </c>
    </row>
    <row r="1207" spans="1:54" x14ac:dyDescent="0.15">
      <c r="A1207">
        <v>873</v>
      </c>
      <c r="B1207" t="s">
        <v>4218</v>
      </c>
      <c r="C1207">
        <v>926</v>
      </c>
      <c r="D1207">
        <v>0</v>
      </c>
      <c r="E1207" t="s">
        <v>4219</v>
      </c>
      <c r="G1207" t="s">
        <v>4219</v>
      </c>
      <c r="H1207" t="s">
        <v>4220</v>
      </c>
      <c r="J1207" t="s">
        <v>364</v>
      </c>
      <c r="K1207">
        <v>10.9</v>
      </c>
      <c r="L1207">
        <v>0.3</v>
      </c>
      <c r="M1207" t="s">
        <v>233</v>
      </c>
      <c r="O1207" t="s">
        <v>470</v>
      </c>
      <c r="P1207" t="s">
        <v>1968</v>
      </c>
      <c r="R1207">
        <v>9</v>
      </c>
      <c r="S1207">
        <v>37</v>
      </c>
      <c r="T1207">
        <v>55</v>
      </c>
      <c r="U1207">
        <v>70</v>
      </c>
      <c r="V1207">
        <v>30</v>
      </c>
      <c r="W1207">
        <v>55</v>
      </c>
      <c r="X1207">
        <v>65</v>
      </c>
      <c r="Y1207">
        <f t="shared" si="540"/>
        <v>144</v>
      </c>
      <c r="Z1207">
        <f t="shared" si="541"/>
        <v>144</v>
      </c>
      <c r="AA1207">
        <f t="shared" si="542"/>
        <v>112</v>
      </c>
      <c r="AB1207">
        <f t="shared" si="543"/>
        <v>112</v>
      </c>
      <c r="AC1207">
        <f t="shared" si="544"/>
        <v>97</v>
      </c>
      <c r="AD1207">
        <f t="shared" si="545"/>
        <v>117</v>
      </c>
      <c r="AE1207">
        <f t="shared" si="546"/>
        <v>107</v>
      </c>
      <c r="AF1207">
        <f t="shared" si="547"/>
        <v>75</v>
      </c>
      <c r="AG1207">
        <f t="shared" si="548"/>
        <v>67</v>
      </c>
      <c r="AH1207">
        <f t="shared" si="549"/>
        <v>54</v>
      </c>
      <c r="AI1207">
        <f t="shared" si="550"/>
        <v>134</v>
      </c>
      <c r="AJ1207">
        <f t="shared" si="551"/>
        <v>122</v>
      </c>
      <c r="AK1207">
        <f t="shared" si="552"/>
        <v>90</v>
      </c>
      <c r="AL1207">
        <f t="shared" si="553"/>
        <v>81</v>
      </c>
      <c r="AM1207">
        <f t="shared" si="554"/>
        <v>67</v>
      </c>
      <c r="AN1207">
        <f t="shared" si="555"/>
        <v>90</v>
      </c>
      <c r="AO1207">
        <f t="shared" si="556"/>
        <v>82</v>
      </c>
      <c r="AP1207">
        <f t="shared" si="557"/>
        <v>50</v>
      </c>
      <c r="AQ1207">
        <f t="shared" si="558"/>
        <v>45</v>
      </c>
      <c r="AR1207">
        <f t="shared" si="559"/>
        <v>31</v>
      </c>
      <c r="AS1207">
        <f t="shared" si="560"/>
        <v>117</v>
      </c>
      <c r="AT1207">
        <f t="shared" si="561"/>
        <v>107</v>
      </c>
      <c r="AU1207">
        <f t="shared" si="562"/>
        <v>75</v>
      </c>
      <c r="AV1207">
        <f t="shared" si="563"/>
        <v>67</v>
      </c>
      <c r="AW1207">
        <f t="shared" si="564"/>
        <v>54</v>
      </c>
      <c r="AX1207">
        <f t="shared" si="565"/>
        <v>128</v>
      </c>
      <c r="AY1207">
        <f t="shared" si="566"/>
        <v>117</v>
      </c>
      <c r="AZ1207">
        <f t="shared" si="567"/>
        <v>85</v>
      </c>
      <c r="BA1207">
        <f t="shared" si="568"/>
        <v>76</v>
      </c>
      <c r="BB1207">
        <f t="shared" si="569"/>
        <v>63</v>
      </c>
    </row>
    <row r="1208" spans="1:54" x14ac:dyDescent="0.15">
      <c r="A1208">
        <v>874</v>
      </c>
      <c r="B1208" t="s">
        <v>4221</v>
      </c>
      <c r="C1208">
        <v>927</v>
      </c>
      <c r="D1208">
        <v>0</v>
      </c>
      <c r="E1208" t="s">
        <v>4222</v>
      </c>
      <c r="G1208" t="s">
        <v>4222</v>
      </c>
      <c r="H1208" t="s">
        <v>4223</v>
      </c>
      <c r="J1208" t="s">
        <v>3778</v>
      </c>
      <c r="K1208">
        <v>14.9</v>
      </c>
      <c r="L1208">
        <v>0.5</v>
      </c>
      <c r="M1208" t="s">
        <v>233</v>
      </c>
      <c r="O1208" t="s">
        <v>4224</v>
      </c>
      <c r="P1208" t="s">
        <v>3100</v>
      </c>
      <c r="R1208">
        <v>9</v>
      </c>
      <c r="S1208">
        <v>57</v>
      </c>
      <c r="T1208">
        <v>80</v>
      </c>
      <c r="U1208">
        <v>115</v>
      </c>
      <c r="V1208">
        <v>50</v>
      </c>
      <c r="W1208">
        <v>80</v>
      </c>
      <c r="X1208">
        <v>95</v>
      </c>
      <c r="Y1208">
        <f t="shared" si="540"/>
        <v>164</v>
      </c>
      <c r="Z1208">
        <f t="shared" si="541"/>
        <v>164</v>
      </c>
      <c r="AA1208">
        <f t="shared" si="542"/>
        <v>132</v>
      </c>
      <c r="AB1208">
        <f t="shared" si="543"/>
        <v>132</v>
      </c>
      <c r="AC1208">
        <f t="shared" si="544"/>
        <v>117</v>
      </c>
      <c r="AD1208">
        <f t="shared" si="545"/>
        <v>145</v>
      </c>
      <c r="AE1208">
        <f t="shared" si="546"/>
        <v>132</v>
      </c>
      <c r="AF1208">
        <f t="shared" si="547"/>
        <v>100</v>
      </c>
      <c r="AG1208">
        <f t="shared" si="548"/>
        <v>90</v>
      </c>
      <c r="AH1208">
        <f t="shared" si="549"/>
        <v>76</v>
      </c>
      <c r="AI1208">
        <f t="shared" si="550"/>
        <v>183</v>
      </c>
      <c r="AJ1208">
        <f t="shared" si="551"/>
        <v>167</v>
      </c>
      <c r="AK1208">
        <f t="shared" si="552"/>
        <v>135</v>
      </c>
      <c r="AL1208">
        <f t="shared" si="553"/>
        <v>121</v>
      </c>
      <c r="AM1208">
        <f t="shared" si="554"/>
        <v>108</v>
      </c>
      <c r="AN1208">
        <f t="shared" si="555"/>
        <v>112</v>
      </c>
      <c r="AO1208">
        <f t="shared" si="556"/>
        <v>102</v>
      </c>
      <c r="AP1208">
        <f t="shared" si="557"/>
        <v>70</v>
      </c>
      <c r="AQ1208">
        <f t="shared" si="558"/>
        <v>63</v>
      </c>
      <c r="AR1208">
        <f t="shared" si="559"/>
        <v>49</v>
      </c>
      <c r="AS1208">
        <f t="shared" si="560"/>
        <v>145</v>
      </c>
      <c r="AT1208">
        <f t="shared" si="561"/>
        <v>132</v>
      </c>
      <c r="AU1208">
        <f t="shared" si="562"/>
        <v>100</v>
      </c>
      <c r="AV1208">
        <f t="shared" si="563"/>
        <v>90</v>
      </c>
      <c r="AW1208">
        <f t="shared" si="564"/>
        <v>76</v>
      </c>
      <c r="AX1208">
        <f t="shared" si="565"/>
        <v>161</v>
      </c>
      <c r="AY1208">
        <f t="shared" si="566"/>
        <v>147</v>
      </c>
      <c r="AZ1208">
        <f t="shared" si="567"/>
        <v>115</v>
      </c>
      <c r="BA1208">
        <f t="shared" si="568"/>
        <v>103</v>
      </c>
      <c r="BB1208">
        <f t="shared" si="569"/>
        <v>90</v>
      </c>
    </row>
    <row r="1209" spans="1:54" x14ac:dyDescent="0.15">
      <c r="A1209">
        <v>832</v>
      </c>
      <c r="B1209" t="s">
        <v>4225</v>
      </c>
      <c r="C1209">
        <v>928</v>
      </c>
      <c r="D1209">
        <v>0</v>
      </c>
      <c r="E1209" t="s">
        <v>4226</v>
      </c>
      <c r="G1209" t="s">
        <v>4226</v>
      </c>
      <c r="H1209" t="s">
        <v>4227</v>
      </c>
      <c r="J1209" t="s">
        <v>4228</v>
      </c>
      <c r="K1209">
        <v>6.5</v>
      </c>
      <c r="L1209">
        <v>0.3</v>
      </c>
      <c r="M1209" t="s">
        <v>26</v>
      </c>
      <c r="N1209" t="s">
        <v>120</v>
      </c>
      <c r="O1209" t="s">
        <v>504</v>
      </c>
      <c r="P1209" t="s">
        <v>602</v>
      </c>
      <c r="R1209">
        <v>9</v>
      </c>
      <c r="S1209">
        <v>41</v>
      </c>
      <c r="T1209">
        <v>35</v>
      </c>
      <c r="U1209">
        <v>45</v>
      </c>
      <c r="V1209">
        <v>58</v>
      </c>
      <c r="W1209">
        <v>51</v>
      </c>
      <c r="X1209">
        <v>30</v>
      </c>
      <c r="Y1209">
        <f t="shared" si="540"/>
        <v>148</v>
      </c>
      <c r="Z1209">
        <f t="shared" si="541"/>
        <v>148</v>
      </c>
      <c r="AA1209">
        <f t="shared" si="542"/>
        <v>116</v>
      </c>
      <c r="AB1209">
        <f t="shared" si="543"/>
        <v>116</v>
      </c>
      <c r="AC1209">
        <f t="shared" si="544"/>
        <v>101</v>
      </c>
      <c r="AD1209">
        <f t="shared" si="545"/>
        <v>95</v>
      </c>
      <c r="AE1209">
        <f t="shared" si="546"/>
        <v>87</v>
      </c>
      <c r="AF1209">
        <f t="shared" si="547"/>
        <v>55</v>
      </c>
      <c r="AG1209">
        <f t="shared" si="548"/>
        <v>49</v>
      </c>
      <c r="AH1209">
        <f t="shared" si="549"/>
        <v>36</v>
      </c>
      <c r="AI1209">
        <f t="shared" si="550"/>
        <v>106</v>
      </c>
      <c r="AJ1209">
        <f t="shared" si="551"/>
        <v>97</v>
      </c>
      <c r="AK1209">
        <f t="shared" si="552"/>
        <v>65</v>
      </c>
      <c r="AL1209">
        <f t="shared" si="553"/>
        <v>58</v>
      </c>
      <c r="AM1209">
        <f t="shared" si="554"/>
        <v>45</v>
      </c>
      <c r="AN1209">
        <f t="shared" si="555"/>
        <v>121</v>
      </c>
      <c r="AO1209">
        <f t="shared" si="556"/>
        <v>110</v>
      </c>
      <c r="AP1209">
        <f t="shared" si="557"/>
        <v>78</v>
      </c>
      <c r="AQ1209">
        <f t="shared" si="558"/>
        <v>70</v>
      </c>
      <c r="AR1209">
        <f t="shared" si="559"/>
        <v>56</v>
      </c>
      <c r="AS1209">
        <f t="shared" si="560"/>
        <v>113</v>
      </c>
      <c r="AT1209">
        <f t="shared" si="561"/>
        <v>103</v>
      </c>
      <c r="AU1209">
        <f t="shared" si="562"/>
        <v>71</v>
      </c>
      <c r="AV1209">
        <f t="shared" si="563"/>
        <v>63</v>
      </c>
      <c r="AW1209">
        <f t="shared" si="564"/>
        <v>50</v>
      </c>
      <c r="AX1209">
        <f t="shared" si="565"/>
        <v>90</v>
      </c>
      <c r="AY1209">
        <f t="shared" si="566"/>
        <v>82</v>
      </c>
      <c r="AZ1209">
        <f t="shared" si="567"/>
        <v>50</v>
      </c>
      <c r="BA1209">
        <f t="shared" si="568"/>
        <v>45</v>
      </c>
      <c r="BB1209">
        <f t="shared" si="569"/>
        <v>31</v>
      </c>
    </row>
    <row r="1210" spans="1:54" x14ac:dyDescent="0.15">
      <c r="A1210">
        <v>833</v>
      </c>
      <c r="B1210" t="s">
        <v>4229</v>
      </c>
      <c r="C1210">
        <v>929</v>
      </c>
      <c r="D1210">
        <v>0</v>
      </c>
      <c r="E1210" t="s">
        <v>4230</v>
      </c>
      <c r="G1210" t="s">
        <v>4230</v>
      </c>
      <c r="H1210" t="s">
        <v>4231</v>
      </c>
      <c r="J1210" t="s">
        <v>4228</v>
      </c>
      <c r="K1210">
        <v>11.9</v>
      </c>
      <c r="L1210">
        <v>0.6</v>
      </c>
      <c r="M1210" t="s">
        <v>26</v>
      </c>
      <c r="N1210" t="s">
        <v>120</v>
      </c>
      <c r="O1210" t="s">
        <v>504</v>
      </c>
      <c r="P1210" t="s">
        <v>602</v>
      </c>
      <c r="R1210">
        <v>9</v>
      </c>
      <c r="S1210">
        <v>52</v>
      </c>
      <c r="T1210">
        <v>53</v>
      </c>
      <c r="U1210">
        <v>60</v>
      </c>
      <c r="V1210">
        <v>78</v>
      </c>
      <c r="W1210">
        <v>78</v>
      </c>
      <c r="X1210">
        <v>33</v>
      </c>
      <c r="Y1210">
        <f t="shared" si="540"/>
        <v>159</v>
      </c>
      <c r="Z1210">
        <f t="shared" si="541"/>
        <v>159</v>
      </c>
      <c r="AA1210">
        <f t="shared" si="542"/>
        <v>127</v>
      </c>
      <c r="AB1210">
        <f t="shared" si="543"/>
        <v>127</v>
      </c>
      <c r="AC1210">
        <f t="shared" si="544"/>
        <v>112</v>
      </c>
      <c r="AD1210">
        <f t="shared" si="545"/>
        <v>115</v>
      </c>
      <c r="AE1210">
        <f t="shared" si="546"/>
        <v>105</v>
      </c>
      <c r="AF1210">
        <f t="shared" si="547"/>
        <v>73</v>
      </c>
      <c r="AG1210">
        <f t="shared" si="548"/>
        <v>65</v>
      </c>
      <c r="AH1210">
        <f t="shared" si="549"/>
        <v>52</v>
      </c>
      <c r="AI1210">
        <f t="shared" si="550"/>
        <v>123</v>
      </c>
      <c r="AJ1210">
        <f t="shared" si="551"/>
        <v>112</v>
      </c>
      <c r="AK1210">
        <f t="shared" si="552"/>
        <v>80</v>
      </c>
      <c r="AL1210">
        <f t="shared" si="553"/>
        <v>72</v>
      </c>
      <c r="AM1210">
        <f t="shared" si="554"/>
        <v>58</v>
      </c>
      <c r="AN1210">
        <f t="shared" si="555"/>
        <v>143</v>
      </c>
      <c r="AO1210">
        <f t="shared" si="556"/>
        <v>130</v>
      </c>
      <c r="AP1210">
        <f t="shared" si="557"/>
        <v>98</v>
      </c>
      <c r="AQ1210">
        <f t="shared" si="558"/>
        <v>88</v>
      </c>
      <c r="AR1210">
        <f t="shared" si="559"/>
        <v>74</v>
      </c>
      <c r="AS1210">
        <f t="shared" si="560"/>
        <v>143</v>
      </c>
      <c r="AT1210">
        <f t="shared" si="561"/>
        <v>130</v>
      </c>
      <c r="AU1210">
        <f t="shared" si="562"/>
        <v>98</v>
      </c>
      <c r="AV1210">
        <f t="shared" si="563"/>
        <v>88</v>
      </c>
      <c r="AW1210">
        <f t="shared" si="564"/>
        <v>74</v>
      </c>
      <c r="AX1210">
        <f t="shared" si="565"/>
        <v>93</v>
      </c>
      <c r="AY1210">
        <f t="shared" si="566"/>
        <v>85</v>
      </c>
      <c r="AZ1210">
        <f t="shared" si="567"/>
        <v>53</v>
      </c>
      <c r="BA1210">
        <f t="shared" si="568"/>
        <v>47</v>
      </c>
      <c r="BB1210">
        <f t="shared" si="569"/>
        <v>34</v>
      </c>
    </row>
    <row r="1211" spans="1:54" x14ac:dyDescent="0.15">
      <c r="A1211">
        <v>834</v>
      </c>
      <c r="B1211" t="s">
        <v>4232</v>
      </c>
      <c r="C1211">
        <v>930</v>
      </c>
      <c r="D1211">
        <v>0</v>
      </c>
      <c r="E1211" t="s">
        <v>4233</v>
      </c>
      <c r="G1211" t="s">
        <v>4233</v>
      </c>
      <c r="H1211" t="s">
        <v>4234</v>
      </c>
      <c r="J1211" t="s">
        <v>4228</v>
      </c>
      <c r="K1211">
        <v>48.2</v>
      </c>
      <c r="L1211">
        <v>1.4</v>
      </c>
      <c r="M1211" t="s">
        <v>26</v>
      </c>
      <c r="N1211" t="s">
        <v>120</v>
      </c>
      <c r="O1211" t="s">
        <v>4235</v>
      </c>
      <c r="P1211" t="s">
        <v>602</v>
      </c>
      <c r="R1211">
        <v>9</v>
      </c>
      <c r="S1211">
        <v>78</v>
      </c>
      <c r="T1211">
        <v>69</v>
      </c>
      <c r="U1211">
        <v>90</v>
      </c>
      <c r="V1211">
        <v>125</v>
      </c>
      <c r="W1211">
        <v>109</v>
      </c>
      <c r="X1211">
        <v>39</v>
      </c>
      <c r="Y1211">
        <f t="shared" si="540"/>
        <v>185</v>
      </c>
      <c r="Z1211">
        <f t="shared" si="541"/>
        <v>185</v>
      </c>
      <c r="AA1211">
        <f t="shared" si="542"/>
        <v>153</v>
      </c>
      <c r="AB1211">
        <f t="shared" si="543"/>
        <v>153</v>
      </c>
      <c r="AC1211">
        <f t="shared" si="544"/>
        <v>138</v>
      </c>
      <c r="AD1211">
        <f t="shared" si="545"/>
        <v>133</v>
      </c>
      <c r="AE1211">
        <f t="shared" si="546"/>
        <v>121</v>
      </c>
      <c r="AF1211">
        <f t="shared" si="547"/>
        <v>89</v>
      </c>
      <c r="AG1211">
        <f t="shared" si="548"/>
        <v>80</v>
      </c>
      <c r="AH1211">
        <f t="shared" si="549"/>
        <v>66</v>
      </c>
      <c r="AI1211">
        <f t="shared" si="550"/>
        <v>156</v>
      </c>
      <c r="AJ1211">
        <f t="shared" si="551"/>
        <v>142</v>
      </c>
      <c r="AK1211">
        <f t="shared" si="552"/>
        <v>110</v>
      </c>
      <c r="AL1211">
        <f t="shared" si="553"/>
        <v>99</v>
      </c>
      <c r="AM1211">
        <f t="shared" si="554"/>
        <v>85</v>
      </c>
      <c r="AN1211">
        <f t="shared" si="555"/>
        <v>194</v>
      </c>
      <c r="AO1211">
        <f t="shared" si="556"/>
        <v>177</v>
      </c>
      <c r="AP1211">
        <f t="shared" si="557"/>
        <v>145</v>
      </c>
      <c r="AQ1211">
        <f t="shared" si="558"/>
        <v>130</v>
      </c>
      <c r="AR1211">
        <f t="shared" si="559"/>
        <v>117</v>
      </c>
      <c r="AS1211">
        <f t="shared" si="560"/>
        <v>177</v>
      </c>
      <c r="AT1211">
        <f t="shared" si="561"/>
        <v>161</v>
      </c>
      <c r="AU1211">
        <f t="shared" si="562"/>
        <v>129</v>
      </c>
      <c r="AV1211">
        <f t="shared" si="563"/>
        <v>116</v>
      </c>
      <c r="AW1211">
        <f t="shared" si="564"/>
        <v>102</v>
      </c>
      <c r="AX1211">
        <f t="shared" si="565"/>
        <v>100</v>
      </c>
      <c r="AY1211">
        <f t="shared" si="566"/>
        <v>91</v>
      </c>
      <c r="AZ1211">
        <f t="shared" si="567"/>
        <v>59</v>
      </c>
      <c r="BA1211">
        <f t="shared" si="568"/>
        <v>53</v>
      </c>
      <c r="BB1211">
        <f t="shared" si="569"/>
        <v>39</v>
      </c>
    </row>
    <row r="1212" spans="1:54" x14ac:dyDescent="0.15">
      <c r="A1212">
        <v>860</v>
      </c>
      <c r="B1212" t="s">
        <v>4236</v>
      </c>
      <c r="C1212">
        <v>931</v>
      </c>
      <c r="D1212">
        <v>0</v>
      </c>
      <c r="E1212" t="s">
        <v>4237</v>
      </c>
      <c r="F1212" t="s">
        <v>4238</v>
      </c>
      <c r="G1212" t="s">
        <v>4239</v>
      </c>
      <c r="H1212" t="s">
        <v>4240</v>
      </c>
      <c r="J1212" t="s">
        <v>4241</v>
      </c>
      <c r="K1212">
        <v>2.4</v>
      </c>
      <c r="L1212">
        <v>0.6</v>
      </c>
      <c r="M1212" t="s">
        <v>120</v>
      </c>
      <c r="N1212" t="s">
        <v>57</v>
      </c>
      <c r="O1212" t="s">
        <v>155</v>
      </c>
      <c r="P1212" t="s">
        <v>136</v>
      </c>
      <c r="Q1212" t="s">
        <v>135</v>
      </c>
      <c r="R1212">
        <v>9</v>
      </c>
      <c r="S1212">
        <v>82</v>
      </c>
      <c r="T1212">
        <v>96</v>
      </c>
      <c r="U1212">
        <v>51</v>
      </c>
      <c r="V1212">
        <v>45</v>
      </c>
      <c r="W1212">
        <v>51</v>
      </c>
      <c r="X1212">
        <v>92</v>
      </c>
      <c r="Y1212">
        <f t="shared" si="540"/>
        <v>189</v>
      </c>
      <c r="Z1212">
        <f t="shared" si="541"/>
        <v>189</v>
      </c>
      <c r="AA1212">
        <f t="shared" si="542"/>
        <v>157</v>
      </c>
      <c r="AB1212">
        <f t="shared" si="543"/>
        <v>157</v>
      </c>
      <c r="AC1212">
        <f t="shared" si="544"/>
        <v>142</v>
      </c>
      <c r="AD1212">
        <f t="shared" si="545"/>
        <v>162</v>
      </c>
      <c r="AE1212">
        <f t="shared" si="546"/>
        <v>148</v>
      </c>
      <c r="AF1212">
        <f t="shared" si="547"/>
        <v>116</v>
      </c>
      <c r="AG1212">
        <f t="shared" si="548"/>
        <v>104</v>
      </c>
      <c r="AH1212">
        <f t="shared" si="549"/>
        <v>90</v>
      </c>
      <c r="AI1212">
        <f t="shared" si="550"/>
        <v>113</v>
      </c>
      <c r="AJ1212">
        <f t="shared" si="551"/>
        <v>103</v>
      </c>
      <c r="AK1212">
        <f t="shared" si="552"/>
        <v>71</v>
      </c>
      <c r="AL1212">
        <f t="shared" si="553"/>
        <v>63</v>
      </c>
      <c r="AM1212">
        <f t="shared" si="554"/>
        <v>50</v>
      </c>
      <c r="AN1212">
        <f t="shared" si="555"/>
        <v>106</v>
      </c>
      <c r="AO1212">
        <f t="shared" si="556"/>
        <v>97</v>
      </c>
      <c r="AP1212">
        <f t="shared" si="557"/>
        <v>65</v>
      </c>
      <c r="AQ1212">
        <f t="shared" si="558"/>
        <v>58</v>
      </c>
      <c r="AR1212">
        <f t="shared" si="559"/>
        <v>45</v>
      </c>
      <c r="AS1212">
        <f t="shared" si="560"/>
        <v>113</v>
      </c>
      <c r="AT1212">
        <f t="shared" si="561"/>
        <v>103</v>
      </c>
      <c r="AU1212">
        <f t="shared" si="562"/>
        <v>71</v>
      </c>
      <c r="AV1212">
        <f t="shared" si="563"/>
        <v>63</v>
      </c>
      <c r="AW1212">
        <f t="shared" si="564"/>
        <v>50</v>
      </c>
      <c r="AX1212">
        <f t="shared" si="565"/>
        <v>158</v>
      </c>
      <c r="AY1212">
        <f t="shared" si="566"/>
        <v>144</v>
      </c>
      <c r="AZ1212">
        <f t="shared" si="567"/>
        <v>112</v>
      </c>
      <c r="BA1212">
        <f t="shared" si="568"/>
        <v>100</v>
      </c>
      <c r="BB1212">
        <f t="shared" si="569"/>
        <v>87</v>
      </c>
    </row>
    <row r="1213" spans="1:54" x14ac:dyDescent="0.15">
      <c r="A1213">
        <v>861</v>
      </c>
      <c r="B1213" t="s">
        <v>4242</v>
      </c>
      <c r="C1213">
        <v>931</v>
      </c>
      <c r="D1213">
        <v>1</v>
      </c>
      <c r="E1213" t="s">
        <v>4237</v>
      </c>
      <c r="F1213" t="s">
        <v>4243</v>
      </c>
      <c r="G1213" t="s">
        <v>4244</v>
      </c>
      <c r="H1213" t="s">
        <v>4245</v>
      </c>
      <c r="J1213" t="s">
        <v>4241</v>
      </c>
      <c r="K1213">
        <v>2.4</v>
      </c>
      <c r="L1213">
        <v>0.6</v>
      </c>
      <c r="M1213" t="s">
        <v>120</v>
      </c>
      <c r="N1213" t="s">
        <v>57</v>
      </c>
      <c r="O1213" t="s">
        <v>155</v>
      </c>
      <c r="P1213" t="s">
        <v>136</v>
      </c>
      <c r="Q1213" t="s">
        <v>135</v>
      </c>
      <c r="R1213">
        <v>9</v>
      </c>
      <c r="S1213">
        <v>82</v>
      </c>
      <c r="T1213">
        <v>96</v>
      </c>
      <c r="U1213">
        <v>51</v>
      </c>
      <c r="V1213">
        <v>45</v>
      </c>
      <c r="W1213">
        <v>51</v>
      </c>
      <c r="X1213">
        <v>92</v>
      </c>
      <c r="Y1213">
        <f t="shared" si="540"/>
        <v>189</v>
      </c>
      <c r="Z1213">
        <f t="shared" si="541"/>
        <v>189</v>
      </c>
      <c r="AA1213">
        <f t="shared" si="542"/>
        <v>157</v>
      </c>
      <c r="AB1213">
        <f t="shared" si="543"/>
        <v>157</v>
      </c>
      <c r="AC1213">
        <f t="shared" si="544"/>
        <v>142</v>
      </c>
      <c r="AD1213">
        <f t="shared" si="545"/>
        <v>162</v>
      </c>
      <c r="AE1213">
        <f t="shared" si="546"/>
        <v>148</v>
      </c>
      <c r="AF1213">
        <f t="shared" si="547"/>
        <v>116</v>
      </c>
      <c r="AG1213">
        <f t="shared" si="548"/>
        <v>104</v>
      </c>
      <c r="AH1213">
        <f t="shared" si="549"/>
        <v>90</v>
      </c>
      <c r="AI1213">
        <f t="shared" si="550"/>
        <v>113</v>
      </c>
      <c r="AJ1213">
        <f t="shared" si="551"/>
        <v>103</v>
      </c>
      <c r="AK1213">
        <f t="shared" si="552"/>
        <v>71</v>
      </c>
      <c r="AL1213">
        <f t="shared" si="553"/>
        <v>63</v>
      </c>
      <c r="AM1213">
        <f t="shared" si="554"/>
        <v>50</v>
      </c>
      <c r="AN1213">
        <f t="shared" si="555"/>
        <v>106</v>
      </c>
      <c r="AO1213">
        <f t="shared" si="556"/>
        <v>97</v>
      </c>
      <c r="AP1213">
        <f t="shared" si="557"/>
        <v>65</v>
      </c>
      <c r="AQ1213">
        <f t="shared" si="558"/>
        <v>58</v>
      </c>
      <c r="AR1213">
        <f t="shared" si="559"/>
        <v>45</v>
      </c>
      <c r="AS1213">
        <f t="shared" si="560"/>
        <v>113</v>
      </c>
      <c r="AT1213">
        <f t="shared" si="561"/>
        <v>103</v>
      </c>
      <c r="AU1213">
        <f t="shared" si="562"/>
        <v>71</v>
      </c>
      <c r="AV1213">
        <f t="shared" si="563"/>
        <v>63</v>
      </c>
      <c r="AW1213">
        <f t="shared" si="564"/>
        <v>50</v>
      </c>
      <c r="AX1213">
        <f t="shared" si="565"/>
        <v>158</v>
      </c>
      <c r="AY1213">
        <f t="shared" si="566"/>
        <v>144</v>
      </c>
      <c r="AZ1213">
        <f t="shared" si="567"/>
        <v>112</v>
      </c>
      <c r="BA1213">
        <f t="shared" si="568"/>
        <v>100</v>
      </c>
      <c r="BB1213">
        <f t="shared" si="569"/>
        <v>87</v>
      </c>
    </row>
    <row r="1214" spans="1:54" x14ac:dyDescent="0.15">
      <c r="A1214">
        <v>862</v>
      </c>
      <c r="B1214" t="s">
        <v>4246</v>
      </c>
      <c r="C1214">
        <v>931</v>
      </c>
      <c r="D1214">
        <v>2</v>
      </c>
      <c r="E1214" t="s">
        <v>4237</v>
      </c>
      <c r="F1214" t="s">
        <v>4247</v>
      </c>
      <c r="G1214" t="s">
        <v>4248</v>
      </c>
      <c r="H1214" t="s">
        <v>4249</v>
      </c>
      <c r="J1214" t="s">
        <v>4241</v>
      </c>
      <c r="K1214">
        <v>2.4</v>
      </c>
      <c r="L1214">
        <v>0.6</v>
      </c>
      <c r="M1214" t="s">
        <v>120</v>
      </c>
      <c r="N1214" t="s">
        <v>57</v>
      </c>
      <c r="O1214" t="s">
        <v>155</v>
      </c>
      <c r="P1214" t="s">
        <v>136</v>
      </c>
      <c r="Q1214" t="s">
        <v>222</v>
      </c>
      <c r="R1214">
        <v>9</v>
      </c>
      <c r="S1214">
        <v>82</v>
      </c>
      <c r="T1214">
        <v>96</v>
      </c>
      <c r="U1214">
        <v>51</v>
      </c>
      <c r="V1214">
        <v>45</v>
      </c>
      <c r="W1214">
        <v>51</v>
      </c>
      <c r="X1214">
        <v>92</v>
      </c>
      <c r="Y1214">
        <f t="shared" si="540"/>
        <v>189</v>
      </c>
      <c r="Z1214">
        <f t="shared" si="541"/>
        <v>189</v>
      </c>
      <c r="AA1214">
        <f t="shared" si="542"/>
        <v>157</v>
      </c>
      <c r="AB1214">
        <f t="shared" si="543"/>
        <v>157</v>
      </c>
      <c r="AC1214">
        <f t="shared" si="544"/>
        <v>142</v>
      </c>
      <c r="AD1214">
        <f t="shared" si="545"/>
        <v>162</v>
      </c>
      <c r="AE1214">
        <f t="shared" si="546"/>
        <v>148</v>
      </c>
      <c r="AF1214">
        <f t="shared" si="547"/>
        <v>116</v>
      </c>
      <c r="AG1214">
        <f t="shared" si="548"/>
        <v>104</v>
      </c>
      <c r="AH1214">
        <f t="shared" si="549"/>
        <v>90</v>
      </c>
      <c r="AI1214">
        <f t="shared" si="550"/>
        <v>113</v>
      </c>
      <c r="AJ1214">
        <f t="shared" si="551"/>
        <v>103</v>
      </c>
      <c r="AK1214">
        <f t="shared" si="552"/>
        <v>71</v>
      </c>
      <c r="AL1214">
        <f t="shared" si="553"/>
        <v>63</v>
      </c>
      <c r="AM1214">
        <f t="shared" si="554"/>
        <v>50</v>
      </c>
      <c r="AN1214">
        <f t="shared" si="555"/>
        <v>106</v>
      </c>
      <c r="AO1214">
        <f t="shared" si="556"/>
        <v>97</v>
      </c>
      <c r="AP1214">
        <f t="shared" si="557"/>
        <v>65</v>
      </c>
      <c r="AQ1214">
        <f t="shared" si="558"/>
        <v>58</v>
      </c>
      <c r="AR1214">
        <f t="shared" si="559"/>
        <v>45</v>
      </c>
      <c r="AS1214">
        <f t="shared" si="560"/>
        <v>113</v>
      </c>
      <c r="AT1214">
        <f t="shared" si="561"/>
        <v>103</v>
      </c>
      <c r="AU1214">
        <f t="shared" si="562"/>
        <v>71</v>
      </c>
      <c r="AV1214">
        <f t="shared" si="563"/>
        <v>63</v>
      </c>
      <c r="AW1214">
        <f t="shared" si="564"/>
        <v>50</v>
      </c>
      <c r="AX1214">
        <f t="shared" si="565"/>
        <v>158</v>
      </c>
      <c r="AY1214">
        <f t="shared" si="566"/>
        <v>144</v>
      </c>
      <c r="AZ1214">
        <f t="shared" si="567"/>
        <v>112</v>
      </c>
      <c r="BA1214">
        <f t="shared" si="568"/>
        <v>100</v>
      </c>
      <c r="BB1214">
        <f t="shared" si="569"/>
        <v>87</v>
      </c>
    </row>
    <row r="1215" spans="1:54" x14ac:dyDescent="0.15">
      <c r="A1215">
        <v>863</v>
      </c>
      <c r="B1215" t="s">
        <v>4250</v>
      </c>
      <c r="C1215">
        <v>931</v>
      </c>
      <c r="D1215">
        <v>3</v>
      </c>
      <c r="E1215" t="s">
        <v>4237</v>
      </c>
      <c r="F1215" t="s">
        <v>4251</v>
      </c>
      <c r="G1215" t="s">
        <v>4252</v>
      </c>
      <c r="H1215" t="s">
        <v>4253</v>
      </c>
      <c r="J1215" t="s">
        <v>4241</v>
      </c>
      <c r="K1215">
        <v>2.4</v>
      </c>
      <c r="L1215">
        <v>0.6</v>
      </c>
      <c r="M1215" t="s">
        <v>120</v>
      </c>
      <c r="N1215" t="s">
        <v>57</v>
      </c>
      <c r="O1215" t="s">
        <v>155</v>
      </c>
      <c r="P1215" t="s">
        <v>136</v>
      </c>
      <c r="Q1215" t="s">
        <v>222</v>
      </c>
      <c r="R1215">
        <v>9</v>
      </c>
      <c r="S1215">
        <v>82</v>
      </c>
      <c r="T1215">
        <v>96</v>
      </c>
      <c r="U1215">
        <v>51</v>
      </c>
      <c r="V1215">
        <v>45</v>
      </c>
      <c r="W1215">
        <v>51</v>
      </c>
      <c r="X1215">
        <v>92</v>
      </c>
      <c r="Y1215">
        <f t="shared" si="540"/>
        <v>189</v>
      </c>
      <c r="Z1215">
        <f t="shared" si="541"/>
        <v>189</v>
      </c>
      <c r="AA1215">
        <f t="shared" si="542"/>
        <v>157</v>
      </c>
      <c r="AB1215">
        <f t="shared" si="543"/>
        <v>157</v>
      </c>
      <c r="AC1215">
        <f t="shared" si="544"/>
        <v>142</v>
      </c>
      <c r="AD1215">
        <f t="shared" si="545"/>
        <v>162</v>
      </c>
      <c r="AE1215">
        <f t="shared" si="546"/>
        <v>148</v>
      </c>
      <c r="AF1215">
        <f t="shared" si="547"/>
        <v>116</v>
      </c>
      <c r="AG1215">
        <f t="shared" si="548"/>
        <v>104</v>
      </c>
      <c r="AH1215">
        <f t="shared" si="549"/>
        <v>90</v>
      </c>
      <c r="AI1215">
        <f t="shared" si="550"/>
        <v>113</v>
      </c>
      <c r="AJ1215">
        <f t="shared" si="551"/>
        <v>103</v>
      </c>
      <c r="AK1215">
        <f t="shared" si="552"/>
        <v>71</v>
      </c>
      <c r="AL1215">
        <f t="shared" si="553"/>
        <v>63</v>
      </c>
      <c r="AM1215">
        <f t="shared" si="554"/>
        <v>50</v>
      </c>
      <c r="AN1215">
        <f t="shared" si="555"/>
        <v>106</v>
      </c>
      <c r="AO1215">
        <f t="shared" si="556"/>
        <v>97</v>
      </c>
      <c r="AP1215">
        <f t="shared" si="557"/>
        <v>65</v>
      </c>
      <c r="AQ1215">
        <f t="shared" si="558"/>
        <v>58</v>
      </c>
      <c r="AR1215">
        <f t="shared" si="559"/>
        <v>45</v>
      </c>
      <c r="AS1215">
        <f t="shared" si="560"/>
        <v>113</v>
      </c>
      <c r="AT1215">
        <f t="shared" si="561"/>
        <v>103</v>
      </c>
      <c r="AU1215">
        <f t="shared" si="562"/>
        <v>71</v>
      </c>
      <c r="AV1215">
        <f t="shared" si="563"/>
        <v>63</v>
      </c>
      <c r="AW1215">
        <f t="shared" si="564"/>
        <v>50</v>
      </c>
      <c r="AX1215">
        <f t="shared" si="565"/>
        <v>158</v>
      </c>
      <c r="AY1215">
        <f t="shared" si="566"/>
        <v>144</v>
      </c>
      <c r="AZ1215">
        <f t="shared" si="567"/>
        <v>112</v>
      </c>
      <c r="BA1215">
        <f t="shared" si="568"/>
        <v>100</v>
      </c>
      <c r="BB1215">
        <f t="shared" si="569"/>
        <v>87</v>
      </c>
    </row>
    <row r="1216" spans="1:54" x14ac:dyDescent="0.15">
      <c r="A1216">
        <v>866</v>
      </c>
      <c r="B1216" t="s">
        <v>4254</v>
      </c>
      <c r="C1216">
        <v>932</v>
      </c>
      <c r="D1216">
        <v>0</v>
      </c>
      <c r="E1216" t="s">
        <v>4255</v>
      </c>
      <c r="G1216" t="s">
        <v>4255</v>
      </c>
      <c r="H1216" t="s">
        <v>4256</v>
      </c>
      <c r="J1216" t="s">
        <v>4257</v>
      </c>
      <c r="K1216">
        <v>16</v>
      </c>
      <c r="L1216">
        <v>0.4</v>
      </c>
      <c r="M1216" t="s">
        <v>371</v>
      </c>
      <c r="O1216" t="s">
        <v>4258</v>
      </c>
      <c r="P1216" t="s">
        <v>435</v>
      </c>
      <c r="Q1216" t="s">
        <v>425</v>
      </c>
      <c r="R1216">
        <v>9</v>
      </c>
      <c r="S1216">
        <v>55</v>
      </c>
      <c r="T1216">
        <v>55</v>
      </c>
      <c r="U1216">
        <v>75</v>
      </c>
      <c r="V1216">
        <v>35</v>
      </c>
      <c r="W1216">
        <v>35</v>
      </c>
      <c r="X1216">
        <v>25</v>
      </c>
      <c r="Y1216">
        <f t="shared" si="540"/>
        <v>162</v>
      </c>
      <c r="Z1216">
        <f t="shared" si="541"/>
        <v>162</v>
      </c>
      <c r="AA1216">
        <f t="shared" si="542"/>
        <v>130</v>
      </c>
      <c r="AB1216">
        <f t="shared" si="543"/>
        <v>130</v>
      </c>
      <c r="AC1216">
        <f t="shared" si="544"/>
        <v>115</v>
      </c>
      <c r="AD1216">
        <f t="shared" si="545"/>
        <v>117</v>
      </c>
      <c r="AE1216">
        <f t="shared" si="546"/>
        <v>107</v>
      </c>
      <c r="AF1216">
        <f t="shared" si="547"/>
        <v>75</v>
      </c>
      <c r="AG1216">
        <f t="shared" si="548"/>
        <v>67</v>
      </c>
      <c r="AH1216">
        <f t="shared" si="549"/>
        <v>54</v>
      </c>
      <c r="AI1216">
        <f t="shared" si="550"/>
        <v>139</v>
      </c>
      <c r="AJ1216">
        <f t="shared" si="551"/>
        <v>127</v>
      </c>
      <c r="AK1216">
        <f t="shared" si="552"/>
        <v>95</v>
      </c>
      <c r="AL1216">
        <f t="shared" si="553"/>
        <v>85</v>
      </c>
      <c r="AM1216">
        <f t="shared" si="554"/>
        <v>72</v>
      </c>
      <c r="AN1216">
        <f t="shared" si="555"/>
        <v>95</v>
      </c>
      <c r="AO1216">
        <f t="shared" si="556"/>
        <v>87</v>
      </c>
      <c r="AP1216">
        <f t="shared" si="557"/>
        <v>55</v>
      </c>
      <c r="AQ1216">
        <f t="shared" si="558"/>
        <v>49</v>
      </c>
      <c r="AR1216">
        <f t="shared" si="559"/>
        <v>36</v>
      </c>
      <c r="AS1216">
        <f t="shared" si="560"/>
        <v>95</v>
      </c>
      <c r="AT1216">
        <f t="shared" si="561"/>
        <v>87</v>
      </c>
      <c r="AU1216">
        <f t="shared" si="562"/>
        <v>55</v>
      </c>
      <c r="AV1216">
        <f t="shared" si="563"/>
        <v>49</v>
      </c>
      <c r="AW1216">
        <f t="shared" si="564"/>
        <v>36</v>
      </c>
      <c r="AX1216">
        <f t="shared" si="565"/>
        <v>84</v>
      </c>
      <c r="AY1216">
        <f t="shared" si="566"/>
        <v>77</v>
      </c>
      <c r="AZ1216">
        <f t="shared" si="567"/>
        <v>45</v>
      </c>
      <c r="BA1216">
        <f t="shared" si="568"/>
        <v>40</v>
      </c>
      <c r="BB1216">
        <f t="shared" si="569"/>
        <v>27</v>
      </c>
    </row>
    <row r="1217" spans="1:54" x14ac:dyDescent="0.15">
      <c r="A1217">
        <v>867</v>
      </c>
      <c r="B1217" t="s">
        <v>4259</v>
      </c>
      <c r="C1217">
        <v>933</v>
      </c>
      <c r="D1217">
        <v>0</v>
      </c>
      <c r="E1217" t="s">
        <v>4260</v>
      </c>
      <c r="G1217" t="s">
        <v>4260</v>
      </c>
      <c r="H1217" t="s">
        <v>4261</v>
      </c>
      <c r="J1217" t="s">
        <v>4257</v>
      </c>
      <c r="K1217">
        <v>105</v>
      </c>
      <c r="L1217">
        <v>0.6</v>
      </c>
      <c r="M1217" t="s">
        <v>371</v>
      </c>
      <c r="O1217" t="s">
        <v>4258</v>
      </c>
      <c r="P1217" t="s">
        <v>435</v>
      </c>
      <c r="Q1217" t="s">
        <v>425</v>
      </c>
      <c r="R1217">
        <v>9</v>
      </c>
      <c r="S1217">
        <v>60</v>
      </c>
      <c r="T1217">
        <v>60</v>
      </c>
      <c r="U1217">
        <v>100</v>
      </c>
      <c r="V1217">
        <v>35</v>
      </c>
      <c r="W1217">
        <v>65</v>
      </c>
      <c r="X1217">
        <v>35</v>
      </c>
      <c r="Y1217">
        <f t="shared" si="540"/>
        <v>167</v>
      </c>
      <c r="Z1217">
        <f t="shared" si="541"/>
        <v>167</v>
      </c>
      <c r="AA1217">
        <f t="shared" si="542"/>
        <v>135</v>
      </c>
      <c r="AB1217">
        <f t="shared" si="543"/>
        <v>135</v>
      </c>
      <c r="AC1217">
        <f t="shared" si="544"/>
        <v>120</v>
      </c>
      <c r="AD1217">
        <f t="shared" si="545"/>
        <v>123</v>
      </c>
      <c r="AE1217">
        <f t="shared" si="546"/>
        <v>112</v>
      </c>
      <c r="AF1217">
        <f t="shared" si="547"/>
        <v>80</v>
      </c>
      <c r="AG1217">
        <f t="shared" si="548"/>
        <v>72</v>
      </c>
      <c r="AH1217">
        <f t="shared" si="549"/>
        <v>58</v>
      </c>
      <c r="AI1217">
        <f t="shared" si="550"/>
        <v>167</v>
      </c>
      <c r="AJ1217">
        <f t="shared" si="551"/>
        <v>152</v>
      </c>
      <c r="AK1217">
        <f t="shared" si="552"/>
        <v>120</v>
      </c>
      <c r="AL1217">
        <f t="shared" si="553"/>
        <v>108</v>
      </c>
      <c r="AM1217">
        <f t="shared" si="554"/>
        <v>94</v>
      </c>
      <c r="AN1217">
        <f t="shared" si="555"/>
        <v>95</v>
      </c>
      <c r="AO1217">
        <f t="shared" si="556"/>
        <v>87</v>
      </c>
      <c r="AP1217">
        <f t="shared" si="557"/>
        <v>55</v>
      </c>
      <c r="AQ1217">
        <f t="shared" si="558"/>
        <v>49</v>
      </c>
      <c r="AR1217">
        <f t="shared" si="559"/>
        <v>36</v>
      </c>
      <c r="AS1217">
        <f t="shared" si="560"/>
        <v>128</v>
      </c>
      <c r="AT1217">
        <f t="shared" si="561"/>
        <v>117</v>
      </c>
      <c r="AU1217">
        <f t="shared" si="562"/>
        <v>85</v>
      </c>
      <c r="AV1217">
        <f t="shared" si="563"/>
        <v>76</v>
      </c>
      <c r="AW1217">
        <f t="shared" si="564"/>
        <v>63</v>
      </c>
      <c r="AX1217">
        <f t="shared" si="565"/>
        <v>95</v>
      </c>
      <c r="AY1217">
        <f t="shared" si="566"/>
        <v>87</v>
      </c>
      <c r="AZ1217">
        <f t="shared" si="567"/>
        <v>55</v>
      </c>
      <c r="BA1217">
        <f t="shared" si="568"/>
        <v>49</v>
      </c>
      <c r="BB1217">
        <f t="shared" si="569"/>
        <v>36</v>
      </c>
    </row>
    <row r="1218" spans="1:54" x14ac:dyDescent="0.15">
      <c r="A1218">
        <v>868</v>
      </c>
      <c r="B1218" t="s">
        <v>4262</v>
      </c>
      <c r="C1218">
        <v>934</v>
      </c>
      <c r="D1218">
        <v>0</v>
      </c>
      <c r="E1218" t="s">
        <v>4263</v>
      </c>
      <c r="G1218" t="s">
        <v>4263</v>
      </c>
      <c r="H1218" t="s">
        <v>4264</v>
      </c>
      <c r="J1218" t="s">
        <v>4257</v>
      </c>
      <c r="K1218">
        <v>240</v>
      </c>
      <c r="L1218">
        <v>2.2999999999999998</v>
      </c>
      <c r="M1218" t="s">
        <v>371</v>
      </c>
      <c r="O1218" t="s">
        <v>4258</v>
      </c>
      <c r="P1218" t="s">
        <v>435</v>
      </c>
      <c r="Q1218" t="s">
        <v>425</v>
      </c>
      <c r="R1218">
        <v>9</v>
      </c>
      <c r="S1218">
        <v>100</v>
      </c>
      <c r="T1218">
        <v>100</v>
      </c>
      <c r="U1218">
        <v>130</v>
      </c>
      <c r="V1218">
        <v>45</v>
      </c>
      <c r="W1218">
        <v>90</v>
      </c>
      <c r="X1218">
        <v>35</v>
      </c>
      <c r="Y1218">
        <f t="shared" ref="Y1218:Y1281" si="570">IF(S1218="", "", S1218+107)</f>
        <v>207</v>
      </c>
      <c r="Z1218">
        <f t="shared" ref="Z1218:Z1281" si="571">IF(S1218="", "", S1218+107)</f>
        <v>207</v>
      </c>
      <c r="AA1218">
        <f t="shared" ref="AA1218:AA1281" si="572">IF(S1218="", "", INT(INT(S1218*2 + 31)/2) + 60)</f>
        <v>175</v>
      </c>
      <c r="AB1218">
        <f t="shared" ref="AB1218:AB1281" si="573">IF(S1218="", "", INT(INT(S1218*2 + 31)/2) + 60)</f>
        <v>175</v>
      </c>
      <c r="AC1218">
        <f t="shared" ref="AC1218:AC1281" si="574">IF(S1218="", "", S1218 + 60)</f>
        <v>160</v>
      </c>
      <c r="AD1218">
        <f t="shared" ref="AD1218:AD1281" si="575">IF(T1218="","",INT((T1218+52)*1.1))</f>
        <v>167</v>
      </c>
      <c r="AE1218">
        <f t="shared" ref="AE1218:AE1281" si="576">IF(T1218="","",T1218+52)</f>
        <v>152</v>
      </c>
      <c r="AF1218">
        <f t="shared" ref="AF1218:AF1281" si="577">IF(T1218="", "", INT((T1218*2 + 31)/2) + 5)</f>
        <v>120</v>
      </c>
      <c r="AG1218">
        <f t="shared" ref="AG1218:AG1281" si="578">IF(T1218="", "", INT((INT((T1218*2 + 31)/2) + 5)*0.9) )</f>
        <v>108</v>
      </c>
      <c r="AH1218">
        <f t="shared" ref="AH1218:AH1281" si="579">IF(T1218="", "", INT((T1218 + 5) * 0.9))</f>
        <v>94</v>
      </c>
      <c r="AI1218">
        <f t="shared" ref="AI1218:AI1281" si="580">IF(U1218="","",INT((U1218+52)*1.1))</f>
        <v>200</v>
      </c>
      <c r="AJ1218">
        <f t="shared" ref="AJ1218:AJ1281" si="581">IF(U1218="","",U1218+52)</f>
        <v>182</v>
      </c>
      <c r="AK1218">
        <f t="shared" ref="AK1218:AK1281" si="582">IF(U1218="", "", INT((U1218*2 + 31)/2) + 5)</f>
        <v>150</v>
      </c>
      <c r="AL1218">
        <f t="shared" ref="AL1218:AL1281" si="583">IF(U1218="", "", INT((INT((U1218*2 + 31)/2) + 5)*0.9) )</f>
        <v>135</v>
      </c>
      <c r="AM1218">
        <f t="shared" ref="AM1218:AM1281" si="584">IF(U1218="", "", INT((U1218 + 5) * 0.9))</f>
        <v>121</v>
      </c>
      <c r="AN1218">
        <f t="shared" ref="AN1218:AN1281" si="585">IF(V1218="","",INT((V1218+52)*1.1))</f>
        <v>106</v>
      </c>
      <c r="AO1218">
        <f t="shared" ref="AO1218:AO1281" si="586">IF(V1218="","",V1218+52)</f>
        <v>97</v>
      </c>
      <c r="AP1218">
        <f t="shared" ref="AP1218:AP1281" si="587">IF(V1218="", "", INT((V1218*2 + 31)/2) + 5)</f>
        <v>65</v>
      </c>
      <c r="AQ1218">
        <f t="shared" ref="AQ1218:AQ1281" si="588">IF(V1218="", "", INT((INT((V1218*2 + 31)/2) + 5)*0.9) )</f>
        <v>58</v>
      </c>
      <c r="AR1218">
        <f t="shared" ref="AR1218:AR1281" si="589">IF(V1218="", "", INT((V1218 + 5) * 0.9))</f>
        <v>45</v>
      </c>
      <c r="AS1218">
        <f t="shared" ref="AS1218:AS1281" si="590">IF(W1218="","",INT((W1218+52)*1.1))</f>
        <v>156</v>
      </c>
      <c r="AT1218">
        <f t="shared" ref="AT1218:AT1281" si="591">IF(W1218="","",W1218+52)</f>
        <v>142</v>
      </c>
      <c r="AU1218">
        <f t="shared" ref="AU1218:AU1281" si="592">IF(W1218="", "", INT((W1218*2 + 31)/2) + 5)</f>
        <v>110</v>
      </c>
      <c r="AV1218">
        <f t="shared" ref="AV1218:AV1281" si="593">IF(W1218="", "", INT((INT((W1218*2 + 31)/2) + 5)*0.9) )</f>
        <v>99</v>
      </c>
      <c r="AW1218">
        <f t="shared" ref="AW1218:AW1281" si="594">IF(W1218="", "", INT((W1218 + 5) * 0.9))</f>
        <v>85</v>
      </c>
      <c r="AX1218">
        <f t="shared" ref="AX1218:AX1281" si="595">IF(X1218="","",INT((X1218+52)*1.1))</f>
        <v>95</v>
      </c>
      <c r="AY1218">
        <f t="shared" ref="AY1218:AY1281" si="596">IF(X1218="","",X1218+52)</f>
        <v>87</v>
      </c>
      <c r="AZ1218">
        <f t="shared" ref="AZ1218:AZ1281" si="597">IF(X1218="", "", INT((X1218*2 + 31)/2) + 5)</f>
        <v>55</v>
      </c>
      <c r="BA1218">
        <f t="shared" ref="BA1218:BA1281" si="598">IF(X1218="", "", INT((INT((X1218*2 + 31)/2) + 5)*0.9) )</f>
        <v>49</v>
      </c>
      <c r="BB1218">
        <f t="shared" ref="BB1218:BB1281" si="599">IF(X1218="", "", INT((X1218 + 5) * 0.9))</f>
        <v>36</v>
      </c>
    </row>
    <row r="1219" spans="1:54" x14ac:dyDescent="0.15">
      <c r="A1219">
        <v>912</v>
      </c>
      <c r="B1219" t="s">
        <v>4265</v>
      </c>
      <c r="C1219">
        <v>935</v>
      </c>
      <c r="D1219">
        <v>0</v>
      </c>
      <c r="E1219" t="s">
        <v>4266</v>
      </c>
      <c r="G1219" t="s">
        <v>4266</v>
      </c>
      <c r="H1219" t="s">
        <v>4267</v>
      </c>
      <c r="J1219" t="s">
        <v>2364</v>
      </c>
      <c r="K1219">
        <v>10.5</v>
      </c>
      <c r="L1219">
        <v>0.6</v>
      </c>
      <c r="M1219" t="s">
        <v>47</v>
      </c>
      <c r="O1219" t="s">
        <v>245</v>
      </c>
      <c r="P1219" t="s">
        <v>456</v>
      </c>
      <c r="R1219">
        <v>9</v>
      </c>
      <c r="S1219">
        <v>40</v>
      </c>
      <c r="T1219">
        <v>50</v>
      </c>
      <c r="U1219">
        <v>40</v>
      </c>
      <c r="V1219">
        <v>50</v>
      </c>
      <c r="W1219">
        <v>40</v>
      </c>
      <c r="X1219">
        <v>35</v>
      </c>
      <c r="Y1219">
        <f t="shared" si="570"/>
        <v>147</v>
      </c>
      <c r="Z1219">
        <f t="shared" si="571"/>
        <v>147</v>
      </c>
      <c r="AA1219">
        <f t="shared" si="572"/>
        <v>115</v>
      </c>
      <c r="AB1219">
        <f t="shared" si="573"/>
        <v>115</v>
      </c>
      <c r="AC1219">
        <f t="shared" si="574"/>
        <v>100</v>
      </c>
      <c r="AD1219">
        <f t="shared" si="575"/>
        <v>112</v>
      </c>
      <c r="AE1219">
        <f t="shared" si="576"/>
        <v>102</v>
      </c>
      <c r="AF1219">
        <f t="shared" si="577"/>
        <v>70</v>
      </c>
      <c r="AG1219">
        <f t="shared" si="578"/>
        <v>63</v>
      </c>
      <c r="AH1219">
        <f t="shared" si="579"/>
        <v>49</v>
      </c>
      <c r="AI1219">
        <f t="shared" si="580"/>
        <v>101</v>
      </c>
      <c r="AJ1219">
        <f t="shared" si="581"/>
        <v>92</v>
      </c>
      <c r="AK1219">
        <f t="shared" si="582"/>
        <v>60</v>
      </c>
      <c r="AL1219">
        <f t="shared" si="583"/>
        <v>54</v>
      </c>
      <c r="AM1219">
        <f t="shared" si="584"/>
        <v>40</v>
      </c>
      <c r="AN1219">
        <f t="shared" si="585"/>
        <v>112</v>
      </c>
      <c r="AO1219">
        <f t="shared" si="586"/>
        <v>102</v>
      </c>
      <c r="AP1219">
        <f t="shared" si="587"/>
        <v>70</v>
      </c>
      <c r="AQ1219">
        <f t="shared" si="588"/>
        <v>63</v>
      </c>
      <c r="AR1219">
        <f t="shared" si="589"/>
        <v>49</v>
      </c>
      <c r="AS1219">
        <f t="shared" si="590"/>
        <v>101</v>
      </c>
      <c r="AT1219">
        <f t="shared" si="591"/>
        <v>92</v>
      </c>
      <c r="AU1219">
        <f t="shared" si="592"/>
        <v>60</v>
      </c>
      <c r="AV1219">
        <f t="shared" si="593"/>
        <v>54</v>
      </c>
      <c r="AW1219">
        <f t="shared" si="594"/>
        <v>40</v>
      </c>
      <c r="AX1219">
        <f t="shared" si="595"/>
        <v>95</v>
      </c>
      <c r="AY1219">
        <f t="shared" si="596"/>
        <v>87</v>
      </c>
      <c r="AZ1219">
        <f t="shared" si="597"/>
        <v>55</v>
      </c>
      <c r="BA1219">
        <f t="shared" si="598"/>
        <v>49</v>
      </c>
      <c r="BB1219">
        <f t="shared" si="599"/>
        <v>36</v>
      </c>
    </row>
    <row r="1220" spans="1:54" x14ac:dyDescent="0.15">
      <c r="A1220">
        <v>913</v>
      </c>
      <c r="B1220" t="s">
        <v>4268</v>
      </c>
      <c r="C1220">
        <v>936</v>
      </c>
      <c r="D1220">
        <v>0</v>
      </c>
      <c r="E1220" t="s">
        <v>4269</v>
      </c>
      <c r="G1220" t="s">
        <v>4269</v>
      </c>
      <c r="H1220" t="s">
        <v>4270</v>
      </c>
      <c r="J1220" t="s">
        <v>4271</v>
      </c>
      <c r="K1220">
        <v>85</v>
      </c>
      <c r="L1220">
        <v>1.5</v>
      </c>
      <c r="M1220" t="s">
        <v>47</v>
      </c>
      <c r="N1220" t="s">
        <v>191</v>
      </c>
      <c r="O1220" t="s">
        <v>245</v>
      </c>
      <c r="P1220" t="s">
        <v>563</v>
      </c>
      <c r="R1220">
        <v>9</v>
      </c>
      <c r="S1220">
        <v>85</v>
      </c>
      <c r="T1220">
        <v>60</v>
      </c>
      <c r="U1220">
        <v>100</v>
      </c>
      <c r="V1220">
        <v>125</v>
      </c>
      <c r="W1220">
        <v>80</v>
      </c>
      <c r="X1220">
        <v>75</v>
      </c>
      <c r="Y1220">
        <f t="shared" si="570"/>
        <v>192</v>
      </c>
      <c r="Z1220">
        <f t="shared" si="571"/>
        <v>192</v>
      </c>
      <c r="AA1220">
        <f t="shared" si="572"/>
        <v>160</v>
      </c>
      <c r="AB1220">
        <f t="shared" si="573"/>
        <v>160</v>
      </c>
      <c r="AC1220">
        <f t="shared" si="574"/>
        <v>145</v>
      </c>
      <c r="AD1220">
        <f t="shared" si="575"/>
        <v>123</v>
      </c>
      <c r="AE1220">
        <f t="shared" si="576"/>
        <v>112</v>
      </c>
      <c r="AF1220">
        <f t="shared" si="577"/>
        <v>80</v>
      </c>
      <c r="AG1220">
        <f t="shared" si="578"/>
        <v>72</v>
      </c>
      <c r="AH1220">
        <f t="shared" si="579"/>
        <v>58</v>
      </c>
      <c r="AI1220">
        <f t="shared" si="580"/>
        <v>167</v>
      </c>
      <c r="AJ1220">
        <f t="shared" si="581"/>
        <v>152</v>
      </c>
      <c r="AK1220">
        <f t="shared" si="582"/>
        <v>120</v>
      </c>
      <c r="AL1220">
        <f t="shared" si="583"/>
        <v>108</v>
      </c>
      <c r="AM1220">
        <f t="shared" si="584"/>
        <v>94</v>
      </c>
      <c r="AN1220">
        <f t="shared" si="585"/>
        <v>194</v>
      </c>
      <c r="AO1220">
        <f t="shared" si="586"/>
        <v>177</v>
      </c>
      <c r="AP1220">
        <f t="shared" si="587"/>
        <v>145</v>
      </c>
      <c r="AQ1220">
        <f t="shared" si="588"/>
        <v>130</v>
      </c>
      <c r="AR1220">
        <f t="shared" si="589"/>
        <v>117</v>
      </c>
      <c r="AS1220">
        <f t="shared" si="590"/>
        <v>145</v>
      </c>
      <c r="AT1220">
        <f t="shared" si="591"/>
        <v>132</v>
      </c>
      <c r="AU1220">
        <f t="shared" si="592"/>
        <v>100</v>
      </c>
      <c r="AV1220">
        <f t="shared" si="593"/>
        <v>90</v>
      </c>
      <c r="AW1220">
        <f t="shared" si="594"/>
        <v>76</v>
      </c>
      <c r="AX1220">
        <f t="shared" si="595"/>
        <v>139</v>
      </c>
      <c r="AY1220">
        <f t="shared" si="596"/>
        <v>127</v>
      </c>
      <c r="AZ1220">
        <f t="shared" si="597"/>
        <v>95</v>
      </c>
      <c r="BA1220">
        <f t="shared" si="598"/>
        <v>85</v>
      </c>
      <c r="BB1220">
        <f t="shared" si="599"/>
        <v>72</v>
      </c>
    </row>
    <row r="1221" spans="1:54" x14ac:dyDescent="0.15">
      <c r="A1221">
        <v>914</v>
      </c>
      <c r="B1221" t="s">
        <v>4272</v>
      </c>
      <c r="C1221">
        <v>937</v>
      </c>
      <c r="D1221">
        <v>0</v>
      </c>
      <c r="E1221" t="s">
        <v>4273</v>
      </c>
      <c r="G1221" t="s">
        <v>4273</v>
      </c>
      <c r="H1221" t="s">
        <v>4274</v>
      </c>
      <c r="J1221" t="s">
        <v>4275</v>
      </c>
      <c r="K1221">
        <v>62</v>
      </c>
      <c r="L1221">
        <v>1.6</v>
      </c>
      <c r="M1221" t="s">
        <v>47</v>
      </c>
      <c r="N1221" t="s">
        <v>546</v>
      </c>
      <c r="O1221" t="s">
        <v>245</v>
      </c>
      <c r="P1221" t="s">
        <v>563</v>
      </c>
      <c r="R1221">
        <v>9</v>
      </c>
      <c r="S1221">
        <v>75</v>
      </c>
      <c r="T1221">
        <v>125</v>
      </c>
      <c r="U1221">
        <v>80</v>
      </c>
      <c r="V1221">
        <v>60</v>
      </c>
      <c r="W1221">
        <v>100</v>
      </c>
      <c r="X1221">
        <v>85</v>
      </c>
      <c r="Y1221">
        <f t="shared" si="570"/>
        <v>182</v>
      </c>
      <c r="Z1221">
        <f t="shared" si="571"/>
        <v>182</v>
      </c>
      <c r="AA1221">
        <f t="shared" si="572"/>
        <v>150</v>
      </c>
      <c r="AB1221">
        <f t="shared" si="573"/>
        <v>150</v>
      </c>
      <c r="AC1221">
        <f t="shared" si="574"/>
        <v>135</v>
      </c>
      <c r="AD1221">
        <f t="shared" si="575"/>
        <v>194</v>
      </c>
      <c r="AE1221">
        <f t="shared" si="576"/>
        <v>177</v>
      </c>
      <c r="AF1221">
        <f t="shared" si="577"/>
        <v>145</v>
      </c>
      <c r="AG1221">
        <f t="shared" si="578"/>
        <v>130</v>
      </c>
      <c r="AH1221">
        <f t="shared" si="579"/>
        <v>117</v>
      </c>
      <c r="AI1221">
        <f t="shared" si="580"/>
        <v>145</v>
      </c>
      <c r="AJ1221">
        <f t="shared" si="581"/>
        <v>132</v>
      </c>
      <c r="AK1221">
        <f t="shared" si="582"/>
        <v>100</v>
      </c>
      <c r="AL1221">
        <f t="shared" si="583"/>
        <v>90</v>
      </c>
      <c r="AM1221">
        <f t="shared" si="584"/>
        <v>76</v>
      </c>
      <c r="AN1221">
        <f t="shared" si="585"/>
        <v>123</v>
      </c>
      <c r="AO1221">
        <f t="shared" si="586"/>
        <v>112</v>
      </c>
      <c r="AP1221">
        <f t="shared" si="587"/>
        <v>80</v>
      </c>
      <c r="AQ1221">
        <f t="shared" si="588"/>
        <v>72</v>
      </c>
      <c r="AR1221">
        <f t="shared" si="589"/>
        <v>58</v>
      </c>
      <c r="AS1221">
        <f t="shared" si="590"/>
        <v>167</v>
      </c>
      <c r="AT1221">
        <f t="shared" si="591"/>
        <v>152</v>
      </c>
      <c r="AU1221">
        <f t="shared" si="592"/>
        <v>120</v>
      </c>
      <c r="AV1221">
        <f t="shared" si="593"/>
        <v>108</v>
      </c>
      <c r="AW1221">
        <f t="shared" si="594"/>
        <v>94</v>
      </c>
      <c r="AX1221">
        <f t="shared" si="595"/>
        <v>150</v>
      </c>
      <c r="AY1221">
        <f t="shared" si="596"/>
        <v>137</v>
      </c>
      <c r="AZ1221">
        <f t="shared" si="597"/>
        <v>105</v>
      </c>
      <c r="BA1221">
        <f t="shared" si="598"/>
        <v>94</v>
      </c>
      <c r="BB1221">
        <f t="shared" si="599"/>
        <v>81</v>
      </c>
    </row>
    <row r="1222" spans="1:54" x14ac:dyDescent="0.15">
      <c r="A1222">
        <v>837</v>
      </c>
      <c r="B1222" t="s">
        <v>4276</v>
      </c>
      <c r="C1222">
        <v>938</v>
      </c>
      <c r="D1222">
        <v>0</v>
      </c>
      <c r="E1222" t="s">
        <v>4277</v>
      </c>
      <c r="G1222" t="s">
        <v>4277</v>
      </c>
      <c r="H1222" t="s">
        <v>4278</v>
      </c>
      <c r="J1222" t="s">
        <v>4279</v>
      </c>
      <c r="K1222">
        <v>0.4</v>
      </c>
      <c r="L1222">
        <v>0.3</v>
      </c>
      <c r="M1222" t="s">
        <v>164</v>
      </c>
      <c r="O1222" t="s">
        <v>470</v>
      </c>
      <c r="P1222" t="s">
        <v>165</v>
      </c>
      <c r="Q1222" t="s">
        <v>289</v>
      </c>
      <c r="R1222">
        <v>9</v>
      </c>
      <c r="S1222">
        <v>61</v>
      </c>
      <c r="T1222">
        <v>31</v>
      </c>
      <c r="U1222">
        <v>41</v>
      </c>
      <c r="V1222">
        <v>59</v>
      </c>
      <c r="W1222">
        <v>35</v>
      </c>
      <c r="X1222">
        <v>45</v>
      </c>
      <c r="Y1222">
        <f t="shared" si="570"/>
        <v>168</v>
      </c>
      <c r="Z1222">
        <f t="shared" si="571"/>
        <v>168</v>
      </c>
      <c r="AA1222">
        <f t="shared" si="572"/>
        <v>136</v>
      </c>
      <c r="AB1222">
        <f t="shared" si="573"/>
        <v>136</v>
      </c>
      <c r="AC1222">
        <f t="shared" si="574"/>
        <v>121</v>
      </c>
      <c r="AD1222">
        <f t="shared" si="575"/>
        <v>91</v>
      </c>
      <c r="AE1222">
        <f t="shared" si="576"/>
        <v>83</v>
      </c>
      <c r="AF1222">
        <f t="shared" si="577"/>
        <v>51</v>
      </c>
      <c r="AG1222">
        <f t="shared" si="578"/>
        <v>45</v>
      </c>
      <c r="AH1222">
        <f t="shared" si="579"/>
        <v>32</v>
      </c>
      <c r="AI1222">
        <f t="shared" si="580"/>
        <v>102</v>
      </c>
      <c r="AJ1222">
        <f t="shared" si="581"/>
        <v>93</v>
      </c>
      <c r="AK1222">
        <f t="shared" si="582"/>
        <v>61</v>
      </c>
      <c r="AL1222">
        <f t="shared" si="583"/>
        <v>54</v>
      </c>
      <c r="AM1222">
        <f t="shared" si="584"/>
        <v>41</v>
      </c>
      <c r="AN1222">
        <f t="shared" si="585"/>
        <v>122</v>
      </c>
      <c r="AO1222">
        <f t="shared" si="586"/>
        <v>111</v>
      </c>
      <c r="AP1222">
        <f t="shared" si="587"/>
        <v>79</v>
      </c>
      <c r="AQ1222">
        <f t="shared" si="588"/>
        <v>71</v>
      </c>
      <c r="AR1222">
        <f t="shared" si="589"/>
        <v>57</v>
      </c>
      <c r="AS1222">
        <f t="shared" si="590"/>
        <v>95</v>
      </c>
      <c r="AT1222">
        <f t="shared" si="591"/>
        <v>87</v>
      </c>
      <c r="AU1222">
        <f t="shared" si="592"/>
        <v>55</v>
      </c>
      <c r="AV1222">
        <f t="shared" si="593"/>
        <v>49</v>
      </c>
      <c r="AW1222">
        <f t="shared" si="594"/>
        <v>36</v>
      </c>
      <c r="AX1222">
        <f t="shared" si="595"/>
        <v>106</v>
      </c>
      <c r="AY1222">
        <f t="shared" si="596"/>
        <v>97</v>
      </c>
      <c r="AZ1222">
        <f t="shared" si="597"/>
        <v>65</v>
      </c>
      <c r="BA1222">
        <f t="shared" si="598"/>
        <v>58</v>
      </c>
      <c r="BB1222">
        <f t="shared" si="599"/>
        <v>45</v>
      </c>
    </row>
    <row r="1223" spans="1:54" x14ac:dyDescent="0.15">
      <c r="A1223">
        <v>838</v>
      </c>
      <c r="B1223" t="s">
        <v>4280</v>
      </c>
      <c r="C1223">
        <v>939</v>
      </c>
      <c r="D1223">
        <v>0</v>
      </c>
      <c r="E1223" t="s">
        <v>4281</v>
      </c>
      <c r="G1223" t="s">
        <v>4281</v>
      </c>
      <c r="H1223" t="s">
        <v>4282</v>
      </c>
      <c r="J1223" t="s">
        <v>4283</v>
      </c>
      <c r="K1223">
        <v>113</v>
      </c>
      <c r="L1223">
        <v>1.2</v>
      </c>
      <c r="M1223" t="s">
        <v>164</v>
      </c>
      <c r="O1223" t="s">
        <v>4284</v>
      </c>
      <c r="P1223" t="s">
        <v>165</v>
      </c>
      <c r="Q1223" t="s">
        <v>289</v>
      </c>
      <c r="R1223">
        <v>9</v>
      </c>
      <c r="S1223">
        <v>109</v>
      </c>
      <c r="T1223">
        <v>64</v>
      </c>
      <c r="U1223">
        <v>91</v>
      </c>
      <c r="V1223">
        <v>103</v>
      </c>
      <c r="W1223">
        <v>83</v>
      </c>
      <c r="X1223">
        <v>45</v>
      </c>
      <c r="Y1223">
        <f t="shared" si="570"/>
        <v>216</v>
      </c>
      <c r="Z1223">
        <f t="shared" si="571"/>
        <v>216</v>
      </c>
      <c r="AA1223">
        <f t="shared" si="572"/>
        <v>184</v>
      </c>
      <c r="AB1223">
        <f t="shared" si="573"/>
        <v>184</v>
      </c>
      <c r="AC1223">
        <f t="shared" si="574"/>
        <v>169</v>
      </c>
      <c r="AD1223">
        <f t="shared" si="575"/>
        <v>127</v>
      </c>
      <c r="AE1223">
        <f t="shared" si="576"/>
        <v>116</v>
      </c>
      <c r="AF1223">
        <f t="shared" si="577"/>
        <v>84</v>
      </c>
      <c r="AG1223">
        <f t="shared" si="578"/>
        <v>75</v>
      </c>
      <c r="AH1223">
        <f t="shared" si="579"/>
        <v>62</v>
      </c>
      <c r="AI1223">
        <f t="shared" si="580"/>
        <v>157</v>
      </c>
      <c r="AJ1223">
        <f t="shared" si="581"/>
        <v>143</v>
      </c>
      <c r="AK1223">
        <f t="shared" si="582"/>
        <v>111</v>
      </c>
      <c r="AL1223">
        <f t="shared" si="583"/>
        <v>99</v>
      </c>
      <c r="AM1223">
        <f t="shared" si="584"/>
        <v>86</v>
      </c>
      <c r="AN1223">
        <f t="shared" si="585"/>
        <v>170</v>
      </c>
      <c r="AO1223">
        <f t="shared" si="586"/>
        <v>155</v>
      </c>
      <c r="AP1223">
        <f t="shared" si="587"/>
        <v>123</v>
      </c>
      <c r="AQ1223">
        <f t="shared" si="588"/>
        <v>110</v>
      </c>
      <c r="AR1223">
        <f t="shared" si="589"/>
        <v>97</v>
      </c>
      <c r="AS1223">
        <f t="shared" si="590"/>
        <v>148</v>
      </c>
      <c r="AT1223">
        <f t="shared" si="591"/>
        <v>135</v>
      </c>
      <c r="AU1223">
        <f t="shared" si="592"/>
        <v>103</v>
      </c>
      <c r="AV1223">
        <f t="shared" si="593"/>
        <v>92</v>
      </c>
      <c r="AW1223">
        <f t="shared" si="594"/>
        <v>79</v>
      </c>
      <c r="AX1223">
        <f t="shared" si="595"/>
        <v>106</v>
      </c>
      <c r="AY1223">
        <f t="shared" si="596"/>
        <v>97</v>
      </c>
      <c r="AZ1223">
        <f t="shared" si="597"/>
        <v>65</v>
      </c>
      <c r="BA1223">
        <f t="shared" si="598"/>
        <v>58</v>
      </c>
      <c r="BB1223">
        <f t="shared" si="599"/>
        <v>45</v>
      </c>
    </row>
    <row r="1224" spans="1:54" x14ac:dyDescent="0.15">
      <c r="A1224">
        <v>857</v>
      </c>
      <c r="B1224" t="s">
        <v>4285</v>
      </c>
      <c r="C1224">
        <v>940</v>
      </c>
      <c r="D1224">
        <v>0</v>
      </c>
      <c r="E1224" t="s">
        <v>4286</v>
      </c>
      <c r="G1224" t="s">
        <v>4286</v>
      </c>
      <c r="H1224" t="s">
        <v>4287</v>
      </c>
      <c r="J1224" t="s">
        <v>4288</v>
      </c>
      <c r="K1224">
        <v>3.6</v>
      </c>
      <c r="L1224">
        <v>0.4</v>
      </c>
      <c r="M1224" t="s">
        <v>164</v>
      </c>
      <c r="N1224" t="s">
        <v>57</v>
      </c>
      <c r="O1224" t="s">
        <v>4289</v>
      </c>
      <c r="P1224" t="s">
        <v>769</v>
      </c>
      <c r="Q1224" t="s">
        <v>260</v>
      </c>
      <c r="R1224">
        <v>9</v>
      </c>
      <c r="S1224">
        <v>40</v>
      </c>
      <c r="T1224">
        <v>40</v>
      </c>
      <c r="U1224">
        <v>35</v>
      </c>
      <c r="V1224">
        <v>55</v>
      </c>
      <c r="W1224">
        <v>40</v>
      </c>
      <c r="X1224">
        <v>70</v>
      </c>
      <c r="Y1224">
        <f t="shared" si="570"/>
        <v>147</v>
      </c>
      <c r="Z1224">
        <f t="shared" si="571"/>
        <v>147</v>
      </c>
      <c r="AA1224">
        <f t="shared" si="572"/>
        <v>115</v>
      </c>
      <c r="AB1224">
        <f t="shared" si="573"/>
        <v>115</v>
      </c>
      <c r="AC1224">
        <f t="shared" si="574"/>
        <v>100</v>
      </c>
      <c r="AD1224">
        <f t="shared" si="575"/>
        <v>101</v>
      </c>
      <c r="AE1224">
        <f t="shared" si="576"/>
        <v>92</v>
      </c>
      <c r="AF1224">
        <f t="shared" si="577"/>
        <v>60</v>
      </c>
      <c r="AG1224">
        <f t="shared" si="578"/>
        <v>54</v>
      </c>
      <c r="AH1224">
        <f t="shared" si="579"/>
        <v>40</v>
      </c>
      <c r="AI1224">
        <f t="shared" si="580"/>
        <v>95</v>
      </c>
      <c r="AJ1224">
        <f t="shared" si="581"/>
        <v>87</v>
      </c>
      <c r="AK1224">
        <f t="shared" si="582"/>
        <v>55</v>
      </c>
      <c r="AL1224">
        <f t="shared" si="583"/>
        <v>49</v>
      </c>
      <c r="AM1224">
        <f t="shared" si="584"/>
        <v>36</v>
      </c>
      <c r="AN1224">
        <f t="shared" si="585"/>
        <v>117</v>
      </c>
      <c r="AO1224">
        <f t="shared" si="586"/>
        <v>107</v>
      </c>
      <c r="AP1224">
        <f t="shared" si="587"/>
        <v>75</v>
      </c>
      <c r="AQ1224">
        <f t="shared" si="588"/>
        <v>67</v>
      </c>
      <c r="AR1224">
        <f t="shared" si="589"/>
        <v>54</v>
      </c>
      <c r="AS1224">
        <f t="shared" si="590"/>
        <v>101</v>
      </c>
      <c r="AT1224">
        <f t="shared" si="591"/>
        <v>92</v>
      </c>
      <c r="AU1224">
        <f t="shared" si="592"/>
        <v>60</v>
      </c>
      <c r="AV1224">
        <f t="shared" si="593"/>
        <v>54</v>
      </c>
      <c r="AW1224">
        <f t="shared" si="594"/>
        <v>40</v>
      </c>
      <c r="AX1224">
        <f t="shared" si="595"/>
        <v>134</v>
      </c>
      <c r="AY1224">
        <f t="shared" si="596"/>
        <v>122</v>
      </c>
      <c r="AZ1224">
        <f t="shared" si="597"/>
        <v>90</v>
      </c>
      <c r="BA1224">
        <f t="shared" si="598"/>
        <v>81</v>
      </c>
      <c r="BB1224">
        <f t="shared" si="599"/>
        <v>67</v>
      </c>
    </row>
    <row r="1225" spans="1:54" x14ac:dyDescent="0.15">
      <c r="A1225">
        <v>858</v>
      </c>
      <c r="B1225" t="s">
        <v>4290</v>
      </c>
      <c r="C1225">
        <v>941</v>
      </c>
      <c r="D1225">
        <v>0</v>
      </c>
      <c r="E1225" t="s">
        <v>4291</v>
      </c>
      <c r="G1225" t="s">
        <v>4291</v>
      </c>
      <c r="H1225" t="s">
        <v>4292</v>
      </c>
      <c r="J1225" t="s">
        <v>4293</v>
      </c>
      <c r="K1225">
        <v>38.6</v>
      </c>
      <c r="L1225">
        <v>1.4</v>
      </c>
      <c r="M1225" t="s">
        <v>164</v>
      </c>
      <c r="N1225" t="s">
        <v>57</v>
      </c>
      <c r="O1225" t="s">
        <v>4289</v>
      </c>
      <c r="P1225" t="s">
        <v>769</v>
      </c>
      <c r="Q1225" t="s">
        <v>260</v>
      </c>
      <c r="R1225">
        <v>9</v>
      </c>
      <c r="S1225">
        <v>70</v>
      </c>
      <c r="T1225">
        <v>70</v>
      </c>
      <c r="U1225">
        <v>60</v>
      </c>
      <c r="V1225">
        <v>105</v>
      </c>
      <c r="W1225">
        <v>60</v>
      </c>
      <c r="X1225">
        <v>125</v>
      </c>
      <c r="Y1225">
        <f t="shared" si="570"/>
        <v>177</v>
      </c>
      <c r="Z1225">
        <f t="shared" si="571"/>
        <v>177</v>
      </c>
      <c r="AA1225">
        <f t="shared" si="572"/>
        <v>145</v>
      </c>
      <c r="AB1225">
        <f t="shared" si="573"/>
        <v>145</v>
      </c>
      <c r="AC1225">
        <f t="shared" si="574"/>
        <v>130</v>
      </c>
      <c r="AD1225">
        <f t="shared" si="575"/>
        <v>134</v>
      </c>
      <c r="AE1225">
        <f t="shared" si="576"/>
        <v>122</v>
      </c>
      <c r="AF1225">
        <f t="shared" si="577"/>
        <v>90</v>
      </c>
      <c r="AG1225">
        <f t="shared" si="578"/>
        <v>81</v>
      </c>
      <c r="AH1225">
        <f t="shared" si="579"/>
        <v>67</v>
      </c>
      <c r="AI1225">
        <f t="shared" si="580"/>
        <v>123</v>
      </c>
      <c r="AJ1225">
        <f t="shared" si="581"/>
        <v>112</v>
      </c>
      <c r="AK1225">
        <f t="shared" si="582"/>
        <v>80</v>
      </c>
      <c r="AL1225">
        <f t="shared" si="583"/>
        <v>72</v>
      </c>
      <c r="AM1225">
        <f t="shared" si="584"/>
        <v>58</v>
      </c>
      <c r="AN1225">
        <f t="shared" si="585"/>
        <v>172</v>
      </c>
      <c r="AO1225">
        <f t="shared" si="586"/>
        <v>157</v>
      </c>
      <c r="AP1225">
        <f t="shared" si="587"/>
        <v>125</v>
      </c>
      <c r="AQ1225">
        <f t="shared" si="588"/>
        <v>112</v>
      </c>
      <c r="AR1225">
        <f t="shared" si="589"/>
        <v>99</v>
      </c>
      <c r="AS1225">
        <f t="shared" si="590"/>
        <v>123</v>
      </c>
      <c r="AT1225">
        <f t="shared" si="591"/>
        <v>112</v>
      </c>
      <c r="AU1225">
        <f t="shared" si="592"/>
        <v>80</v>
      </c>
      <c r="AV1225">
        <f t="shared" si="593"/>
        <v>72</v>
      </c>
      <c r="AW1225">
        <f t="shared" si="594"/>
        <v>58</v>
      </c>
      <c r="AX1225">
        <f t="shared" si="595"/>
        <v>194</v>
      </c>
      <c r="AY1225">
        <f t="shared" si="596"/>
        <v>177</v>
      </c>
      <c r="AZ1225">
        <f t="shared" si="597"/>
        <v>145</v>
      </c>
      <c r="BA1225">
        <f t="shared" si="598"/>
        <v>130</v>
      </c>
      <c r="BB1225">
        <f t="shared" si="599"/>
        <v>117</v>
      </c>
    </row>
    <row r="1226" spans="1:54" x14ac:dyDescent="0.15">
      <c r="A1226">
        <v>875</v>
      </c>
      <c r="B1226" t="s">
        <v>4294</v>
      </c>
      <c r="C1226">
        <v>942</v>
      </c>
      <c r="D1226">
        <v>0</v>
      </c>
      <c r="E1226" t="s">
        <v>4295</v>
      </c>
      <c r="G1226" t="s">
        <v>4295</v>
      </c>
      <c r="H1226" t="s">
        <v>4296</v>
      </c>
      <c r="J1226" t="s">
        <v>4297</v>
      </c>
      <c r="K1226">
        <v>16</v>
      </c>
      <c r="L1226">
        <v>0.5</v>
      </c>
      <c r="M1226" t="s">
        <v>140</v>
      </c>
      <c r="O1226" t="s">
        <v>155</v>
      </c>
      <c r="P1226" t="s">
        <v>92</v>
      </c>
      <c r="Q1226" t="s">
        <v>3339</v>
      </c>
      <c r="R1226">
        <v>9</v>
      </c>
      <c r="S1226">
        <v>60</v>
      </c>
      <c r="T1226">
        <v>78</v>
      </c>
      <c r="U1226">
        <v>60</v>
      </c>
      <c r="V1226">
        <v>40</v>
      </c>
      <c r="W1226">
        <v>51</v>
      </c>
      <c r="X1226">
        <v>51</v>
      </c>
      <c r="Y1226">
        <f t="shared" si="570"/>
        <v>167</v>
      </c>
      <c r="Z1226">
        <f t="shared" si="571"/>
        <v>167</v>
      </c>
      <c r="AA1226">
        <f t="shared" si="572"/>
        <v>135</v>
      </c>
      <c r="AB1226">
        <f t="shared" si="573"/>
        <v>135</v>
      </c>
      <c r="AC1226">
        <f t="shared" si="574"/>
        <v>120</v>
      </c>
      <c r="AD1226">
        <f t="shared" si="575"/>
        <v>143</v>
      </c>
      <c r="AE1226">
        <f t="shared" si="576"/>
        <v>130</v>
      </c>
      <c r="AF1226">
        <f t="shared" si="577"/>
        <v>98</v>
      </c>
      <c r="AG1226">
        <f t="shared" si="578"/>
        <v>88</v>
      </c>
      <c r="AH1226">
        <f t="shared" si="579"/>
        <v>74</v>
      </c>
      <c r="AI1226">
        <f t="shared" si="580"/>
        <v>123</v>
      </c>
      <c r="AJ1226">
        <f t="shared" si="581"/>
        <v>112</v>
      </c>
      <c r="AK1226">
        <f t="shared" si="582"/>
        <v>80</v>
      </c>
      <c r="AL1226">
        <f t="shared" si="583"/>
        <v>72</v>
      </c>
      <c r="AM1226">
        <f t="shared" si="584"/>
        <v>58</v>
      </c>
      <c r="AN1226">
        <f t="shared" si="585"/>
        <v>101</v>
      </c>
      <c r="AO1226">
        <f t="shared" si="586"/>
        <v>92</v>
      </c>
      <c r="AP1226">
        <f t="shared" si="587"/>
        <v>60</v>
      </c>
      <c r="AQ1226">
        <f t="shared" si="588"/>
        <v>54</v>
      </c>
      <c r="AR1226">
        <f t="shared" si="589"/>
        <v>40</v>
      </c>
      <c r="AS1226">
        <f t="shared" si="590"/>
        <v>113</v>
      </c>
      <c r="AT1226">
        <f t="shared" si="591"/>
        <v>103</v>
      </c>
      <c r="AU1226">
        <f t="shared" si="592"/>
        <v>71</v>
      </c>
      <c r="AV1226">
        <f t="shared" si="593"/>
        <v>63</v>
      </c>
      <c r="AW1226">
        <f t="shared" si="594"/>
        <v>50</v>
      </c>
      <c r="AX1226">
        <f t="shared" si="595"/>
        <v>113</v>
      </c>
      <c r="AY1226">
        <f t="shared" si="596"/>
        <v>103</v>
      </c>
      <c r="AZ1226">
        <f t="shared" si="597"/>
        <v>71</v>
      </c>
      <c r="BA1226">
        <f t="shared" si="598"/>
        <v>63</v>
      </c>
      <c r="BB1226">
        <f t="shared" si="599"/>
        <v>50</v>
      </c>
    </row>
    <row r="1227" spans="1:54" x14ac:dyDescent="0.15">
      <c r="A1227">
        <v>876</v>
      </c>
      <c r="B1227" t="s">
        <v>4298</v>
      </c>
      <c r="C1227">
        <v>943</v>
      </c>
      <c r="D1227">
        <v>0</v>
      </c>
      <c r="E1227" t="s">
        <v>4299</v>
      </c>
      <c r="G1227" t="s">
        <v>4299</v>
      </c>
      <c r="H1227" t="s">
        <v>4300</v>
      </c>
      <c r="J1227" t="s">
        <v>4301</v>
      </c>
      <c r="K1227">
        <v>61</v>
      </c>
      <c r="L1227">
        <v>1.1000000000000001</v>
      </c>
      <c r="M1227" t="s">
        <v>140</v>
      </c>
      <c r="O1227" t="s">
        <v>155</v>
      </c>
      <c r="P1227" t="s">
        <v>4302</v>
      </c>
      <c r="Q1227" t="s">
        <v>3339</v>
      </c>
      <c r="R1227">
        <v>9</v>
      </c>
      <c r="S1227">
        <v>80</v>
      </c>
      <c r="T1227">
        <v>120</v>
      </c>
      <c r="U1227">
        <v>90</v>
      </c>
      <c r="V1227">
        <v>60</v>
      </c>
      <c r="W1227">
        <v>70</v>
      </c>
      <c r="X1227">
        <v>85</v>
      </c>
      <c r="Y1227">
        <f t="shared" si="570"/>
        <v>187</v>
      </c>
      <c r="Z1227">
        <f t="shared" si="571"/>
        <v>187</v>
      </c>
      <c r="AA1227">
        <f t="shared" si="572"/>
        <v>155</v>
      </c>
      <c r="AB1227">
        <f t="shared" si="573"/>
        <v>155</v>
      </c>
      <c r="AC1227">
        <f t="shared" si="574"/>
        <v>140</v>
      </c>
      <c r="AD1227">
        <f t="shared" si="575"/>
        <v>189</v>
      </c>
      <c r="AE1227">
        <f t="shared" si="576"/>
        <v>172</v>
      </c>
      <c r="AF1227">
        <f t="shared" si="577"/>
        <v>140</v>
      </c>
      <c r="AG1227">
        <f t="shared" si="578"/>
        <v>126</v>
      </c>
      <c r="AH1227">
        <f t="shared" si="579"/>
        <v>112</v>
      </c>
      <c r="AI1227">
        <f t="shared" si="580"/>
        <v>156</v>
      </c>
      <c r="AJ1227">
        <f t="shared" si="581"/>
        <v>142</v>
      </c>
      <c r="AK1227">
        <f t="shared" si="582"/>
        <v>110</v>
      </c>
      <c r="AL1227">
        <f t="shared" si="583"/>
        <v>99</v>
      </c>
      <c r="AM1227">
        <f t="shared" si="584"/>
        <v>85</v>
      </c>
      <c r="AN1227">
        <f t="shared" si="585"/>
        <v>123</v>
      </c>
      <c r="AO1227">
        <f t="shared" si="586"/>
        <v>112</v>
      </c>
      <c r="AP1227">
        <f t="shared" si="587"/>
        <v>80</v>
      </c>
      <c r="AQ1227">
        <f t="shared" si="588"/>
        <v>72</v>
      </c>
      <c r="AR1227">
        <f t="shared" si="589"/>
        <v>58</v>
      </c>
      <c r="AS1227">
        <f t="shared" si="590"/>
        <v>134</v>
      </c>
      <c r="AT1227">
        <f t="shared" si="591"/>
        <v>122</v>
      </c>
      <c r="AU1227">
        <f t="shared" si="592"/>
        <v>90</v>
      </c>
      <c r="AV1227">
        <f t="shared" si="593"/>
        <v>81</v>
      </c>
      <c r="AW1227">
        <f t="shared" si="594"/>
        <v>67</v>
      </c>
      <c r="AX1227">
        <f t="shared" si="595"/>
        <v>150</v>
      </c>
      <c r="AY1227">
        <f t="shared" si="596"/>
        <v>137</v>
      </c>
      <c r="AZ1227">
        <f t="shared" si="597"/>
        <v>105</v>
      </c>
      <c r="BA1227">
        <f t="shared" si="598"/>
        <v>94</v>
      </c>
      <c r="BB1227">
        <f t="shared" si="599"/>
        <v>81</v>
      </c>
    </row>
    <row r="1228" spans="1:54" x14ac:dyDescent="0.15">
      <c r="A1228">
        <v>871</v>
      </c>
      <c r="B1228" t="s">
        <v>4303</v>
      </c>
      <c r="C1228">
        <v>944</v>
      </c>
      <c r="D1228">
        <v>0</v>
      </c>
      <c r="E1228" t="s">
        <v>4304</v>
      </c>
      <c r="G1228" t="s">
        <v>4304</v>
      </c>
      <c r="H1228" t="s">
        <v>4305</v>
      </c>
      <c r="J1228" t="s">
        <v>4306</v>
      </c>
      <c r="K1228">
        <v>0.7</v>
      </c>
      <c r="L1228">
        <v>0.2</v>
      </c>
      <c r="M1228" t="s">
        <v>27</v>
      </c>
      <c r="N1228" t="s">
        <v>120</v>
      </c>
      <c r="O1228" t="s">
        <v>624</v>
      </c>
      <c r="P1228" t="s">
        <v>1105</v>
      </c>
      <c r="Q1228" t="s">
        <v>1027</v>
      </c>
      <c r="R1228">
        <v>9</v>
      </c>
      <c r="S1228">
        <v>40</v>
      </c>
      <c r="T1228">
        <v>65</v>
      </c>
      <c r="U1228">
        <v>35</v>
      </c>
      <c r="V1228">
        <v>40</v>
      </c>
      <c r="W1228">
        <v>35</v>
      </c>
      <c r="X1228">
        <v>75</v>
      </c>
      <c r="Y1228">
        <f t="shared" si="570"/>
        <v>147</v>
      </c>
      <c r="Z1228">
        <f t="shared" si="571"/>
        <v>147</v>
      </c>
      <c r="AA1228">
        <f t="shared" si="572"/>
        <v>115</v>
      </c>
      <c r="AB1228">
        <f t="shared" si="573"/>
        <v>115</v>
      </c>
      <c r="AC1228">
        <f t="shared" si="574"/>
        <v>100</v>
      </c>
      <c r="AD1228">
        <f t="shared" si="575"/>
        <v>128</v>
      </c>
      <c r="AE1228">
        <f t="shared" si="576"/>
        <v>117</v>
      </c>
      <c r="AF1228">
        <f t="shared" si="577"/>
        <v>85</v>
      </c>
      <c r="AG1228">
        <f t="shared" si="578"/>
        <v>76</v>
      </c>
      <c r="AH1228">
        <f t="shared" si="579"/>
        <v>63</v>
      </c>
      <c r="AI1228">
        <f t="shared" si="580"/>
        <v>95</v>
      </c>
      <c r="AJ1228">
        <f t="shared" si="581"/>
        <v>87</v>
      </c>
      <c r="AK1228">
        <f t="shared" si="582"/>
        <v>55</v>
      </c>
      <c r="AL1228">
        <f t="shared" si="583"/>
        <v>49</v>
      </c>
      <c r="AM1228">
        <f t="shared" si="584"/>
        <v>36</v>
      </c>
      <c r="AN1228">
        <f t="shared" si="585"/>
        <v>101</v>
      </c>
      <c r="AO1228">
        <f t="shared" si="586"/>
        <v>92</v>
      </c>
      <c r="AP1228">
        <f t="shared" si="587"/>
        <v>60</v>
      </c>
      <c r="AQ1228">
        <f t="shared" si="588"/>
        <v>54</v>
      </c>
      <c r="AR1228">
        <f t="shared" si="589"/>
        <v>40</v>
      </c>
      <c r="AS1228">
        <f t="shared" si="590"/>
        <v>95</v>
      </c>
      <c r="AT1228">
        <f t="shared" si="591"/>
        <v>87</v>
      </c>
      <c r="AU1228">
        <f t="shared" si="592"/>
        <v>55</v>
      </c>
      <c r="AV1228">
        <f t="shared" si="593"/>
        <v>49</v>
      </c>
      <c r="AW1228">
        <f t="shared" si="594"/>
        <v>36</v>
      </c>
      <c r="AX1228">
        <f t="shared" si="595"/>
        <v>139</v>
      </c>
      <c r="AY1228">
        <f t="shared" si="596"/>
        <v>127</v>
      </c>
      <c r="AZ1228">
        <f t="shared" si="597"/>
        <v>95</v>
      </c>
      <c r="BA1228">
        <f t="shared" si="598"/>
        <v>85</v>
      </c>
      <c r="BB1228">
        <f t="shared" si="599"/>
        <v>72</v>
      </c>
    </row>
    <row r="1229" spans="1:54" x14ac:dyDescent="0.15">
      <c r="A1229">
        <v>872</v>
      </c>
      <c r="B1229" t="s">
        <v>4307</v>
      </c>
      <c r="C1229">
        <v>945</v>
      </c>
      <c r="D1229">
        <v>0</v>
      </c>
      <c r="E1229" t="s">
        <v>4308</v>
      </c>
      <c r="G1229" t="s">
        <v>4308</v>
      </c>
      <c r="H1229" t="s">
        <v>4309</v>
      </c>
      <c r="J1229" t="s">
        <v>4310</v>
      </c>
      <c r="K1229">
        <v>27.2</v>
      </c>
      <c r="L1229">
        <v>0.7</v>
      </c>
      <c r="M1229" t="s">
        <v>27</v>
      </c>
      <c r="N1229" t="s">
        <v>120</v>
      </c>
      <c r="O1229" t="s">
        <v>624</v>
      </c>
      <c r="P1229" t="s">
        <v>523</v>
      </c>
      <c r="Q1229" t="s">
        <v>1027</v>
      </c>
      <c r="R1229">
        <v>9</v>
      </c>
      <c r="S1229">
        <v>63</v>
      </c>
      <c r="T1229">
        <v>95</v>
      </c>
      <c r="U1229">
        <v>65</v>
      </c>
      <c r="V1229">
        <v>80</v>
      </c>
      <c r="W1229">
        <v>72</v>
      </c>
      <c r="X1229">
        <v>110</v>
      </c>
      <c r="Y1229">
        <f t="shared" si="570"/>
        <v>170</v>
      </c>
      <c r="Z1229">
        <f t="shared" si="571"/>
        <v>170</v>
      </c>
      <c r="AA1229">
        <f t="shared" si="572"/>
        <v>138</v>
      </c>
      <c r="AB1229">
        <f t="shared" si="573"/>
        <v>138</v>
      </c>
      <c r="AC1229">
        <f t="shared" si="574"/>
        <v>123</v>
      </c>
      <c r="AD1229">
        <f t="shared" si="575"/>
        <v>161</v>
      </c>
      <c r="AE1229">
        <f t="shared" si="576"/>
        <v>147</v>
      </c>
      <c r="AF1229">
        <f t="shared" si="577"/>
        <v>115</v>
      </c>
      <c r="AG1229">
        <f t="shared" si="578"/>
        <v>103</v>
      </c>
      <c r="AH1229">
        <f t="shared" si="579"/>
        <v>90</v>
      </c>
      <c r="AI1229">
        <f t="shared" si="580"/>
        <v>128</v>
      </c>
      <c r="AJ1229">
        <f t="shared" si="581"/>
        <v>117</v>
      </c>
      <c r="AK1229">
        <f t="shared" si="582"/>
        <v>85</v>
      </c>
      <c r="AL1229">
        <f t="shared" si="583"/>
        <v>76</v>
      </c>
      <c r="AM1229">
        <f t="shared" si="584"/>
        <v>63</v>
      </c>
      <c r="AN1229">
        <f t="shared" si="585"/>
        <v>145</v>
      </c>
      <c r="AO1229">
        <f t="shared" si="586"/>
        <v>132</v>
      </c>
      <c r="AP1229">
        <f t="shared" si="587"/>
        <v>100</v>
      </c>
      <c r="AQ1229">
        <f t="shared" si="588"/>
        <v>90</v>
      </c>
      <c r="AR1229">
        <f t="shared" si="589"/>
        <v>76</v>
      </c>
      <c r="AS1229">
        <f t="shared" si="590"/>
        <v>136</v>
      </c>
      <c r="AT1229">
        <f t="shared" si="591"/>
        <v>124</v>
      </c>
      <c r="AU1229">
        <f t="shared" si="592"/>
        <v>92</v>
      </c>
      <c r="AV1229">
        <f t="shared" si="593"/>
        <v>82</v>
      </c>
      <c r="AW1229">
        <f t="shared" si="594"/>
        <v>69</v>
      </c>
      <c r="AX1229">
        <f t="shared" si="595"/>
        <v>178</v>
      </c>
      <c r="AY1229">
        <f t="shared" si="596"/>
        <v>162</v>
      </c>
      <c r="AZ1229">
        <f t="shared" si="597"/>
        <v>130</v>
      </c>
      <c r="BA1229">
        <f t="shared" si="598"/>
        <v>117</v>
      </c>
      <c r="BB1229">
        <f t="shared" si="599"/>
        <v>103</v>
      </c>
    </row>
    <row r="1230" spans="1:54" x14ac:dyDescent="0.15">
      <c r="A1230">
        <v>877</v>
      </c>
      <c r="B1230" t="s">
        <v>4311</v>
      </c>
      <c r="C1230">
        <v>946</v>
      </c>
      <c r="D1230">
        <v>0</v>
      </c>
      <c r="E1230" t="s">
        <v>4312</v>
      </c>
      <c r="G1230" t="s">
        <v>4312</v>
      </c>
      <c r="H1230" t="s">
        <v>4313</v>
      </c>
      <c r="J1230" t="s">
        <v>4314</v>
      </c>
      <c r="K1230">
        <v>0.6</v>
      </c>
      <c r="L1230">
        <v>0.6</v>
      </c>
      <c r="M1230" t="s">
        <v>26</v>
      </c>
      <c r="N1230" t="s">
        <v>546</v>
      </c>
      <c r="O1230" t="s">
        <v>1339</v>
      </c>
      <c r="P1230" t="s">
        <v>269</v>
      </c>
      <c r="R1230">
        <v>9</v>
      </c>
      <c r="S1230">
        <v>40</v>
      </c>
      <c r="T1230">
        <v>65</v>
      </c>
      <c r="U1230">
        <v>30</v>
      </c>
      <c r="V1230">
        <v>45</v>
      </c>
      <c r="W1230">
        <v>35</v>
      </c>
      <c r="X1230">
        <v>60</v>
      </c>
      <c r="Y1230">
        <f t="shared" si="570"/>
        <v>147</v>
      </c>
      <c r="Z1230">
        <f t="shared" si="571"/>
        <v>147</v>
      </c>
      <c r="AA1230">
        <f t="shared" si="572"/>
        <v>115</v>
      </c>
      <c r="AB1230">
        <f t="shared" si="573"/>
        <v>115</v>
      </c>
      <c r="AC1230">
        <f t="shared" si="574"/>
        <v>100</v>
      </c>
      <c r="AD1230">
        <f t="shared" si="575"/>
        <v>128</v>
      </c>
      <c r="AE1230">
        <f t="shared" si="576"/>
        <v>117</v>
      </c>
      <c r="AF1230">
        <f t="shared" si="577"/>
        <v>85</v>
      </c>
      <c r="AG1230">
        <f t="shared" si="578"/>
        <v>76</v>
      </c>
      <c r="AH1230">
        <f t="shared" si="579"/>
        <v>63</v>
      </c>
      <c r="AI1230">
        <f t="shared" si="580"/>
        <v>90</v>
      </c>
      <c r="AJ1230">
        <f t="shared" si="581"/>
        <v>82</v>
      </c>
      <c r="AK1230">
        <f t="shared" si="582"/>
        <v>50</v>
      </c>
      <c r="AL1230">
        <f t="shared" si="583"/>
        <v>45</v>
      </c>
      <c r="AM1230">
        <f t="shared" si="584"/>
        <v>31</v>
      </c>
      <c r="AN1230">
        <f t="shared" si="585"/>
        <v>106</v>
      </c>
      <c r="AO1230">
        <f t="shared" si="586"/>
        <v>97</v>
      </c>
      <c r="AP1230">
        <f t="shared" si="587"/>
        <v>65</v>
      </c>
      <c r="AQ1230">
        <f t="shared" si="588"/>
        <v>58</v>
      </c>
      <c r="AR1230">
        <f t="shared" si="589"/>
        <v>45</v>
      </c>
      <c r="AS1230">
        <f t="shared" si="590"/>
        <v>95</v>
      </c>
      <c r="AT1230">
        <f t="shared" si="591"/>
        <v>87</v>
      </c>
      <c r="AU1230">
        <f t="shared" si="592"/>
        <v>55</v>
      </c>
      <c r="AV1230">
        <f t="shared" si="593"/>
        <v>49</v>
      </c>
      <c r="AW1230">
        <f t="shared" si="594"/>
        <v>36</v>
      </c>
      <c r="AX1230">
        <f t="shared" si="595"/>
        <v>123</v>
      </c>
      <c r="AY1230">
        <f t="shared" si="596"/>
        <v>112</v>
      </c>
      <c r="AZ1230">
        <f t="shared" si="597"/>
        <v>80</v>
      </c>
      <c r="BA1230">
        <f t="shared" si="598"/>
        <v>72</v>
      </c>
      <c r="BB1230">
        <f t="shared" si="599"/>
        <v>58</v>
      </c>
    </row>
    <row r="1231" spans="1:54" x14ac:dyDescent="0.15">
      <c r="A1231">
        <v>878</v>
      </c>
      <c r="B1231" t="s">
        <v>4315</v>
      </c>
      <c r="C1231">
        <v>947</v>
      </c>
      <c r="D1231">
        <v>0</v>
      </c>
      <c r="E1231" t="s">
        <v>4316</v>
      </c>
      <c r="G1231" t="s">
        <v>4316</v>
      </c>
      <c r="H1231" t="s">
        <v>4317</v>
      </c>
      <c r="J1231" t="s">
        <v>4314</v>
      </c>
      <c r="K1231">
        <v>6</v>
      </c>
      <c r="L1231">
        <v>1.2</v>
      </c>
      <c r="M1231" t="s">
        <v>26</v>
      </c>
      <c r="N1231" t="s">
        <v>546</v>
      </c>
      <c r="O1231" t="s">
        <v>1339</v>
      </c>
      <c r="P1231" t="s">
        <v>269</v>
      </c>
      <c r="R1231">
        <v>9</v>
      </c>
      <c r="S1231">
        <v>55</v>
      </c>
      <c r="T1231">
        <v>115</v>
      </c>
      <c r="U1231">
        <v>70</v>
      </c>
      <c r="V1231">
        <v>80</v>
      </c>
      <c r="W1231">
        <v>70</v>
      </c>
      <c r="X1231">
        <v>90</v>
      </c>
      <c r="Y1231">
        <f t="shared" si="570"/>
        <v>162</v>
      </c>
      <c r="Z1231">
        <f t="shared" si="571"/>
        <v>162</v>
      </c>
      <c r="AA1231">
        <f t="shared" si="572"/>
        <v>130</v>
      </c>
      <c r="AB1231">
        <f t="shared" si="573"/>
        <v>130</v>
      </c>
      <c r="AC1231">
        <f t="shared" si="574"/>
        <v>115</v>
      </c>
      <c r="AD1231">
        <f t="shared" si="575"/>
        <v>183</v>
      </c>
      <c r="AE1231">
        <f t="shared" si="576"/>
        <v>167</v>
      </c>
      <c r="AF1231">
        <f t="shared" si="577"/>
        <v>135</v>
      </c>
      <c r="AG1231">
        <f t="shared" si="578"/>
        <v>121</v>
      </c>
      <c r="AH1231">
        <f t="shared" si="579"/>
        <v>108</v>
      </c>
      <c r="AI1231">
        <f t="shared" si="580"/>
        <v>134</v>
      </c>
      <c r="AJ1231">
        <f t="shared" si="581"/>
        <v>122</v>
      </c>
      <c r="AK1231">
        <f t="shared" si="582"/>
        <v>90</v>
      </c>
      <c r="AL1231">
        <f t="shared" si="583"/>
        <v>81</v>
      </c>
      <c r="AM1231">
        <f t="shared" si="584"/>
        <v>67</v>
      </c>
      <c r="AN1231">
        <f t="shared" si="585"/>
        <v>145</v>
      </c>
      <c r="AO1231">
        <f t="shared" si="586"/>
        <v>132</v>
      </c>
      <c r="AP1231">
        <f t="shared" si="587"/>
        <v>100</v>
      </c>
      <c r="AQ1231">
        <f t="shared" si="588"/>
        <v>90</v>
      </c>
      <c r="AR1231">
        <f t="shared" si="589"/>
        <v>76</v>
      </c>
      <c r="AS1231">
        <f t="shared" si="590"/>
        <v>134</v>
      </c>
      <c r="AT1231">
        <f t="shared" si="591"/>
        <v>122</v>
      </c>
      <c r="AU1231">
        <f t="shared" si="592"/>
        <v>90</v>
      </c>
      <c r="AV1231">
        <f t="shared" si="593"/>
        <v>81</v>
      </c>
      <c r="AW1231">
        <f t="shared" si="594"/>
        <v>67</v>
      </c>
      <c r="AX1231">
        <f t="shared" si="595"/>
        <v>156</v>
      </c>
      <c r="AY1231">
        <f t="shared" si="596"/>
        <v>142</v>
      </c>
      <c r="AZ1231">
        <f t="shared" si="597"/>
        <v>110</v>
      </c>
      <c r="BA1231">
        <f t="shared" si="598"/>
        <v>99</v>
      </c>
      <c r="BB1231">
        <f t="shared" si="599"/>
        <v>85</v>
      </c>
    </row>
    <row r="1232" spans="1:54" x14ac:dyDescent="0.15">
      <c r="A1232">
        <v>915</v>
      </c>
      <c r="B1232" t="s">
        <v>4318</v>
      </c>
      <c r="C1232">
        <v>948</v>
      </c>
      <c r="D1232">
        <v>0</v>
      </c>
      <c r="E1232" t="s">
        <v>4319</v>
      </c>
      <c r="G1232" t="s">
        <v>4319</v>
      </c>
      <c r="H1232" t="s">
        <v>4320</v>
      </c>
      <c r="J1232" t="s">
        <v>4321</v>
      </c>
      <c r="K1232">
        <v>33</v>
      </c>
      <c r="L1232">
        <v>0.9</v>
      </c>
      <c r="M1232" t="s">
        <v>196</v>
      </c>
      <c r="N1232" t="s">
        <v>26</v>
      </c>
      <c r="O1232" t="s">
        <v>4322</v>
      </c>
      <c r="R1232">
        <v>9</v>
      </c>
      <c r="S1232">
        <v>40</v>
      </c>
      <c r="T1232">
        <v>40</v>
      </c>
      <c r="U1232">
        <v>35</v>
      </c>
      <c r="V1232">
        <v>50</v>
      </c>
      <c r="W1232">
        <v>100</v>
      </c>
      <c r="X1232">
        <v>70</v>
      </c>
      <c r="Y1232">
        <f t="shared" si="570"/>
        <v>147</v>
      </c>
      <c r="Z1232">
        <f t="shared" si="571"/>
        <v>147</v>
      </c>
      <c r="AA1232">
        <f t="shared" si="572"/>
        <v>115</v>
      </c>
      <c r="AB1232">
        <f t="shared" si="573"/>
        <v>115</v>
      </c>
      <c r="AC1232">
        <f t="shared" si="574"/>
        <v>100</v>
      </c>
      <c r="AD1232">
        <f t="shared" si="575"/>
        <v>101</v>
      </c>
      <c r="AE1232">
        <f t="shared" si="576"/>
        <v>92</v>
      </c>
      <c r="AF1232">
        <f t="shared" si="577"/>
        <v>60</v>
      </c>
      <c r="AG1232">
        <f t="shared" si="578"/>
        <v>54</v>
      </c>
      <c r="AH1232">
        <f t="shared" si="579"/>
        <v>40</v>
      </c>
      <c r="AI1232">
        <f t="shared" si="580"/>
        <v>95</v>
      </c>
      <c r="AJ1232">
        <f t="shared" si="581"/>
        <v>87</v>
      </c>
      <c r="AK1232">
        <f t="shared" si="582"/>
        <v>55</v>
      </c>
      <c r="AL1232">
        <f t="shared" si="583"/>
        <v>49</v>
      </c>
      <c r="AM1232">
        <f t="shared" si="584"/>
        <v>36</v>
      </c>
      <c r="AN1232">
        <f t="shared" si="585"/>
        <v>112</v>
      </c>
      <c r="AO1232">
        <f t="shared" si="586"/>
        <v>102</v>
      </c>
      <c r="AP1232">
        <f t="shared" si="587"/>
        <v>70</v>
      </c>
      <c r="AQ1232">
        <f t="shared" si="588"/>
        <v>63</v>
      </c>
      <c r="AR1232">
        <f t="shared" si="589"/>
        <v>49</v>
      </c>
      <c r="AS1232">
        <f t="shared" si="590"/>
        <v>167</v>
      </c>
      <c r="AT1232">
        <f t="shared" si="591"/>
        <v>152</v>
      </c>
      <c r="AU1232">
        <f t="shared" si="592"/>
        <v>120</v>
      </c>
      <c r="AV1232">
        <f t="shared" si="593"/>
        <v>108</v>
      </c>
      <c r="AW1232">
        <f t="shared" si="594"/>
        <v>94</v>
      </c>
      <c r="AX1232">
        <f t="shared" si="595"/>
        <v>134</v>
      </c>
      <c r="AY1232">
        <f t="shared" si="596"/>
        <v>122</v>
      </c>
      <c r="AZ1232">
        <f t="shared" si="597"/>
        <v>90</v>
      </c>
      <c r="BA1232">
        <f t="shared" si="598"/>
        <v>81</v>
      </c>
      <c r="BB1232">
        <f t="shared" si="599"/>
        <v>67</v>
      </c>
    </row>
    <row r="1233" spans="1:54" x14ac:dyDescent="0.15">
      <c r="A1233">
        <v>916</v>
      </c>
      <c r="B1233" t="s">
        <v>4323</v>
      </c>
      <c r="C1233">
        <v>949</v>
      </c>
      <c r="D1233">
        <v>0</v>
      </c>
      <c r="E1233" t="s">
        <v>4324</v>
      </c>
      <c r="G1233" t="s">
        <v>4324</v>
      </c>
      <c r="H1233" t="s">
        <v>4325</v>
      </c>
      <c r="J1233" t="s">
        <v>4321</v>
      </c>
      <c r="K1233">
        <v>58</v>
      </c>
      <c r="L1233">
        <v>1.9</v>
      </c>
      <c r="M1233" t="s">
        <v>196</v>
      </c>
      <c r="N1233" t="s">
        <v>26</v>
      </c>
      <c r="O1233" t="s">
        <v>4322</v>
      </c>
      <c r="R1233">
        <v>9</v>
      </c>
      <c r="S1233">
        <v>80</v>
      </c>
      <c r="T1233">
        <v>70</v>
      </c>
      <c r="U1233">
        <v>65</v>
      </c>
      <c r="V1233">
        <v>80</v>
      </c>
      <c r="W1233">
        <v>120</v>
      </c>
      <c r="X1233">
        <v>100</v>
      </c>
      <c r="Y1233">
        <f t="shared" si="570"/>
        <v>187</v>
      </c>
      <c r="Z1233">
        <f t="shared" si="571"/>
        <v>187</v>
      </c>
      <c r="AA1233">
        <f t="shared" si="572"/>
        <v>155</v>
      </c>
      <c r="AB1233">
        <f t="shared" si="573"/>
        <v>155</v>
      </c>
      <c r="AC1233">
        <f t="shared" si="574"/>
        <v>140</v>
      </c>
      <c r="AD1233">
        <f t="shared" si="575"/>
        <v>134</v>
      </c>
      <c r="AE1233">
        <f t="shared" si="576"/>
        <v>122</v>
      </c>
      <c r="AF1233">
        <f t="shared" si="577"/>
        <v>90</v>
      </c>
      <c r="AG1233">
        <f t="shared" si="578"/>
        <v>81</v>
      </c>
      <c r="AH1233">
        <f t="shared" si="579"/>
        <v>67</v>
      </c>
      <c r="AI1233">
        <f t="shared" si="580"/>
        <v>128</v>
      </c>
      <c r="AJ1233">
        <f t="shared" si="581"/>
        <v>117</v>
      </c>
      <c r="AK1233">
        <f t="shared" si="582"/>
        <v>85</v>
      </c>
      <c r="AL1233">
        <f t="shared" si="583"/>
        <v>76</v>
      </c>
      <c r="AM1233">
        <f t="shared" si="584"/>
        <v>63</v>
      </c>
      <c r="AN1233">
        <f t="shared" si="585"/>
        <v>145</v>
      </c>
      <c r="AO1233">
        <f t="shared" si="586"/>
        <v>132</v>
      </c>
      <c r="AP1233">
        <f t="shared" si="587"/>
        <v>100</v>
      </c>
      <c r="AQ1233">
        <f t="shared" si="588"/>
        <v>90</v>
      </c>
      <c r="AR1233">
        <f t="shared" si="589"/>
        <v>76</v>
      </c>
      <c r="AS1233">
        <f t="shared" si="590"/>
        <v>189</v>
      </c>
      <c r="AT1233">
        <f t="shared" si="591"/>
        <v>172</v>
      </c>
      <c r="AU1233">
        <f t="shared" si="592"/>
        <v>140</v>
      </c>
      <c r="AV1233">
        <f t="shared" si="593"/>
        <v>126</v>
      </c>
      <c r="AW1233">
        <f t="shared" si="594"/>
        <v>112</v>
      </c>
      <c r="AX1233">
        <f t="shared" si="595"/>
        <v>167</v>
      </c>
      <c r="AY1233">
        <f t="shared" si="596"/>
        <v>152</v>
      </c>
      <c r="AZ1233">
        <f t="shared" si="597"/>
        <v>120</v>
      </c>
      <c r="BA1233">
        <f t="shared" si="598"/>
        <v>108</v>
      </c>
      <c r="BB1233">
        <f t="shared" si="599"/>
        <v>94</v>
      </c>
    </row>
    <row r="1234" spans="1:54" x14ac:dyDescent="0.15">
      <c r="A1234">
        <v>865</v>
      </c>
      <c r="B1234" t="s">
        <v>4326</v>
      </c>
      <c r="C1234">
        <v>950</v>
      </c>
      <c r="D1234">
        <v>0</v>
      </c>
      <c r="E1234" t="s">
        <v>4327</v>
      </c>
      <c r="G1234" t="s">
        <v>4327</v>
      </c>
      <c r="H1234" t="s">
        <v>4328</v>
      </c>
      <c r="J1234" t="s">
        <v>4329</v>
      </c>
      <c r="K1234">
        <v>79</v>
      </c>
      <c r="L1234">
        <v>1.3</v>
      </c>
      <c r="M1234" t="s">
        <v>371</v>
      </c>
      <c r="O1234" t="s">
        <v>4330</v>
      </c>
      <c r="P1234" t="s">
        <v>481</v>
      </c>
      <c r="Q1234" t="s">
        <v>471</v>
      </c>
      <c r="R1234">
        <v>9</v>
      </c>
      <c r="S1234">
        <v>70</v>
      </c>
      <c r="T1234">
        <v>100</v>
      </c>
      <c r="U1234">
        <v>115</v>
      </c>
      <c r="V1234">
        <v>35</v>
      </c>
      <c r="W1234">
        <v>55</v>
      </c>
      <c r="X1234">
        <v>75</v>
      </c>
      <c r="Y1234">
        <f t="shared" si="570"/>
        <v>177</v>
      </c>
      <c r="Z1234">
        <f t="shared" si="571"/>
        <v>177</v>
      </c>
      <c r="AA1234">
        <f t="shared" si="572"/>
        <v>145</v>
      </c>
      <c r="AB1234">
        <f t="shared" si="573"/>
        <v>145</v>
      </c>
      <c r="AC1234">
        <f t="shared" si="574"/>
        <v>130</v>
      </c>
      <c r="AD1234">
        <f t="shared" si="575"/>
        <v>167</v>
      </c>
      <c r="AE1234">
        <f t="shared" si="576"/>
        <v>152</v>
      </c>
      <c r="AF1234">
        <f t="shared" si="577"/>
        <v>120</v>
      </c>
      <c r="AG1234">
        <f t="shared" si="578"/>
        <v>108</v>
      </c>
      <c r="AH1234">
        <f t="shared" si="579"/>
        <v>94</v>
      </c>
      <c r="AI1234">
        <f t="shared" si="580"/>
        <v>183</v>
      </c>
      <c r="AJ1234">
        <f t="shared" si="581"/>
        <v>167</v>
      </c>
      <c r="AK1234">
        <f t="shared" si="582"/>
        <v>135</v>
      </c>
      <c r="AL1234">
        <f t="shared" si="583"/>
        <v>121</v>
      </c>
      <c r="AM1234">
        <f t="shared" si="584"/>
        <v>108</v>
      </c>
      <c r="AN1234">
        <f t="shared" si="585"/>
        <v>95</v>
      </c>
      <c r="AO1234">
        <f t="shared" si="586"/>
        <v>87</v>
      </c>
      <c r="AP1234">
        <f t="shared" si="587"/>
        <v>55</v>
      </c>
      <c r="AQ1234">
        <f t="shared" si="588"/>
        <v>49</v>
      </c>
      <c r="AR1234">
        <f t="shared" si="589"/>
        <v>36</v>
      </c>
      <c r="AS1234">
        <f t="shared" si="590"/>
        <v>117</v>
      </c>
      <c r="AT1234">
        <f t="shared" si="591"/>
        <v>107</v>
      </c>
      <c r="AU1234">
        <f t="shared" si="592"/>
        <v>75</v>
      </c>
      <c r="AV1234">
        <f t="shared" si="593"/>
        <v>67</v>
      </c>
      <c r="AW1234">
        <f t="shared" si="594"/>
        <v>54</v>
      </c>
      <c r="AX1234">
        <f t="shared" si="595"/>
        <v>139</v>
      </c>
      <c r="AY1234">
        <f t="shared" si="596"/>
        <v>127</v>
      </c>
      <c r="AZ1234">
        <f t="shared" si="597"/>
        <v>95</v>
      </c>
      <c r="BA1234">
        <f t="shared" si="598"/>
        <v>85</v>
      </c>
      <c r="BB1234">
        <f t="shared" si="599"/>
        <v>72</v>
      </c>
    </row>
    <row r="1235" spans="1:54" x14ac:dyDescent="0.15">
      <c r="A1235">
        <v>835</v>
      </c>
      <c r="B1235" t="s">
        <v>4331</v>
      </c>
      <c r="C1235">
        <v>951</v>
      </c>
      <c r="D1235">
        <v>0</v>
      </c>
      <c r="E1235" t="s">
        <v>4332</v>
      </c>
      <c r="G1235" t="s">
        <v>4332</v>
      </c>
      <c r="H1235" t="s">
        <v>4333</v>
      </c>
      <c r="J1235" t="s">
        <v>4334</v>
      </c>
      <c r="K1235">
        <v>3</v>
      </c>
      <c r="L1235">
        <v>0.3</v>
      </c>
      <c r="M1235" t="s">
        <v>26</v>
      </c>
      <c r="O1235" t="s">
        <v>29</v>
      </c>
      <c r="P1235" t="s">
        <v>568</v>
      </c>
      <c r="Q1235" t="s">
        <v>1968</v>
      </c>
      <c r="R1235">
        <v>9</v>
      </c>
      <c r="S1235">
        <v>50</v>
      </c>
      <c r="T1235">
        <v>62</v>
      </c>
      <c r="U1235">
        <v>40</v>
      </c>
      <c r="V1235">
        <v>62</v>
      </c>
      <c r="W1235">
        <v>40</v>
      </c>
      <c r="X1235">
        <v>50</v>
      </c>
      <c r="Y1235">
        <f t="shared" si="570"/>
        <v>157</v>
      </c>
      <c r="Z1235">
        <f t="shared" si="571"/>
        <v>157</v>
      </c>
      <c r="AA1235">
        <f t="shared" si="572"/>
        <v>125</v>
      </c>
      <c r="AB1235">
        <f t="shared" si="573"/>
        <v>125</v>
      </c>
      <c r="AC1235">
        <f t="shared" si="574"/>
        <v>110</v>
      </c>
      <c r="AD1235">
        <f t="shared" si="575"/>
        <v>125</v>
      </c>
      <c r="AE1235">
        <f t="shared" si="576"/>
        <v>114</v>
      </c>
      <c r="AF1235">
        <f t="shared" si="577"/>
        <v>82</v>
      </c>
      <c r="AG1235">
        <f t="shared" si="578"/>
        <v>73</v>
      </c>
      <c r="AH1235">
        <f t="shared" si="579"/>
        <v>60</v>
      </c>
      <c r="AI1235">
        <f t="shared" si="580"/>
        <v>101</v>
      </c>
      <c r="AJ1235">
        <f t="shared" si="581"/>
        <v>92</v>
      </c>
      <c r="AK1235">
        <f t="shared" si="582"/>
        <v>60</v>
      </c>
      <c r="AL1235">
        <f t="shared" si="583"/>
        <v>54</v>
      </c>
      <c r="AM1235">
        <f t="shared" si="584"/>
        <v>40</v>
      </c>
      <c r="AN1235">
        <f t="shared" si="585"/>
        <v>125</v>
      </c>
      <c r="AO1235">
        <f t="shared" si="586"/>
        <v>114</v>
      </c>
      <c r="AP1235">
        <f t="shared" si="587"/>
        <v>82</v>
      </c>
      <c r="AQ1235">
        <f t="shared" si="588"/>
        <v>73</v>
      </c>
      <c r="AR1235">
        <f t="shared" si="589"/>
        <v>60</v>
      </c>
      <c r="AS1235">
        <f t="shared" si="590"/>
        <v>101</v>
      </c>
      <c r="AT1235">
        <f t="shared" si="591"/>
        <v>92</v>
      </c>
      <c r="AU1235">
        <f t="shared" si="592"/>
        <v>60</v>
      </c>
      <c r="AV1235">
        <f t="shared" si="593"/>
        <v>54</v>
      </c>
      <c r="AW1235">
        <f t="shared" si="594"/>
        <v>40</v>
      </c>
      <c r="AX1235">
        <f t="shared" si="595"/>
        <v>112</v>
      </c>
      <c r="AY1235">
        <f t="shared" si="596"/>
        <v>102</v>
      </c>
      <c r="AZ1235">
        <f t="shared" si="597"/>
        <v>70</v>
      </c>
      <c r="BA1235">
        <f t="shared" si="598"/>
        <v>63</v>
      </c>
      <c r="BB1235">
        <f t="shared" si="599"/>
        <v>49</v>
      </c>
    </row>
    <row r="1236" spans="1:54" x14ac:dyDescent="0.15">
      <c r="A1236">
        <v>836</v>
      </c>
      <c r="B1236" t="s">
        <v>4335</v>
      </c>
      <c r="C1236">
        <v>952</v>
      </c>
      <c r="D1236">
        <v>0</v>
      </c>
      <c r="E1236" t="s">
        <v>4336</v>
      </c>
      <c r="G1236" t="s">
        <v>4336</v>
      </c>
      <c r="H1236" t="s">
        <v>4337</v>
      </c>
      <c r="J1236" t="s">
        <v>4334</v>
      </c>
      <c r="K1236">
        <v>15</v>
      </c>
      <c r="L1236">
        <v>0.9</v>
      </c>
      <c r="M1236" t="s">
        <v>26</v>
      </c>
      <c r="N1236" t="s">
        <v>47</v>
      </c>
      <c r="O1236" t="s">
        <v>29</v>
      </c>
      <c r="P1236" t="s">
        <v>568</v>
      </c>
      <c r="Q1236" t="s">
        <v>1142</v>
      </c>
      <c r="R1236">
        <v>9</v>
      </c>
      <c r="S1236">
        <v>65</v>
      </c>
      <c r="T1236">
        <v>108</v>
      </c>
      <c r="U1236">
        <v>65</v>
      </c>
      <c r="V1236">
        <v>108</v>
      </c>
      <c r="W1236">
        <v>65</v>
      </c>
      <c r="X1236">
        <v>75</v>
      </c>
      <c r="Y1236">
        <f t="shared" si="570"/>
        <v>172</v>
      </c>
      <c r="Z1236">
        <f t="shared" si="571"/>
        <v>172</v>
      </c>
      <c r="AA1236">
        <f t="shared" si="572"/>
        <v>140</v>
      </c>
      <c r="AB1236">
        <f t="shared" si="573"/>
        <v>140</v>
      </c>
      <c r="AC1236">
        <f t="shared" si="574"/>
        <v>125</v>
      </c>
      <c r="AD1236">
        <f t="shared" si="575"/>
        <v>176</v>
      </c>
      <c r="AE1236">
        <f t="shared" si="576"/>
        <v>160</v>
      </c>
      <c r="AF1236">
        <f t="shared" si="577"/>
        <v>128</v>
      </c>
      <c r="AG1236">
        <f t="shared" si="578"/>
        <v>115</v>
      </c>
      <c r="AH1236">
        <f t="shared" si="579"/>
        <v>101</v>
      </c>
      <c r="AI1236">
        <f t="shared" si="580"/>
        <v>128</v>
      </c>
      <c r="AJ1236">
        <f t="shared" si="581"/>
        <v>117</v>
      </c>
      <c r="AK1236">
        <f t="shared" si="582"/>
        <v>85</v>
      </c>
      <c r="AL1236">
        <f t="shared" si="583"/>
        <v>76</v>
      </c>
      <c r="AM1236">
        <f t="shared" si="584"/>
        <v>63</v>
      </c>
      <c r="AN1236">
        <f t="shared" si="585"/>
        <v>176</v>
      </c>
      <c r="AO1236">
        <f t="shared" si="586"/>
        <v>160</v>
      </c>
      <c r="AP1236">
        <f t="shared" si="587"/>
        <v>128</v>
      </c>
      <c r="AQ1236">
        <f t="shared" si="588"/>
        <v>115</v>
      </c>
      <c r="AR1236">
        <f t="shared" si="589"/>
        <v>101</v>
      </c>
      <c r="AS1236">
        <f t="shared" si="590"/>
        <v>128</v>
      </c>
      <c r="AT1236">
        <f t="shared" si="591"/>
        <v>117</v>
      </c>
      <c r="AU1236">
        <f t="shared" si="592"/>
        <v>85</v>
      </c>
      <c r="AV1236">
        <f t="shared" si="593"/>
        <v>76</v>
      </c>
      <c r="AW1236">
        <f t="shared" si="594"/>
        <v>63</v>
      </c>
      <c r="AX1236">
        <f t="shared" si="595"/>
        <v>139</v>
      </c>
      <c r="AY1236">
        <f t="shared" si="596"/>
        <v>127</v>
      </c>
      <c r="AZ1236">
        <f t="shared" si="597"/>
        <v>95</v>
      </c>
      <c r="BA1236">
        <f t="shared" si="598"/>
        <v>85</v>
      </c>
      <c r="BB1236">
        <f t="shared" si="599"/>
        <v>72</v>
      </c>
    </row>
    <row r="1237" spans="1:54" x14ac:dyDescent="0.15">
      <c r="A1237">
        <v>817</v>
      </c>
      <c r="B1237" t="s">
        <v>4338</v>
      </c>
      <c r="C1237">
        <v>953</v>
      </c>
      <c r="D1237">
        <v>0</v>
      </c>
      <c r="E1237" t="s">
        <v>4339</v>
      </c>
      <c r="G1237" t="s">
        <v>4339</v>
      </c>
      <c r="H1237" t="s">
        <v>4340</v>
      </c>
      <c r="J1237" t="s">
        <v>4341</v>
      </c>
      <c r="K1237">
        <v>1</v>
      </c>
      <c r="L1237">
        <v>0.2</v>
      </c>
      <c r="M1237" t="s">
        <v>90</v>
      </c>
      <c r="O1237" t="s">
        <v>100</v>
      </c>
      <c r="P1237" t="s">
        <v>96</v>
      </c>
      <c r="R1237">
        <v>9</v>
      </c>
      <c r="S1237">
        <v>41</v>
      </c>
      <c r="T1237">
        <v>50</v>
      </c>
      <c r="U1237">
        <v>60</v>
      </c>
      <c r="V1237">
        <v>31</v>
      </c>
      <c r="W1237">
        <v>58</v>
      </c>
      <c r="X1237">
        <v>30</v>
      </c>
      <c r="Y1237">
        <f t="shared" si="570"/>
        <v>148</v>
      </c>
      <c r="Z1237">
        <f t="shared" si="571"/>
        <v>148</v>
      </c>
      <c r="AA1237">
        <f t="shared" si="572"/>
        <v>116</v>
      </c>
      <c r="AB1237">
        <f t="shared" si="573"/>
        <v>116</v>
      </c>
      <c r="AC1237">
        <f t="shared" si="574"/>
        <v>101</v>
      </c>
      <c r="AD1237">
        <f t="shared" si="575"/>
        <v>112</v>
      </c>
      <c r="AE1237">
        <f t="shared" si="576"/>
        <v>102</v>
      </c>
      <c r="AF1237">
        <f t="shared" si="577"/>
        <v>70</v>
      </c>
      <c r="AG1237">
        <f t="shared" si="578"/>
        <v>63</v>
      </c>
      <c r="AH1237">
        <f t="shared" si="579"/>
        <v>49</v>
      </c>
      <c r="AI1237">
        <f t="shared" si="580"/>
        <v>123</v>
      </c>
      <c r="AJ1237">
        <f t="shared" si="581"/>
        <v>112</v>
      </c>
      <c r="AK1237">
        <f t="shared" si="582"/>
        <v>80</v>
      </c>
      <c r="AL1237">
        <f t="shared" si="583"/>
        <v>72</v>
      </c>
      <c r="AM1237">
        <f t="shared" si="584"/>
        <v>58</v>
      </c>
      <c r="AN1237">
        <f t="shared" si="585"/>
        <v>91</v>
      </c>
      <c r="AO1237">
        <f t="shared" si="586"/>
        <v>83</v>
      </c>
      <c r="AP1237">
        <f t="shared" si="587"/>
        <v>51</v>
      </c>
      <c r="AQ1237">
        <f t="shared" si="588"/>
        <v>45</v>
      </c>
      <c r="AR1237">
        <f t="shared" si="589"/>
        <v>32</v>
      </c>
      <c r="AS1237">
        <f t="shared" si="590"/>
        <v>121</v>
      </c>
      <c r="AT1237">
        <f t="shared" si="591"/>
        <v>110</v>
      </c>
      <c r="AU1237">
        <f t="shared" si="592"/>
        <v>78</v>
      </c>
      <c r="AV1237">
        <f t="shared" si="593"/>
        <v>70</v>
      </c>
      <c r="AW1237">
        <f t="shared" si="594"/>
        <v>56</v>
      </c>
      <c r="AX1237">
        <f t="shared" si="595"/>
        <v>90</v>
      </c>
      <c r="AY1237">
        <f t="shared" si="596"/>
        <v>82</v>
      </c>
      <c r="AZ1237">
        <f t="shared" si="597"/>
        <v>50</v>
      </c>
      <c r="BA1237">
        <f t="shared" si="598"/>
        <v>45</v>
      </c>
      <c r="BB1237">
        <f t="shared" si="599"/>
        <v>31</v>
      </c>
    </row>
    <row r="1238" spans="1:54" x14ac:dyDescent="0.15">
      <c r="A1238">
        <v>818</v>
      </c>
      <c r="B1238" t="s">
        <v>4342</v>
      </c>
      <c r="C1238">
        <v>954</v>
      </c>
      <c r="D1238">
        <v>0</v>
      </c>
      <c r="E1238" t="s">
        <v>4343</v>
      </c>
      <c r="G1238" t="s">
        <v>4343</v>
      </c>
      <c r="H1238" t="s">
        <v>4344</v>
      </c>
      <c r="J1238" t="s">
        <v>4341</v>
      </c>
      <c r="K1238">
        <v>3.5</v>
      </c>
      <c r="L1238">
        <v>0.3</v>
      </c>
      <c r="M1238" t="s">
        <v>90</v>
      </c>
      <c r="N1238" t="s">
        <v>191</v>
      </c>
      <c r="O1238" t="s">
        <v>393</v>
      </c>
      <c r="P1238" t="s">
        <v>1048</v>
      </c>
      <c r="R1238">
        <v>9</v>
      </c>
      <c r="S1238">
        <v>75</v>
      </c>
      <c r="T1238">
        <v>50</v>
      </c>
      <c r="U1238">
        <v>85</v>
      </c>
      <c r="V1238">
        <v>115</v>
      </c>
      <c r="W1238">
        <v>100</v>
      </c>
      <c r="X1238">
        <v>45</v>
      </c>
      <c r="Y1238">
        <f t="shared" si="570"/>
        <v>182</v>
      </c>
      <c r="Z1238">
        <f t="shared" si="571"/>
        <v>182</v>
      </c>
      <c r="AA1238">
        <f t="shared" si="572"/>
        <v>150</v>
      </c>
      <c r="AB1238">
        <f t="shared" si="573"/>
        <v>150</v>
      </c>
      <c r="AC1238">
        <f t="shared" si="574"/>
        <v>135</v>
      </c>
      <c r="AD1238">
        <f t="shared" si="575"/>
        <v>112</v>
      </c>
      <c r="AE1238">
        <f t="shared" si="576"/>
        <v>102</v>
      </c>
      <c r="AF1238">
        <f t="shared" si="577"/>
        <v>70</v>
      </c>
      <c r="AG1238">
        <f t="shared" si="578"/>
        <v>63</v>
      </c>
      <c r="AH1238">
        <f t="shared" si="579"/>
        <v>49</v>
      </c>
      <c r="AI1238">
        <f t="shared" si="580"/>
        <v>150</v>
      </c>
      <c r="AJ1238">
        <f t="shared" si="581"/>
        <v>137</v>
      </c>
      <c r="AK1238">
        <f t="shared" si="582"/>
        <v>105</v>
      </c>
      <c r="AL1238">
        <f t="shared" si="583"/>
        <v>94</v>
      </c>
      <c r="AM1238">
        <f t="shared" si="584"/>
        <v>81</v>
      </c>
      <c r="AN1238">
        <f t="shared" si="585"/>
        <v>183</v>
      </c>
      <c r="AO1238">
        <f t="shared" si="586"/>
        <v>167</v>
      </c>
      <c r="AP1238">
        <f t="shared" si="587"/>
        <v>135</v>
      </c>
      <c r="AQ1238">
        <f t="shared" si="588"/>
        <v>121</v>
      </c>
      <c r="AR1238">
        <f t="shared" si="589"/>
        <v>108</v>
      </c>
      <c r="AS1238">
        <f t="shared" si="590"/>
        <v>167</v>
      </c>
      <c r="AT1238">
        <f t="shared" si="591"/>
        <v>152</v>
      </c>
      <c r="AU1238">
        <f t="shared" si="592"/>
        <v>120</v>
      </c>
      <c r="AV1238">
        <f t="shared" si="593"/>
        <v>108</v>
      </c>
      <c r="AW1238">
        <f t="shared" si="594"/>
        <v>94</v>
      </c>
      <c r="AX1238">
        <f t="shared" si="595"/>
        <v>106</v>
      </c>
      <c r="AY1238">
        <f t="shared" si="596"/>
        <v>97</v>
      </c>
      <c r="AZ1238">
        <f t="shared" si="597"/>
        <v>65</v>
      </c>
      <c r="BA1238">
        <f t="shared" si="598"/>
        <v>58</v>
      </c>
      <c r="BB1238">
        <f t="shared" si="599"/>
        <v>45</v>
      </c>
    </row>
    <row r="1239" spans="1:54" x14ac:dyDescent="0.15">
      <c r="A1239">
        <v>821</v>
      </c>
      <c r="B1239" t="s">
        <v>4345</v>
      </c>
      <c r="C1239">
        <v>955</v>
      </c>
      <c r="D1239">
        <v>0</v>
      </c>
      <c r="E1239" t="s">
        <v>4346</v>
      </c>
      <c r="G1239" t="s">
        <v>4346</v>
      </c>
      <c r="H1239" t="s">
        <v>4347</v>
      </c>
      <c r="J1239" t="s">
        <v>4348</v>
      </c>
      <c r="K1239">
        <v>1.5</v>
      </c>
      <c r="L1239">
        <v>0.2</v>
      </c>
      <c r="M1239" t="s">
        <v>191</v>
      </c>
      <c r="O1239" t="s">
        <v>758</v>
      </c>
      <c r="P1239" t="s">
        <v>264</v>
      </c>
      <c r="Q1239" t="s">
        <v>1004</v>
      </c>
      <c r="R1239">
        <v>9</v>
      </c>
      <c r="S1239">
        <v>30</v>
      </c>
      <c r="T1239">
        <v>35</v>
      </c>
      <c r="U1239">
        <v>30</v>
      </c>
      <c r="V1239">
        <v>55</v>
      </c>
      <c r="W1239">
        <v>30</v>
      </c>
      <c r="X1239">
        <v>75</v>
      </c>
      <c r="Y1239">
        <f t="shared" si="570"/>
        <v>137</v>
      </c>
      <c r="Z1239">
        <f t="shared" si="571"/>
        <v>137</v>
      </c>
      <c r="AA1239">
        <f t="shared" si="572"/>
        <v>105</v>
      </c>
      <c r="AB1239">
        <f t="shared" si="573"/>
        <v>105</v>
      </c>
      <c r="AC1239">
        <f t="shared" si="574"/>
        <v>90</v>
      </c>
      <c r="AD1239">
        <f t="shared" si="575"/>
        <v>95</v>
      </c>
      <c r="AE1239">
        <f t="shared" si="576"/>
        <v>87</v>
      </c>
      <c r="AF1239">
        <f t="shared" si="577"/>
        <v>55</v>
      </c>
      <c r="AG1239">
        <f t="shared" si="578"/>
        <v>49</v>
      </c>
      <c r="AH1239">
        <f t="shared" si="579"/>
        <v>36</v>
      </c>
      <c r="AI1239">
        <f t="shared" si="580"/>
        <v>90</v>
      </c>
      <c r="AJ1239">
        <f t="shared" si="581"/>
        <v>82</v>
      </c>
      <c r="AK1239">
        <f t="shared" si="582"/>
        <v>50</v>
      </c>
      <c r="AL1239">
        <f t="shared" si="583"/>
        <v>45</v>
      </c>
      <c r="AM1239">
        <f t="shared" si="584"/>
        <v>31</v>
      </c>
      <c r="AN1239">
        <f t="shared" si="585"/>
        <v>117</v>
      </c>
      <c r="AO1239">
        <f t="shared" si="586"/>
        <v>107</v>
      </c>
      <c r="AP1239">
        <f t="shared" si="587"/>
        <v>75</v>
      </c>
      <c r="AQ1239">
        <f t="shared" si="588"/>
        <v>67</v>
      </c>
      <c r="AR1239">
        <f t="shared" si="589"/>
        <v>54</v>
      </c>
      <c r="AS1239">
        <f t="shared" si="590"/>
        <v>90</v>
      </c>
      <c r="AT1239">
        <f t="shared" si="591"/>
        <v>82</v>
      </c>
      <c r="AU1239">
        <f t="shared" si="592"/>
        <v>50</v>
      </c>
      <c r="AV1239">
        <f t="shared" si="593"/>
        <v>45</v>
      </c>
      <c r="AW1239">
        <f t="shared" si="594"/>
        <v>31</v>
      </c>
      <c r="AX1239">
        <f t="shared" si="595"/>
        <v>139</v>
      </c>
      <c r="AY1239">
        <f t="shared" si="596"/>
        <v>127</v>
      </c>
      <c r="AZ1239">
        <f t="shared" si="597"/>
        <v>95</v>
      </c>
      <c r="BA1239">
        <f t="shared" si="598"/>
        <v>85</v>
      </c>
      <c r="BB1239">
        <f t="shared" si="599"/>
        <v>72</v>
      </c>
    </row>
    <row r="1240" spans="1:54" x14ac:dyDescent="0.15">
      <c r="A1240">
        <v>822</v>
      </c>
      <c r="B1240" t="s">
        <v>4349</v>
      </c>
      <c r="C1240">
        <v>956</v>
      </c>
      <c r="D1240">
        <v>0</v>
      </c>
      <c r="E1240" t="s">
        <v>4350</v>
      </c>
      <c r="G1240" t="s">
        <v>4350</v>
      </c>
      <c r="H1240" t="s">
        <v>4351</v>
      </c>
      <c r="J1240" t="s">
        <v>4352</v>
      </c>
      <c r="K1240">
        <v>90</v>
      </c>
      <c r="L1240">
        <v>1.9</v>
      </c>
      <c r="M1240" t="s">
        <v>191</v>
      </c>
      <c r="O1240" t="s">
        <v>4353</v>
      </c>
      <c r="P1240" t="s">
        <v>264</v>
      </c>
      <c r="Q1240" t="s">
        <v>1004</v>
      </c>
      <c r="R1240">
        <v>9</v>
      </c>
      <c r="S1240">
        <v>95</v>
      </c>
      <c r="T1240">
        <v>60</v>
      </c>
      <c r="U1240">
        <v>60</v>
      </c>
      <c r="V1240">
        <v>101</v>
      </c>
      <c r="W1240">
        <v>60</v>
      </c>
      <c r="X1240">
        <v>105</v>
      </c>
      <c r="Y1240">
        <f t="shared" si="570"/>
        <v>202</v>
      </c>
      <c r="Z1240">
        <f t="shared" si="571"/>
        <v>202</v>
      </c>
      <c r="AA1240">
        <f t="shared" si="572"/>
        <v>170</v>
      </c>
      <c r="AB1240">
        <f t="shared" si="573"/>
        <v>170</v>
      </c>
      <c r="AC1240">
        <f t="shared" si="574"/>
        <v>155</v>
      </c>
      <c r="AD1240">
        <f t="shared" si="575"/>
        <v>123</v>
      </c>
      <c r="AE1240">
        <f t="shared" si="576"/>
        <v>112</v>
      </c>
      <c r="AF1240">
        <f t="shared" si="577"/>
        <v>80</v>
      </c>
      <c r="AG1240">
        <f t="shared" si="578"/>
        <v>72</v>
      </c>
      <c r="AH1240">
        <f t="shared" si="579"/>
        <v>58</v>
      </c>
      <c r="AI1240">
        <f t="shared" si="580"/>
        <v>123</v>
      </c>
      <c r="AJ1240">
        <f t="shared" si="581"/>
        <v>112</v>
      </c>
      <c r="AK1240">
        <f t="shared" si="582"/>
        <v>80</v>
      </c>
      <c r="AL1240">
        <f t="shared" si="583"/>
        <v>72</v>
      </c>
      <c r="AM1240">
        <f t="shared" si="584"/>
        <v>58</v>
      </c>
      <c r="AN1240">
        <f t="shared" si="585"/>
        <v>168</v>
      </c>
      <c r="AO1240">
        <f t="shared" si="586"/>
        <v>153</v>
      </c>
      <c r="AP1240">
        <f t="shared" si="587"/>
        <v>121</v>
      </c>
      <c r="AQ1240">
        <f t="shared" si="588"/>
        <v>108</v>
      </c>
      <c r="AR1240">
        <f t="shared" si="589"/>
        <v>95</v>
      </c>
      <c r="AS1240">
        <f t="shared" si="590"/>
        <v>123</v>
      </c>
      <c r="AT1240">
        <f t="shared" si="591"/>
        <v>112</v>
      </c>
      <c r="AU1240">
        <f t="shared" si="592"/>
        <v>80</v>
      </c>
      <c r="AV1240">
        <f t="shared" si="593"/>
        <v>72</v>
      </c>
      <c r="AW1240">
        <f t="shared" si="594"/>
        <v>58</v>
      </c>
      <c r="AX1240">
        <f t="shared" si="595"/>
        <v>172</v>
      </c>
      <c r="AY1240">
        <f t="shared" si="596"/>
        <v>157</v>
      </c>
      <c r="AZ1240">
        <f t="shared" si="597"/>
        <v>125</v>
      </c>
      <c r="BA1240">
        <f t="shared" si="598"/>
        <v>112</v>
      </c>
      <c r="BB1240">
        <f t="shared" si="599"/>
        <v>99</v>
      </c>
    </row>
    <row r="1241" spans="1:54" x14ac:dyDescent="0.15">
      <c r="A1241">
        <v>908</v>
      </c>
      <c r="B1241" t="s">
        <v>4354</v>
      </c>
      <c r="C1241">
        <v>957</v>
      </c>
      <c r="D1241">
        <v>0</v>
      </c>
      <c r="E1241" t="s">
        <v>4355</v>
      </c>
      <c r="G1241" t="s">
        <v>4355</v>
      </c>
      <c r="H1241" t="s">
        <v>4356</v>
      </c>
      <c r="J1241" t="s">
        <v>4357</v>
      </c>
      <c r="K1241">
        <v>8.9</v>
      </c>
      <c r="L1241">
        <v>0.4</v>
      </c>
      <c r="M1241" t="s">
        <v>233</v>
      </c>
      <c r="N1241" t="s">
        <v>203</v>
      </c>
      <c r="O1241" t="s">
        <v>713</v>
      </c>
      <c r="P1241" t="s">
        <v>470</v>
      </c>
      <c r="Q1241" t="s">
        <v>1105</v>
      </c>
      <c r="R1241">
        <v>9</v>
      </c>
      <c r="S1241">
        <v>50</v>
      </c>
      <c r="T1241">
        <v>45</v>
      </c>
      <c r="U1241">
        <v>45</v>
      </c>
      <c r="V1241">
        <v>35</v>
      </c>
      <c r="W1241">
        <v>64</v>
      </c>
      <c r="X1241">
        <v>58</v>
      </c>
      <c r="Y1241">
        <f t="shared" si="570"/>
        <v>157</v>
      </c>
      <c r="Z1241">
        <f t="shared" si="571"/>
        <v>157</v>
      </c>
      <c r="AA1241">
        <f t="shared" si="572"/>
        <v>125</v>
      </c>
      <c r="AB1241">
        <f t="shared" si="573"/>
        <v>125</v>
      </c>
      <c r="AC1241">
        <f t="shared" si="574"/>
        <v>110</v>
      </c>
      <c r="AD1241">
        <f t="shared" si="575"/>
        <v>106</v>
      </c>
      <c r="AE1241">
        <f t="shared" si="576"/>
        <v>97</v>
      </c>
      <c r="AF1241">
        <f t="shared" si="577"/>
        <v>65</v>
      </c>
      <c r="AG1241">
        <f t="shared" si="578"/>
        <v>58</v>
      </c>
      <c r="AH1241">
        <f t="shared" si="579"/>
        <v>45</v>
      </c>
      <c r="AI1241">
        <f t="shared" si="580"/>
        <v>106</v>
      </c>
      <c r="AJ1241">
        <f t="shared" si="581"/>
        <v>97</v>
      </c>
      <c r="AK1241">
        <f t="shared" si="582"/>
        <v>65</v>
      </c>
      <c r="AL1241">
        <f t="shared" si="583"/>
        <v>58</v>
      </c>
      <c r="AM1241">
        <f t="shared" si="584"/>
        <v>45</v>
      </c>
      <c r="AN1241">
        <f t="shared" si="585"/>
        <v>95</v>
      </c>
      <c r="AO1241">
        <f t="shared" si="586"/>
        <v>87</v>
      </c>
      <c r="AP1241">
        <f t="shared" si="587"/>
        <v>55</v>
      </c>
      <c r="AQ1241">
        <f t="shared" si="588"/>
        <v>49</v>
      </c>
      <c r="AR1241">
        <f t="shared" si="589"/>
        <v>36</v>
      </c>
      <c r="AS1241">
        <f t="shared" si="590"/>
        <v>127</v>
      </c>
      <c r="AT1241">
        <f t="shared" si="591"/>
        <v>116</v>
      </c>
      <c r="AU1241">
        <f t="shared" si="592"/>
        <v>84</v>
      </c>
      <c r="AV1241">
        <f t="shared" si="593"/>
        <v>75</v>
      </c>
      <c r="AW1241">
        <f t="shared" si="594"/>
        <v>62</v>
      </c>
      <c r="AX1241">
        <f t="shared" si="595"/>
        <v>121</v>
      </c>
      <c r="AY1241">
        <f t="shared" si="596"/>
        <v>110</v>
      </c>
      <c r="AZ1241">
        <f t="shared" si="597"/>
        <v>78</v>
      </c>
      <c r="BA1241">
        <f t="shared" si="598"/>
        <v>70</v>
      </c>
      <c r="BB1241">
        <f t="shared" si="599"/>
        <v>56</v>
      </c>
    </row>
    <row r="1242" spans="1:54" x14ac:dyDescent="0.15">
      <c r="A1242">
        <v>910</v>
      </c>
      <c r="B1242" t="s">
        <v>4358</v>
      </c>
      <c r="C1242">
        <v>958</v>
      </c>
      <c r="D1242">
        <v>0</v>
      </c>
      <c r="E1242" t="s">
        <v>4359</v>
      </c>
      <c r="G1242" t="s">
        <v>4359</v>
      </c>
      <c r="H1242" t="s">
        <v>4360</v>
      </c>
      <c r="J1242" t="s">
        <v>4361</v>
      </c>
      <c r="K1242">
        <v>59.1</v>
      </c>
      <c r="L1242">
        <v>0.7</v>
      </c>
      <c r="M1242" t="s">
        <v>233</v>
      </c>
      <c r="N1242" t="s">
        <v>203</v>
      </c>
      <c r="O1242" t="s">
        <v>713</v>
      </c>
      <c r="P1242" t="s">
        <v>470</v>
      </c>
      <c r="Q1242" t="s">
        <v>1105</v>
      </c>
      <c r="R1242">
        <v>9</v>
      </c>
      <c r="S1242">
        <v>65</v>
      </c>
      <c r="T1242">
        <v>55</v>
      </c>
      <c r="U1242">
        <v>55</v>
      </c>
      <c r="V1242">
        <v>45</v>
      </c>
      <c r="W1242">
        <v>82</v>
      </c>
      <c r="X1242">
        <v>78</v>
      </c>
      <c r="Y1242">
        <f t="shared" si="570"/>
        <v>172</v>
      </c>
      <c r="Z1242">
        <f t="shared" si="571"/>
        <v>172</v>
      </c>
      <c r="AA1242">
        <f t="shared" si="572"/>
        <v>140</v>
      </c>
      <c r="AB1242">
        <f t="shared" si="573"/>
        <v>140</v>
      </c>
      <c r="AC1242">
        <f t="shared" si="574"/>
        <v>125</v>
      </c>
      <c r="AD1242">
        <f t="shared" si="575"/>
        <v>117</v>
      </c>
      <c r="AE1242">
        <f t="shared" si="576"/>
        <v>107</v>
      </c>
      <c r="AF1242">
        <f t="shared" si="577"/>
        <v>75</v>
      </c>
      <c r="AG1242">
        <f t="shared" si="578"/>
        <v>67</v>
      </c>
      <c r="AH1242">
        <f t="shared" si="579"/>
        <v>54</v>
      </c>
      <c r="AI1242">
        <f t="shared" si="580"/>
        <v>117</v>
      </c>
      <c r="AJ1242">
        <f t="shared" si="581"/>
        <v>107</v>
      </c>
      <c r="AK1242">
        <f t="shared" si="582"/>
        <v>75</v>
      </c>
      <c r="AL1242">
        <f t="shared" si="583"/>
        <v>67</v>
      </c>
      <c r="AM1242">
        <f t="shared" si="584"/>
        <v>54</v>
      </c>
      <c r="AN1242">
        <f t="shared" si="585"/>
        <v>106</v>
      </c>
      <c r="AO1242">
        <f t="shared" si="586"/>
        <v>97</v>
      </c>
      <c r="AP1242">
        <f t="shared" si="587"/>
        <v>65</v>
      </c>
      <c r="AQ1242">
        <f t="shared" si="588"/>
        <v>58</v>
      </c>
      <c r="AR1242">
        <f t="shared" si="589"/>
        <v>45</v>
      </c>
      <c r="AS1242">
        <f t="shared" si="590"/>
        <v>147</v>
      </c>
      <c r="AT1242">
        <f t="shared" si="591"/>
        <v>134</v>
      </c>
      <c r="AU1242">
        <f t="shared" si="592"/>
        <v>102</v>
      </c>
      <c r="AV1242">
        <f t="shared" si="593"/>
        <v>91</v>
      </c>
      <c r="AW1242">
        <f t="shared" si="594"/>
        <v>78</v>
      </c>
      <c r="AX1242">
        <f t="shared" si="595"/>
        <v>143</v>
      </c>
      <c r="AY1242">
        <f t="shared" si="596"/>
        <v>130</v>
      </c>
      <c r="AZ1242">
        <f t="shared" si="597"/>
        <v>98</v>
      </c>
      <c r="BA1242">
        <f t="shared" si="598"/>
        <v>88</v>
      </c>
      <c r="BB1242">
        <f t="shared" si="599"/>
        <v>74</v>
      </c>
    </row>
    <row r="1243" spans="1:54" x14ac:dyDescent="0.15">
      <c r="A1243">
        <v>911</v>
      </c>
      <c r="B1243" t="s">
        <v>4362</v>
      </c>
      <c r="C1243">
        <v>959</v>
      </c>
      <c r="D1243">
        <v>0</v>
      </c>
      <c r="E1243" t="s">
        <v>4363</v>
      </c>
      <c r="G1243" t="s">
        <v>4363</v>
      </c>
      <c r="H1243" t="s">
        <v>4364</v>
      </c>
      <c r="J1243" t="s">
        <v>4361</v>
      </c>
      <c r="K1243">
        <v>112.8</v>
      </c>
      <c r="L1243">
        <v>0.7</v>
      </c>
      <c r="M1243" t="s">
        <v>233</v>
      </c>
      <c r="N1243" t="s">
        <v>203</v>
      </c>
      <c r="O1243" t="s">
        <v>713</v>
      </c>
      <c r="P1243" t="s">
        <v>470</v>
      </c>
      <c r="Q1243" t="s">
        <v>1105</v>
      </c>
      <c r="R1243">
        <v>9</v>
      </c>
      <c r="S1243">
        <v>85</v>
      </c>
      <c r="T1243">
        <v>75</v>
      </c>
      <c r="U1243">
        <v>77</v>
      </c>
      <c r="V1243">
        <v>70</v>
      </c>
      <c r="W1243">
        <v>105</v>
      </c>
      <c r="X1243">
        <v>94</v>
      </c>
      <c r="Y1243">
        <f t="shared" si="570"/>
        <v>192</v>
      </c>
      <c r="Z1243">
        <f t="shared" si="571"/>
        <v>192</v>
      </c>
      <c r="AA1243">
        <f t="shared" si="572"/>
        <v>160</v>
      </c>
      <c r="AB1243">
        <f t="shared" si="573"/>
        <v>160</v>
      </c>
      <c r="AC1243">
        <f t="shared" si="574"/>
        <v>145</v>
      </c>
      <c r="AD1243">
        <f t="shared" si="575"/>
        <v>139</v>
      </c>
      <c r="AE1243">
        <f t="shared" si="576"/>
        <v>127</v>
      </c>
      <c r="AF1243">
        <f t="shared" si="577"/>
        <v>95</v>
      </c>
      <c r="AG1243">
        <f t="shared" si="578"/>
        <v>85</v>
      </c>
      <c r="AH1243">
        <f t="shared" si="579"/>
        <v>72</v>
      </c>
      <c r="AI1243">
        <f t="shared" si="580"/>
        <v>141</v>
      </c>
      <c r="AJ1243">
        <f t="shared" si="581"/>
        <v>129</v>
      </c>
      <c r="AK1243">
        <f t="shared" si="582"/>
        <v>97</v>
      </c>
      <c r="AL1243">
        <f t="shared" si="583"/>
        <v>87</v>
      </c>
      <c r="AM1243">
        <f t="shared" si="584"/>
        <v>73</v>
      </c>
      <c r="AN1243">
        <f t="shared" si="585"/>
        <v>134</v>
      </c>
      <c r="AO1243">
        <f t="shared" si="586"/>
        <v>122</v>
      </c>
      <c r="AP1243">
        <f t="shared" si="587"/>
        <v>90</v>
      </c>
      <c r="AQ1243">
        <f t="shared" si="588"/>
        <v>81</v>
      </c>
      <c r="AR1243">
        <f t="shared" si="589"/>
        <v>67</v>
      </c>
      <c r="AS1243">
        <f t="shared" si="590"/>
        <v>172</v>
      </c>
      <c r="AT1243">
        <f t="shared" si="591"/>
        <v>157</v>
      </c>
      <c r="AU1243">
        <f t="shared" si="592"/>
        <v>125</v>
      </c>
      <c r="AV1243">
        <f t="shared" si="593"/>
        <v>112</v>
      </c>
      <c r="AW1243">
        <f t="shared" si="594"/>
        <v>99</v>
      </c>
      <c r="AX1243">
        <f t="shared" si="595"/>
        <v>160</v>
      </c>
      <c r="AY1243">
        <f t="shared" si="596"/>
        <v>146</v>
      </c>
      <c r="AZ1243">
        <f t="shared" si="597"/>
        <v>114</v>
      </c>
      <c r="BA1243">
        <f t="shared" si="598"/>
        <v>102</v>
      </c>
      <c r="BB1243">
        <f t="shared" si="599"/>
        <v>89</v>
      </c>
    </row>
    <row r="1244" spans="1:54" x14ac:dyDescent="0.15">
      <c r="A1244">
        <v>824</v>
      </c>
      <c r="B1244" t="s">
        <v>4365</v>
      </c>
      <c r="C1244">
        <v>960</v>
      </c>
      <c r="D1244">
        <v>0</v>
      </c>
      <c r="E1244" t="s">
        <v>4366</v>
      </c>
      <c r="G1244" t="s">
        <v>4366</v>
      </c>
      <c r="H1244" t="s">
        <v>4367</v>
      </c>
      <c r="J1244" t="s">
        <v>4368</v>
      </c>
      <c r="K1244">
        <v>1.8</v>
      </c>
      <c r="L1244">
        <v>1.2</v>
      </c>
      <c r="M1244" t="s">
        <v>71</v>
      </c>
      <c r="O1244" t="s">
        <v>3176</v>
      </c>
      <c r="P1244" t="s">
        <v>736</v>
      </c>
      <c r="Q1244" t="s">
        <v>197</v>
      </c>
      <c r="R1244">
        <v>9</v>
      </c>
      <c r="S1244">
        <v>10</v>
      </c>
      <c r="T1244">
        <v>55</v>
      </c>
      <c r="U1244">
        <v>25</v>
      </c>
      <c r="V1244">
        <v>35</v>
      </c>
      <c r="W1244">
        <v>25</v>
      </c>
      <c r="X1244">
        <v>95</v>
      </c>
      <c r="Y1244">
        <f t="shared" si="570"/>
        <v>117</v>
      </c>
      <c r="Z1244">
        <f t="shared" si="571"/>
        <v>117</v>
      </c>
      <c r="AA1244">
        <f t="shared" si="572"/>
        <v>85</v>
      </c>
      <c r="AB1244">
        <f t="shared" si="573"/>
        <v>85</v>
      </c>
      <c r="AC1244">
        <f t="shared" si="574"/>
        <v>70</v>
      </c>
      <c r="AD1244">
        <f t="shared" si="575"/>
        <v>117</v>
      </c>
      <c r="AE1244">
        <f t="shared" si="576"/>
        <v>107</v>
      </c>
      <c r="AF1244">
        <f t="shared" si="577"/>
        <v>75</v>
      </c>
      <c r="AG1244">
        <f t="shared" si="578"/>
        <v>67</v>
      </c>
      <c r="AH1244">
        <f t="shared" si="579"/>
        <v>54</v>
      </c>
      <c r="AI1244">
        <f t="shared" si="580"/>
        <v>84</v>
      </c>
      <c r="AJ1244">
        <f t="shared" si="581"/>
        <v>77</v>
      </c>
      <c r="AK1244">
        <f t="shared" si="582"/>
        <v>45</v>
      </c>
      <c r="AL1244">
        <f t="shared" si="583"/>
        <v>40</v>
      </c>
      <c r="AM1244">
        <f t="shared" si="584"/>
        <v>27</v>
      </c>
      <c r="AN1244">
        <f t="shared" si="585"/>
        <v>95</v>
      </c>
      <c r="AO1244">
        <f t="shared" si="586"/>
        <v>87</v>
      </c>
      <c r="AP1244">
        <f t="shared" si="587"/>
        <v>55</v>
      </c>
      <c r="AQ1244">
        <f t="shared" si="588"/>
        <v>49</v>
      </c>
      <c r="AR1244">
        <f t="shared" si="589"/>
        <v>36</v>
      </c>
      <c r="AS1244">
        <f t="shared" si="590"/>
        <v>84</v>
      </c>
      <c r="AT1244">
        <f t="shared" si="591"/>
        <v>77</v>
      </c>
      <c r="AU1244">
        <f t="shared" si="592"/>
        <v>45</v>
      </c>
      <c r="AV1244">
        <f t="shared" si="593"/>
        <v>40</v>
      </c>
      <c r="AW1244">
        <f t="shared" si="594"/>
        <v>27</v>
      </c>
      <c r="AX1244">
        <f t="shared" si="595"/>
        <v>161</v>
      </c>
      <c r="AY1244">
        <f t="shared" si="596"/>
        <v>147</v>
      </c>
      <c r="AZ1244">
        <f t="shared" si="597"/>
        <v>115</v>
      </c>
      <c r="BA1244">
        <f t="shared" si="598"/>
        <v>103</v>
      </c>
      <c r="BB1244">
        <f t="shared" si="599"/>
        <v>90</v>
      </c>
    </row>
    <row r="1245" spans="1:54" x14ac:dyDescent="0.15">
      <c r="A1245">
        <v>825</v>
      </c>
      <c r="B1245" t="s">
        <v>4369</v>
      </c>
      <c r="C1245">
        <v>961</v>
      </c>
      <c r="D1245">
        <v>0</v>
      </c>
      <c r="E1245" t="s">
        <v>4370</v>
      </c>
      <c r="G1245" t="s">
        <v>4370</v>
      </c>
      <c r="H1245" t="s">
        <v>4371</v>
      </c>
      <c r="J1245" t="s">
        <v>4368</v>
      </c>
      <c r="K1245">
        <v>5.4</v>
      </c>
      <c r="L1245">
        <v>1.2</v>
      </c>
      <c r="M1245" t="s">
        <v>71</v>
      </c>
      <c r="O1245" t="s">
        <v>3176</v>
      </c>
      <c r="P1245" t="s">
        <v>736</v>
      </c>
      <c r="Q1245" t="s">
        <v>197</v>
      </c>
      <c r="R1245">
        <v>9</v>
      </c>
      <c r="S1245">
        <v>35</v>
      </c>
      <c r="T1245">
        <v>100</v>
      </c>
      <c r="U1245">
        <v>50</v>
      </c>
      <c r="V1245">
        <v>50</v>
      </c>
      <c r="W1245">
        <v>70</v>
      </c>
      <c r="X1245">
        <v>120</v>
      </c>
      <c r="Y1245">
        <f t="shared" si="570"/>
        <v>142</v>
      </c>
      <c r="Z1245">
        <f t="shared" si="571"/>
        <v>142</v>
      </c>
      <c r="AA1245">
        <f t="shared" si="572"/>
        <v>110</v>
      </c>
      <c r="AB1245">
        <f t="shared" si="573"/>
        <v>110</v>
      </c>
      <c r="AC1245">
        <f t="shared" si="574"/>
        <v>95</v>
      </c>
      <c r="AD1245">
        <f t="shared" si="575"/>
        <v>167</v>
      </c>
      <c r="AE1245">
        <f t="shared" si="576"/>
        <v>152</v>
      </c>
      <c r="AF1245">
        <f t="shared" si="577"/>
        <v>120</v>
      </c>
      <c r="AG1245">
        <f t="shared" si="578"/>
        <v>108</v>
      </c>
      <c r="AH1245">
        <f t="shared" si="579"/>
        <v>94</v>
      </c>
      <c r="AI1245">
        <f t="shared" si="580"/>
        <v>112</v>
      </c>
      <c r="AJ1245">
        <f t="shared" si="581"/>
        <v>102</v>
      </c>
      <c r="AK1245">
        <f t="shared" si="582"/>
        <v>70</v>
      </c>
      <c r="AL1245">
        <f t="shared" si="583"/>
        <v>63</v>
      </c>
      <c r="AM1245">
        <f t="shared" si="584"/>
        <v>49</v>
      </c>
      <c r="AN1245">
        <f t="shared" si="585"/>
        <v>112</v>
      </c>
      <c r="AO1245">
        <f t="shared" si="586"/>
        <v>102</v>
      </c>
      <c r="AP1245">
        <f t="shared" si="587"/>
        <v>70</v>
      </c>
      <c r="AQ1245">
        <f t="shared" si="588"/>
        <v>63</v>
      </c>
      <c r="AR1245">
        <f t="shared" si="589"/>
        <v>49</v>
      </c>
      <c r="AS1245">
        <f t="shared" si="590"/>
        <v>134</v>
      </c>
      <c r="AT1245">
        <f t="shared" si="591"/>
        <v>122</v>
      </c>
      <c r="AU1245">
        <f t="shared" si="592"/>
        <v>90</v>
      </c>
      <c r="AV1245">
        <f t="shared" si="593"/>
        <v>81</v>
      </c>
      <c r="AW1245">
        <f t="shared" si="594"/>
        <v>67</v>
      </c>
      <c r="AX1245">
        <f t="shared" si="595"/>
        <v>189</v>
      </c>
      <c r="AY1245">
        <f t="shared" si="596"/>
        <v>172</v>
      </c>
      <c r="AZ1245">
        <f t="shared" si="597"/>
        <v>140</v>
      </c>
      <c r="BA1245">
        <f t="shared" si="598"/>
        <v>126</v>
      </c>
      <c r="BB1245">
        <f t="shared" si="599"/>
        <v>112</v>
      </c>
    </row>
    <row r="1246" spans="1:54" x14ac:dyDescent="0.15">
      <c r="A1246">
        <v>859</v>
      </c>
      <c r="B1246" t="s">
        <v>4372</v>
      </c>
      <c r="C1246">
        <v>962</v>
      </c>
      <c r="D1246">
        <v>0</v>
      </c>
      <c r="E1246" t="s">
        <v>4373</v>
      </c>
      <c r="G1246" t="s">
        <v>4373</v>
      </c>
      <c r="H1246" t="s">
        <v>4374</v>
      </c>
      <c r="J1246" t="s">
        <v>4375</v>
      </c>
      <c r="K1246">
        <v>42.9</v>
      </c>
      <c r="L1246">
        <v>1.5</v>
      </c>
      <c r="M1246" t="s">
        <v>57</v>
      </c>
      <c r="N1246" t="s">
        <v>140</v>
      </c>
      <c r="O1246" t="s">
        <v>123</v>
      </c>
      <c r="P1246" t="s">
        <v>121</v>
      </c>
      <c r="Q1246" t="s">
        <v>4376</v>
      </c>
      <c r="R1246">
        <v>9</v>
      </c>
      <c r="S1246">
        <v>70</v>
      </c>
      <c r="T1246">
        <v>103</v>
      </c>
      <c r="U1246">
        <v>85</v>
      </c>
      <c r="V1246">
        <v>60</v>
      </c>
      <c r="W1246">
        <v>85</v>
      </c>
      <c r="X1246">
        <v>82</v>
      </c>
      <c r="Y1246">
        <f t="shared" si="570"/>
        <v>177</v>
      </c>
      <c r="Z1246">
        <f t="shared" si="571"/>
        <v>177</v>
      </c>
      <c r="AA1246">
        <f t="shared" si="572"/>
        <v>145</v>
      </c>
      <c r="AB1246">
        <f t="shared" si="573"/>
        <v>145</v>
      </c>
      <c r="AC1246">
        <f t="shared" si="574"/>
        <v>130</v>
      </c>
      <c r="AD1246">
        <f t="shared" si="575"/>
        <v>170</v>
      </c>
      <c r="AE1246">
        <f t="shared" si="576"/>
        <v>155</v>
      </c>
      <c r="AF1246">
        <f t="shared" si="577"/>
        <v>123</v>
      </c>
      <c r="AG1246">
        <f t="shared" si="578"/>
        <v>110</v>
      </c>
      <c r="AH1246">
        <f t="shared" si="579"/>
        <v>97</v>
      </c>
      <c r="AI1246">
        <f t="shared" si="580"/>
        <v>150</v>
      </c>
      <c r="AJ1246">
        <f t="shared" si="581"/>
        <v>137</v>
      </c>
      <c r="AK1246">
        <f t="shared" si="582"/>
        <v>105</v>
      </c>
      <c r="AL1246">
        <f t="shared" si="583"/>
        <v>94</v>
      </c>
      <c r="AM1246">
        <f t="shared" si="584"/>
        <v>81</v>
      </c>
      <c r="AN1246">
        <f t="shared" si="585"/>
        <v>123</v>
      </c>
      <c r="AO1246">
        <f t="shared" si="586"/>
        <v>112</v>
      </c>
      <c r="AP1246">
        <f t="shared" si="587"/>
        <v>80</v>
      </c>
      <c r="AQ1246">
        <f t="shared" si="588"/>
        <v>72</v>
      </c>
      <c r="AR1246">
        <f t="shared" si="589"/>
        <v>58</v>
      </c>
      <c r="AS1246">
        <f t="shared" si="590"/>
        <v>150</v>
      </c>
      <c r="AT1246">
        <f t="shared" si="591"/>
        <v>137</v>
      </c>
      <c r="AU1246">
        <f t="shared" si="592"/>
        <v>105</v>
      </c>
      <c r="AV1246">
        <f t="shared" si="593"/>
        <v>94</v>
      </c>
      <c r="AW1246">
        <f t="shared" si="594"/>
        <v>81</v>
      </c>
      <c r="AX1246">
        <f t="shared" si="595"/>
        <v>147</v>
      </c>
      <c r="AY1246">
        <f t="shared" si="596"/>
        <v>134</v>
      </c>
      <c r="AZ1246">
        <f t="shared" si="597"/>
        <v>102</v>
      </c>
      <c r="BA1246">
        <f t="shared" si="598"/>
        <v>91</v>
      </c>
      <c r="BB1246">
        <f t="shared" si="599"/>
        <v>78</v>
      </c>
    </row>
    <row r="1247" spans="1:54" x14ac:dyDescent="0.15">
      <c r="A1247">
        <v>829</v>
      </c>
      <c r="B1247" t="s">
        <v>4377</v>
      </c>
      <c r="C1247">
        <v>963</v>
      </c>
      <c r="D1247">
        <v>0</v>
      </c>
      <c r="E1247" t="s">
        <v>4378</v>
      </c>
      <c r="G1247" t="s">
        <v>4378</v>
      </c>
      <c r="H1247" t="s">
        <v>4379</v>
      </c>
      <c r="J1247" t="s">
        <v>4380</v>
      </c>
      <c r="K1247">
        <v>60.2</v>
      </c>
      <c r="L1247">
        <v>1.3</v>
      </c>
      <c r="M1247" t="s">
        <v>71</v>
      </c>
      <c r="O1247" t="s">
        <v>677</v>
      </c>
      <c r="R1247">
        <v>9</v>
      </c>
      <c r="S1247">
        <v>70</v>
      </c>
      <c r="T1247">
        <v>45</v>
      </c>
      <c r="U1247">
        <v>40</v>
      </c>
      <c r="V1247">
        <v>45</v>
      </c>
      <c r="W1247">
        <v>40</v>
      </c>
      <c r="X1247">
        <v>75</v>
      </c>
      <c r="Y1247">
        <f t="shared" si="570"/>
        <v>177</v>
      </c>
      <c r="Z1247">
        <f t="shared" si="571"/>
        <v>177</v>
      </c>
      <c r="AA1247">
        <f t="shared" si="572"/>
        <v>145</v>
      </c>
      <c r="AB1247">
        <f t="shared" si="573"/>
        <v>145</v>
      </c>
      <c r="AC1247">
        <f t="shared" si="574"/>
        <v>130</v>
      </c>
      <c r="AD1247">
        <f t="shared" si="575"/>
        <v>106</v>
      </c>
      <c r="AE1247">
        <f t="shared" si="576"/>
        <v>97</v>
      </c>
      <c r="AF1247">
        <f t="shared" si="577"/>
        <v>65</v>
      </c>
      <c r="AG1247">
        <f t="shared" si="578"/>
        <v>58</v>
      </c>
      <c r="AH1247">
        <f t="shared" si="579"/>
        <v>45</v>
      </c>
      <c r="AI1247">
        <f t="shared" si="580"/>
        <v>101</v>
      </c>
      <c r="AJ1247">
        <f t="shared" si="581"/>
        <v>92</v>
      </c>
      <c r="AK1247">
        <f t="shared" si="582"/>
        <v>60</v>
      </c>
      <c r="AL1247">
        <f t="shared" si="583"/>
        <v>54</v>
      </c>
      <c r="AM1247">
        <f t="shared" si="584"/>
        <v>40</v>
      </c>
      <c r="AN1247">
        <f t="shared" si="585"/>
        <v>106</v>
      </c>
      <c r="AO1247">
        <f t="shared" si="586"/>
        <v>97</v>
      </c>
      <c r="AP1247">
        <f t="shared" si="587"/>
        <v>65</v>
      </c>
      <c r="AQ1247">
        <f t="shared" si="588"/>
        <v>58</v>
      </c>
      <c r="AR1247">
        <f t="shared" si="589"/>
        <v>45</v>
      </c>
      <c r="AS1247">
        <f t="shared" si="590"/>
        <v>101</v>
      </c>
      <c r="AT1247">
        <f t="shared" si="591"/>
        <v>92</v>
      </c>
      <c r="AU1247">
        <f t="shared" si="592"/>
        <v>60</v>
      </c>
      <c r="AV1247">
        <f t="shared" si="593"/>
        <v>54</v>
      </c>
      <c r="AW1247">
        <f t="shared" si="594"/>
        <v>40</v>
      </c>
      <c r="AX1247">
        <f t="shared" si="595"/>
        <v>139</v>
      </c>
      <c r="AY1247">
        <f t="shared" si="596"/>
        <v>127</v>
      </c>
      <c r="AZ1247">
        <f t="shared" si="597"/>
        <v>95</v>
      </c>
      <c r="BA1247">
        <f t="shared" si="598"/>
        <v>85</v>
      </c>
      <c r="BB1247">
        <f t="shared" si="599"/>
        <v>72</v>
      </c>
    </row>
    <row r="1248" spans="1:54" x14ac:dyDescent="0.15">
      <c r="A1248">
        <v>830</v>
      </c>
      <c r="B1248" t="s">
        <v>4381</v>
      </c>
      <c r="C1248">
        <v>964</v>
      </c>
      <c r="D1248">
        <v>0</v>
      </c>
      <c r="E1248" t="s">
        <v>4382</v>
      </c>
      <c r="F1248" t="s">
        <v>4383</v>
      </c>
      <c r="G1248" t="s">
        <v>4384</v>
      </c>
      <c r="H1248" t="s">
        <v>4385</v>
      </c>
      <c r="J1248" t="s">
        <v>4380</v>
      </c>
      <c r="K1248">
        <v>60.2</v>
      </c>
      <c r="L1248">
        <v>1.3</v>
      </c>
      <c r="M1248" t="s">
        <v>71</v>
      </c>
      <c r="O1248" t="s">
        <v>4386</v>
      </c>
      <c r="R1248">
        <v>9</v>
      </c>
      <c r="S1248">
        <v>100</v>
      </c>
      <c r="T1248">
        <v>70</v>
      </c>
      <c r="U1248">
        <v>72</v>
      </c>
      <c r="V1248">
        <v>53</v>
      </c>
      <c r="W1248">
        <v>62</v>
      </c>
      <c r="X1248">
        <v>100</v>
      </c>
      <c r="Y1248">
        <f t="shared" si="570"/>
        <v>207</v>
      </c>
      <c r="Z1248">
        <f t="shared" si="571"/>
        <v>207</v>
      </c>
      <c r="AA1248">
        <f t="shared" si="572"/>
        <v>175</v>
      </c>
      <c r="AB1248">
        <f t="shared" si="573"/>
        <v>175</v>
      </c>
      <c r="AC1248">
        <f t="shared" si="574"/>
        <v>160</v>
      </c>
      <c r="AD1248">
        <f t="shared" si="575"/>
        <v>134</v>
      </c>
      <c r="AE1248">
        <f t="shared" si="576"/>
        <v>122</v>
      </c>
      <c r="AF1248">
        <f t="shared" si="577"/>
        <v>90</v>
      </c>
      <c r="AG1248">
        <f t="shared" si="578"/>
        <v>81</v>
      </c>
      <c r="AH1248">
        <f t="shared" si="579"/>
        <v>67</v>
      </c>
      <c r="AI1248">
        <f t="shared" si="580"/>
        <v>136</v>
      </c>
      <c r="AJ1248">
        <f t="shared" si="581"/>
        <v>124</v>
      </c>
      <c r="AK1248">
        <f t="shared" si="582"/>
        <v>92</v>
      </c>
      <c r="AL1248">
        <f t="shared" si="583"/>
        <v>82</v>
      </c>
      <c r="AM1248">
        <f t="shared" si="584"/>
        <v>69</v>
      </c>
      <c r="AN1248">
        <f t="shared" si="585"/>
        <v>115</v>
      </c>
      <c r="AO1248">
        <f t="shared" si="586"/>
        <v>105</v>
      </c>
      <c r="AP1248">
        <f t="shared" si="587"/>
        <v>73</v>
      </c>
      <c r="AQ1248">
        <f t="shared" si="588"/>
        <v>65</v>
      </c>
      <c r="AR1248">
        <f t="shared" si="589"/>
        <v>52</v>
      </c>
      <c r="AS1248">
        <f t="shared" si="590"/>
        <v>125</v>
      </c>
      <c r="AT1248">
        <f t="shared" si="591"/>
        <v>114</v>
      </c>
      <c r="AU1248">
        <f t="shared" si="592"/>
        <v>82</v>
      </c>
      <c r="AV1248">
        <f t="shared" si="593"/>
        <v>73</v>
      </c>
      <c r="AW1248">
        <f t="shared" si="594"/>
        <v>60</v>
      </c>
      <c r="AX1248">
        <f t="shared" si="595"/>
        <v>167</v>
      </c>
      <c r="AY1248">
        <f t="shared" si="596"/>
        <v>152</v>
      </c>
      <c r="AZ1248">
        <f t="shared" si="597"/>
        <v>120</v>
      </c>
      <c r="BA1248">
        <f t="shared" si="598"/>
        <v>108</v>
      </c>
      <c r="BB1248">
        <f t="shared" si="599"/>
        <v>94</v>
      </c>
    </row>
    <row r="1249" spans="1:54" x14ac:dyDescent="0.15">
      <c r="A1249">
        <v>831</v>
      </c>
      <c r="B1249" t="s">
        <v>4387</v>
      </c>
      <c r="C1249">
        <v>964</v>
      </c>
      <c r="D1249">
        <v>1</v>
      </c>
      <c r="E1249" t="s">
        <v>4382</v>
      </c>
      <c r="F1249" t="s">
        <v>4388</v>
      </c>
      <c r="G1249" t="s">
        <v>4389</v>
      </c>
      <c r="H1249" t="s">
        <v>4390</v>
      </c>
      <c r="J1249" t="s">
        <v>4391</v>
      </c>
      <c r="K1249">
        <v>97.4</v>
      </c>
      <c r="L1249">
        <v>1.8</v>
      </c>
      <c r="M1249" t="s">
        <v>71</v>
      </c>
      <c r="O1249" t="s">
        <v>4386</v>
      </c>
      <c r="R1249">
        <v>9</v>
      </c>
      <c r="S1249">
        <v>100</v>
      </c>
      <c r="T1249">
        <v>160</v>
      </c>
      <c r="U1249">
        <v>97</v>
      </c>
      <c r="V1249">
        <v>106</v>
      </c>
      <c r="W1249">
        <v>87</v>
      </c>
      <c r="X1249">
        <v>100</v>
      </c>
      <c r="Y1249">
        <f t="shared" si="570"/>
        <v>207</v>
      </c>
      <c r="Z1249">
        <f t="shared" si="571"/>
        <v>207</v>
      </c>
      <c r="AA1249">
        <f t="shared" si="572"/>
        <v>175</v>
      </c>
      <c r="AB1249">
        <f t="shared" si="573"/>
        <v>175</v>
      </c>
      <c r="AC1249">
        <f t="shared" si="574"/>
        <v>160</v>
      </c>
      <c r="AD1249">
        <f t="shared" si="575"/>
        <v>233</v>
      </c>
      <c r="AE1249">
        <f t="shared" si="576"/>
        <v>212</v>
      </c>
      <c r="AF1249">
        <f t="shared" si="577"/>
        <v>180</v>
      </c>
      <c r="AG1249">
        <f t="shared" si="578"/>
        <v>162</v>
      </c>
      <c r="AH1249">
        <f t="shared" si="579"/>
        <v>148</v>
      </c>
      <c r="AI1249">
        <f t="shared" si="580"/>
        <v>163</v>
      </c>
      <c r="AJ1249">
        <f t="shared" si="581"/>
        <v>149</v>
      </c>
      <c r="AK1249">
        <f t="shared" si="582"/>
        <v>117</v>
      </c>
      <c r="AL1249">
        <f t="shared" si="583"/>
        <v>105</v>
      </c>
      <c r="AM1249">
        <f t="shared" si="584"/>
        <v>91</v>
      </c>
      <c r="AN1249">
        <f t="shared" si="585"/>
        <v>173</v>
      </c>
      <c r="AO1249">
        <f t="shared" si="586"/>
        <v>158</v>
      </c>
      <c r="AP1249">
        <f t="shared" si="587"/>
        <v>126</v>
      </c>
      <c r="AQ1249">
        <f t="shared" si="588"/>
        <v>113</v>
      </c>
      <c r="AR1249">
        <f t="shared" si="589"/>
        <v>99</v>
      </c>
      <c r="AS1249">
        <f t="shared" si="590"/>
        <v>152</v>
      </c>
      <c r="AT1249">
        <f t="shared" si="591"/>
        <v>139</v>
      </c>
      <c r="AU1249">
        <f t="shared" si="592"/>
        <v>107</v>
      </c>
      <c r="AV1249">
        <f t="shared" si="593"/>
        <v>96</v>
      </c>
      <c r="AW1249">
        <f t="shared" si="594"/>
        <v>82</v>
      </c>
      <c r="AX1249">
        <f t="shared" si="595"/>
        <v>167</v>
      </c>
      <c r="AY1249">
        <f t="shared" si="596"/>
        <v>152</v>
      </c>
      <c r="AZ1249">
        <f t="shared" si="597"/>
        <v>120</v>
      </c>
      <c r="BA1249">
        <f t="shared" si="598"/>
        <v>108</v>
      </c>
      <c r="BB1249">
        <f t="shared" si="599"/>
        <v>94</v>
      </c>
    </row>
    <row r="1250" spans="1:54" x14ac:dyDescent="0.15">
      <c r="A1250">
        <v>839</v>
      </c>
      <c r="B1250" t="s">
        <v>4392</v>
      </c>
      <c r="C1250">
        <v>965</v>
      </c>
      <c r="D1250">
        <v>0</v>
      </c>
      <c r="E1250" t="s">
        <v>4393</v>
      </c>
      <c r="G1250" t="s">
        <v>4393</v>
      </c>
      <c r="H1250" t="s">
        <v>4394</v>
      </c>
      <c r="J1250" t="s">
        <v>4395</v>
      </c>
      <c r="K1250">
        <v>35</v>
      </c>
      <c r="L1250">
        <v>1</v>
      </c>
      <c r="M1250" t="s">
        <v>203</v>
      </c>
      <c r="N1250" t="s">
        <v>27</v>
      </c>
      <c r="O1250" t="s">
        <v>538</v>
      </c>
      <c r="P1250" t="s">
        <v>2217</v>
      </c>
      <c r="R1250">
        <v>9</v>
      </c>
      <c r="S1250">
        <v>45</v>
      </c>
      <c r="T1250">
        <v>70</v>
      </c>
      <c r="U1250">
        <v>63</v>
      </c>
      <c r="V1250">
        <v>30</v>
      </c>
      <c r="W1250">
        <v>45</v>
      </c>
      <c r="X1250">
        <v>47</v>
      </c>
      <c r="Y1250">
        <f t="shared" si="570"/>
        <v>152</v>
      </c>
      <c r="Z1250">
        <f t="shared" si="571"/>
        <v>152</v>
      </c>
      <c r="AA1250">
        <f t="shared" si="572"/>
        <v>120</v>
      </c>
      <c r="AB1250">
        <f t="shared" si="573"/>
        <v>120</v>
      </c>
      <c r="AC1250">
        <f t="shared" si="574"/>
        <v>105</v>
      </c>
      <c r="AD1250">
        <f t="shared" si="575"/>
        <v>134</v>
      </c>
      <c r="AE1250">
        <f t="shared" si="576"/>
        <v>122</v>
      </c>
      <c r="AF1250">
        <f t="shared" si="577"/>
        <v>90</v>
      </c>
      <c r="AG1250">
        <f t="shared" si="578"/>
        <v>81</v>
      </c>
      <c r="AH1250">
        <f t="shared" si="579"/>
        <v>67</v>
      </c>
      <c r="AI1250">
        <f t="shared" si="580"/>
        <v>126</v>
      </c>
      <c r="AJ1250">
        <f t="shared" si="581"/>
        <v>115</v>
      </c>
      <c r="AK1250">
        <f t="shared" si="582"/>
        <v>83</v>
      </c>
      <c r="AL1250">
        <f t="shared" si="583"/>
        <v>74</v>
      </c>
      <c r="AM1250">
        <f t="shared" si="584"/>
        <v>61</v>
      </c>
      <c r="AN1250">
        <f t="shared" si="585"/>
        <v>90</v>
      </c>
      <c r="AO1250">
        <f t="shared" si="586"/>
        <v>82</v>
      </c>
      <c r="AP1250">
        <f t="shared" si="587"/>
        <v>50</v>
      </c>
      <c r="AQ1250">
        <f t="shared" si="588"/>
        <v>45</v>
      </c>
      <c r="AR1250">
        <f t="shared" si="589"/>
        <v>31</v>
      </c>
      <c r="AS1250">
        <f t="shared" si="590"/>
        <v>106</v>
      </c>
      <c r="AT1250">
        <f t="shared" si="591"/>
        <v>97</v>
      </c>
      <c r="AU1250">
        <f t="shared" si="592"/>
        <v>65</v>
      </c>
      <c r="AV1250">
        <f t="shared" si="593"/>
        <v>58</v>
      </c>
      <c r="AW1250">
        <f t="shared" si="594"/>
        <v>45</v>
      </c>
      <c r="AX1250">
        <f t="shared" si="595"/>
        <v>108</v>
      </c>
      <c r="AY1250">
        <f t="shared" si="596"/>
        <v>99</v>
      </c>
      <c r="AZ1250">
        <f t="shared" si="597"/>
        <v>67</v>
      </c>
      <c r="BA1250">
        <f t="shared" si="598"/>
        <v>60</v>
      </c>
      <c r="BB1250">
        <f t="shared" si="599"/>
        <v>46</v>
      </c>
    </row>
    <row r="1251" spans="1:54" x14ac:dyDescent="0.15">
      <c r="A1251">
        <v>840</v>
      </c>
      <c r="B1251" t="s">
        <v>4396</v>
      </c>
      <c r="C1251">
        <v>966</v>
      </c>
      <c r="D1251">
        <v>0</v>
      </c>
      <c r="E1251" t="s">
        <v>4397</v>
      </c>
      <c r="G1251" t="s">
        <v>4397</v>
      </c>
      <c r="H1251" t="s">
        <v>4398</v>
      </c>
      <c r="J1251" t="s">
        <v>4399</v>
      </c>
      <c r="K1251">
        <v>120</v>
      </c>
      <c r="L1251">
        <v>1.8</v>
      </c>
      <c r="M1251" t="s">
        <v>203</v>
      </c>
      <c r="N1251" t="s">
        <v>27</v>
      </c>
      <c r="O1251" t="s">
        <v>538</v>
      </c>
      <c r="P1251" t="s">
        <v>690</v>
      </c>
      <c r="R1251">
        <v>9</v>
      </c>
      <c r="S1251">
        <v>80</v>
      </c>
      <c r="T1251">
        <v>119</v>
      </c>
      <c r="U1251">
        <v>90</v>
      </c>
      <c r="V1251">
        <v>54</v>
      </c>
      <c r="W1251">
        <v>67</v>
      </c>
      <c r="X1251">
        <v>90</v>
      </c>
      <c r="Y1251">
        <f t="shared" si="570"/>
        <v>187</v>
      </c>
      <c r="Z1251">
        <f t="shared" si="571"/>
        <v>187</v>
      </c>
      <c r="AA1251">
        <f t="shared" si="572"/>
        <v>155</v>
      </c>
      <c r="AB1251">
        <f t="shared" si="573"/>
        <v>155</v>
      </c>
      <c r="AC1251">
        <f t="shared" si="574"/>
        <v>140</v>
      </c>
      <c r="AD1251">
        <f t="shared" si="575"/>
        <v>188</v>
      </c>
      <c r="AE1251">
        <f t="shared" si="576"/>
        <v>171</v>
      </c>
      <c r="AF1251">
        <f t="shared" si="577"/>
        <v>139</v>
      </c>
      <c r="AG1251">
        <f t="shared" si="578"/>
        <v>125</v>
      </c>
      <c r="AH1251">
        <f t="shared" si="579"/>
        <v>111</v>
      </c>
      <c r="AI1251">
        <f t="shared" si="580"/>
        <v>156</v>
      </c>
      <c r="AJ1251">
        <f t="shared" si="581"/>
        <v>142</v>
      </c>
      <c r="AK1251">
        <f t="shared" si="582"/>
        <v>110</v>
      </c>
      <c r="AL1251">
        <f t="shared" si="583"/>
        <v>99</v>
      </c>
      <c r="AM1251">
        <f t="shared" si="584"/>
        <v>85</v>
      </c>
      <c r="AN1251">
        <f t="shared" si="585"/>
        <v>116</v>
      </c>
      <c r="AO1251">
        <f t="shared" si="586"/>
        <v>106</v>
      </c>
      <c r="AP1251">
        <f t="shared" si="587"/>
        <v>74</v>
      </c>
      <c r="AQ1251">
        <f t="shared" si="588"/>
        <v>66</v>
      </c>
      <c r="AR1251">
        <f t="shared" si="589"/>
        <v>53</v>
      </c>
      <c r="AS1251">
        <f t="shared" si="590"/>
        <v>130</v>
      </c>
      <c r="AT1251">
        <f t="shared" si="591"/>
        <v>119</v>
      </c>
      <c r="AU1251">
        <f t="shared" si="592"/>
        <v>87</v>
      </c>
      <c r="AV1251">
        <f t="shared" si="593"/>
        <v>78</v>
      </c>
      <c r="AW1251">
        <f t="shared" si="594"/>
        <v>64</v>
      </c>
      <c r="AX1251">
        <f t="shared" si="595"/>
        <v>156</v>
      </c>
      <c r="AY1251">
        <f t="shared" si="596"/>
        <v>142</v>
      </c>
      <c r="AZ1251">
        <f t="shared" si="597"/>
        <v>110</v>
      </c>
      <c r="BA1251">
        <f t="shared" si="598"/>
        <v>99</v>
      </c>
      <c r="BB1251">
        <f t="shared" si="599"/>
        <v>85</v>
      </c>
    </row>
    <row r="1252" spans="1:54" x14ac:dyDescent="0.15">
      <c r="A1252">
        <v>853</v>
      </c>
      <c r="B1252" t="s">
        <v>4400</v>
      </c>
      <c r="C1252">
        <v>967</v>
      </c>
      <c r="D1252">
        <v>0</v>
      </c>
      <c r="E1252" t="s">
        <v>4401</v>
      </c>
      <c r="G1252" t="s">
        <v>4401</v>
      </c>
      <c r="H1252" t="s">
        <v>4402</v>
      </c>
      <c r="J1252" t="s">
        <v>3055</v>
      </c>
      <c r="K1252">
        <v>63</v>
      </c>
      <c r="L1252">
        <v>1.6</v>
      </c>
      <c r="M1252" t="s">
        <v>60</v>
      </c>
      <c r="N1252" t="s">
        <v>120</v>
      </c>
      <c r="O1252" t="s">
        <v>96</v>
      </c>
      <c r="P1252" t="s">
        <v>471</v>
      </c>
      <c r="R1252">
        <v>9</v>
      </c>
      <c r="S1252">
        <v>70</v>
      </c>
      <c r="T1252">
        <v>95</v>
      </c>
      <c r="U1252">
        <v>65</v>
      </c>
      <c r="V1252">
        <v>85</v>
      </c>
      <c r="W1252">
        <v>65</v>
      </c>
      <c r="X1252">
        <v>121</v>
      </c>
      <c r="Y1252">
        <f t="shared" si="570"/>
        <v>177</v>
      </c>
      <c r="Z1252">
        <f t="shared" si="571"/>
        <v>177</v>
      </c>
      <c r="AA1252">
        <f t="shared" si="572"/>
        <v>145</v>
      </c>
      <c r="AB1252">
        <f t="shared" si="573"/>
        <v>145</v>
      </c>
      <c r="AC1252">
        <f t="shared" si="574"/>
        <v>130</v>
      </c>
      <c r="AD1252">
        <f t="shared" si="575"/>
        <v>161</v>
      </c>
      <c r="AE1252">
        <f t="shared" si="576"/>
        <v>147</v>
      </c>
      <c r="AF1252">
        <f t="shared" si="577"/>
        <v>115</v>
      </c>
      <c r="AG1252">
        <f t="shared" si="578"/>
        <v>103</v>
      </c>
      <c r="AH1252">
        <f t="shared" si="579"/>
        <v>90</v>
      </c>
      <c r="AI1252">
        <f t="shared" si="580"/>
        <v>128</v>
      </c>
      <c r="AJ1252">
        <f t="shared" si="581"/>
        <v>117</v>
      </c>
      <c r="AK1252">
        <f t="shared" si="582"/>
        <v>85</v>
      </c>
      <c r="AL1252">
        <f t="shared" si="583"/>
        <v>76</v>
      </c>
      <c r="AM1252">
        <f t="shared" si="584"/>
        <v>63</v>
      </c>
      <c r="AN1252">
        <f t="shared" si="585"/>
        <v>150</v>
      </c>
      <c r="AO1252">
        <f t="shared" si="586"/>
        <v>137</v>
      </c>
      <c r="AP1252">
        <f t="shared" si="587"/>
        <v>105</v>
      </c>
      <c r="AQ1252">
        <f t="shared" si="588"/>
        <v>94</v>
      </c>
      <c r="AR1252">
        <f t="shared" si="589"/>
        <v>81</v>
      </c>
      <c r="AS1252">
        <f t="shared" si="590"/>
        <v>128</v>
      </c>
      <c r="AT1252">
        <f t="shared" si="591"/>
        <v>117</v>
      </c>
      <c r="AU1252">
        <f t="shared" si="592"/>
        <v>85</v>
      </c>
      <c r="AV1252">
        <f t="shared" si="593"/>
        <v>76</v>
      </c>
      <c r="AW1252">
        <f t="shared" si="594"/>
        <v>63</v>
      </c>
      <c r="AX1252">
        <f t="shared" si="595"/>
        <v>190</v>
      </c>
      <c r="AY1252">
        <f t="shared" si="596"/>
        <v>173</v>
      </c>
      <c r="AZ1252">
        <f t="shared" si="597"/>
        <v>141</v>
      </c>
      <c r="BA1252">
        <f t="shared" si="598"/>
        <v>126</v>
      </c>
      <c r="BB1252">
        <f t="shared" si="599"/>
        <v>113</v>
      </c>
    </row>
    <row r="1253" spans="1:54" x14ac:dyDescent="0.15">
      <c r="A1253">
        <v>841</v>
      </c>
      <c r="B1253" t="s">
        <v>4403</v>
      </c>
      <c r="C1253">
        <v>968</v>
      </c>
      <c r="D1253">
        <v>0</v>
      </c>
      <c r="E1253" t="s">
        <v>4404</v>
      </c>
      <c r="G1253" t="s">
        <v>4404</v>
      </c>
      <c r="H1253" t="s">
        <v>4405</v>
      </c>
      <c r="J1253" t="s">
        <v>4406</v>
      </c>
      <c r="K1253">
        <v>310</v>
      </c>
      <c r="L1253">
        <v>2.5</v>
      </c>
      <c r="M1253" t="s">
        <v>203</v>
      </c>
      <c r="O1253" t="s">
        <v>4407</v>
      </c>
      <c r="P1253" t="s">
        <v>197</v>
      </c>
      <c r="R1253">
        <v>9</v>
      </c>
      <c r="S1253">
        <v>70</v>
      </c>
      <c r="T1253">
        <v>85</v>
      </c>
      <c r="U1253">
        <v>145</v>
      </c>
      <c r="V1253">
        <v>60</v>
      </c>
      <c r="W1253">
        <v>55</v>
      </c>
      <c r="X1253">
        <v>65</v>
      </c>
      <c r="Y1253">
        <f t="shared" si="570"/>
        <v>177</v>
      </c>
      <c r="Z1253">
        <f t="shared" si="571"/>
        <v>177</v>
      </c>
      <c r="AA1253">
        <f t="shared" si="572"/>
        <v>145</v>
      </c>
      <c r="AB1253">
        <f t="shared" si="573"/>
        <v>145</v>
      </c>
      <c r="AC1253">
        <f t="shared" si="574"/>
        <v>130</v>
      </c>
      <c r="AD1253">
        <f t="shared" si="575"/>
        <v>150</v>
      </c>
      <c r="AE1253">
        <f t="shared" si="576"/>
        <v>137</v>
      </c>
      <c r="AF1253">
        <f t="shared" si="577"/>
        <v>105</v>
      </c>
      <c r="AG1253">
        <f t="shared" si="578"/>
        <v>94</v>
      </c>
      <c r="AH1253">
        <f t="shared" si="579"/>
        <v>81</v>
      </c>
      <c r="AI1253">
        <f t="shared" si="580"/>
        <v>216</v>
      </c>
      <c r="AJ1253">
        <f t="shared" si="581"/>
        <v>197</v>
      </c>
      <c r="AK1253">
        <f t="shared" si="582"/>
        <v>165</v>
      </c>
      <c r="AL1253">
        <f t="shared" si="583"/>
        <v>148</v>
      </c>
      <c r="AM1253">
        <f t="shared" si="584"/>
        <v>135</v>
      </c>
      <c r="AN1253">
        <f t="shared" si="585"/>
        <v>123</v>
      </c>
      <c r="AO1253">
        <f t="shared" si="586"/>
        <v>112</v>
      </c>
      <c r="AP1253">
        <f t="shared" si="587"/>
        <v>80</v>
      </c>
      <c r="AQ1253">
        <f t="shared" si="588"/>
        <v>72</v>
      </c>
      <c r="AR1253">
        <f t="shared" si="589"/>
        <v>58</v>
      </c>
      <c r="AS1253">
        <f t="shared" si="590"/>
        <v>117</v>
      </c>
      <c r="AT1253">
        <f t="shared" si="591"/>
        <v>107</v>
      </c>
      <c r="AU1253">
        <f t="shared" si="592"/>
        <v>75</v>
      </c>
      <c r="AV1253">
        <f t="shared" si="593"/>
        <v>67</v>
      </c>
      <c r="AW1253">
        <f t="shared" si="594"/>
        <v>54</v>
      </c>
      <c r="AX1253">
        <f t="shared" si="595"/>
        <v>128</v>
      </c>
      <c r="AY1253">
        <f t="shared" si="596"/>
        <v>117</v>
      </c>
      <c r="AZ1253">
        <f t="shared" si="597"/>
        <v>85</v>
      </c>
      <c r="BA1253">
        <f t="shared" si="598"/>
        <v>76</v>
      </c>
      <c r="BB1253">
        <f t="shared" si="599"/>
        <v>63</v>
      </c>
    </row>
    <row r="1254" spans="1:54" x14ac:dyDescent="0.15">
      <c r="A1254">
        <v>869</v>
      </c>
      <c r="B1254" t="s">
        <v>4408</v>
      </c>
      <c r="C1254">
        <v>969</v>
      </c>
      <c r="D1254">
        <v>0</v>
      </c>
      <c r="E1254" t="s">
        <v>4409</v>
      </c>
      <c r="G1254" t="s">
        <v>4409</v>
      </c>
      <c r="H1254" t="s">
        <v>4410</v>
      </c>
      <c r="J1254" t="s">
        <v>2398</v>
      </c>
      <c r="K1254">
        <v>8</v>
      </c>
      <c r="L1254">
        <v>0.7</v>
      </c>
      <c r="M1254" t="s">
        <v>371</v>
      </c>
      <c r="N1254" t="s">
        <v>27</v>
      </c>
      <c r="O1254" t="s">
        <v>4411</v>
      </c>
      <c r="P1254" t="s">
        <v>3456</v>
      </c>
      <c r="R1254">
        <v>9</v>
      </c>
      <c r="S1254">
        <v>48</v>
      </c>
      <c r="T1254">
        <v>35</v>
      </c>
      <c r="U1254">
        <v>42</v>
      </c>
      <c r="V1254">
        <v>105</v>
      </c>
      <c r="W1254">
        <v>60</v>
      </c>
      <c r="X1254">
        <v>60</v>
      </c>
      <c r="Y1254">
        <f t="shared" si="570"/>
        <v>155</v>
      </c>
      <c r="Z1254">
        <f t="shared" si="571"/>
        <v>155</v>
      </c>
      <c r="AA1254">
        <f t="shared" si="572"/>
        <v>123</v>
      </c>
      <c r="AB1254">
        <f t="shared" si="573"/>
        <v>123</v>
      </c>
      <c r="AC1254">
        <f t="shared" si="574"/>
        <v>108</v>
      </c>
      <c r="AD1254">
        <f t="shared" si="575"/>
        <v>95</v>
      </c>
      <c r="AE1254">
        <f t="shared" si="576"/>
        <v>87</v>
      </c>
      <c r="AF1254">
        <f t="shared" si="577"/>
        <v>55</v>
      </c>
      <c r="AG1254">
        <f t="shared" si="578"/>
        <v>49</v>
      </c>
      <c r="AH1254">
        <f t="shared" si="579"/>
        <v>36</v>
      </c>
      <c r="AI1254">
        <f t="shared" si="580"/>
        <v>103</v>
      </c>
      <c r="AJ1254">
        <f t="shared" si="581"/>
        <v>94</v>
      </c>
      <c r="AK1254">
        <f t="shared" si="582"/>
        <v>62</v>
      </c>
      <c r="AL1254">
        <f t="shared" si="583"/>
        <v>55</v>
      </c>
      <c r="AM1254">
        <f t="shared" si="584"/>
        <v>42</v>
      </c>
      <c r="AN1254">
        <f t="shared" si="585"/>
        <v>172</v>
      </c>
      <c r="AO1254">
        <f t="shared" si="586"/>
        <v>157</v>
      </c>
      <c r="AP1254">
        <f t="shared" si="587"/>
        <v>125</v>
      </c>
      <c r="AQ1254">
        <f t="shared" si="588"/>
        <v>112</v>
      </c>
      <c r="AR1254">
        <f t="shared" si="589"/>
        <v>99</v>
      </c>
      <c r="AS1254">
        <f t="shared" si="590"/>
        <v>123</v>
      </c>
      <c r="AT1254">
        <f t="shared" si="591"/>
        <v>112</v>
      </c>
      <c r="AU1254">
        <f t="shared" si="592"/>
        <v>80</v>
      </c>
      <c r="AV1254">
        <f t="shared" si="593"/>
        <v>72</v>
      </c>
      <c r="AW1254">
        <f t="shared" si="594"/>
        <v>58</v>
      </c>
      <c r="AX1254">
        <f t="shared" si="595"/>
        <v>123</v>
      </c>
      <c r="AY1254">
        <f t="shared" si="596"/>
        <v>112</v>
      </c>
      <c r="AZ1254">
        <f t="shared" si="597"/>
        <v>80</v>
      </c>
      <c r="BA1254">
        <f t="shared" si="598"/>
        <v>72</v>
      </c>
      <c r="BB1254">
        <f t="shared" si="599"/>
        <v>58</v>
      </c>
    </row>
    <row r="1255" spans="1:54" x14ac:dyDescent="0.15">
      <c r="A1255">
        <v>870</v>
      </c>
      <c r="B1255" t="s">
        <v>4412</v>
      </c>
      <c r="C1255">
        <v>970</v>
      </c>
      <c r="D1255">
        <v>0</v>
      </c>
      <c r="E1255" t="s">
        <v>4413</v>
      </c>
      <c r="G1255" t="s">
        <v>4413</v>
      </c>
      <c r="H1255" t="s">
        <v>4414</v>
      </c>
      <c r="J1255" t="s">
        <v>2398</v>
      </c>
      <c r="K1255">
        <v>45</v>
      </c>
      <c r="L1255">
        <v>1.5</v>
      </c>
      <c r="M1255" t="s">
        <v>371</v>
      </c>
      <c r="N1255" t="s">
        <v>27</v>
      </c>
      <c r="O1255" t="s">
        <v>4411</v>
      </c>
      <c r="P1255" t="s">
        <v>3456</v>
      </c>
      <c r="R1255">
        <v>9</v>
      </c>
      <c r="S1255">
        <v>83</v>
      </c>
      <c r="T1255">
        <v>55</v>
      </c>
      <c r="U1255">
        <v>90</v>
      </c>
      <c r="V1255">
        <v>130</v>
      </c>
      <c r="W1255">
        <v>81</v>
      </c>
      <c r="X1255">
        <v>86</v>
      </c>
      <c r="Y1255">
        <f t="shared" si="570"/>
        <v>190</v>
      </c>
      <c r="Z1255">
        <f t="shared" si="571"/>
        <v>190</v>
      </c>
      <c r="AA1255">
        <f t="shared" si="572"/>
        <v>158</v>
      </c>
      <c r="AB1255">
        <f t="shared" si="573"/>
        <v>158</v>
      </c>
      <c r="AC1255">
        <f t="shared" si="574"/>
        <v>143</v>
      </c>
      <c r="AD1255">
        <f t="shared" si="575"/>
        <v>117</v>
      </c>
      <c r="AE1255">
        <f t="shared" si="576"/>
        <v>107</v>
      </c>
      <c r="AF1255">
        <f t="shared" si="577"/>
        <v>75</v>
      </c>
      <c r="AG1255">
        <f t="shared" si="578"/>
        <v>67</v>
      </c>
      <c r="AH1255">
        <f t="shared" si="579"/>
        <v>54</v>
      </c>
      <c r="AI1255">
        <f t="shared" si="580"/>
        <v>156</v>
      </c>
      <c r="AJ1255">
        <f t="shared" si="581"/>
        <v>142</v>
      </c>
      <c r="AK1255">
        <f t="shared" si="582"/>
        <v>110</v>
      </c>
      <c r="AL1255">
        <f t="shared" si="583"/>
        <v>99</v>
      </c>
      <c r="AM1255">
        <f t="shared" si="584"/>
        <v>85</v>
      </c>
      <c r="AN1255">
        <f t="shared" si="585"/>
        <v>200</v>
      </c>
      <c r="AO1255">
        <f t="shared" si="586"/>
        <v>182</v>
      </c>
      <c r="AP1255">
        <f t="shared" si="587"/>
        <v>150</v>
      </c>
      <c r="AQ1255">
        <f t="shared" si="588"/>
        <v>135</v>
      </c>
      <c r="AR1255">
        <f t="shared" si="589"/>
        <v>121</v>
      </c>
      <c r="AS1255">
        <f t="shared" si="590"/>
        <v>146</v>
      </c>
      <c r="AT1255">
        <f t="shared" si="591"/>
        <v>133</v>
      </c>
      <c r="AU1255">
        <f t="shared" si="592"/>
        <v>101</v>
      </c>
      <c r="AV1255">
        <f t="shared" si="593"/>
        <v>90</v>
      </c>
      <c r="AW1255">
        <f t="shared" si="594"/>
        <v>77</v>
      </c>
      <c r="AX1255">
        <f t="shared" si="595"/>
        <v>151</v>
      </c>
      <c r="AY1255">
        <f t="shared" si="596"/>
        <v>138</v>
      </c>
      <c r="AZ1255">
        <f t="shared" si="597"/>
        <v>106</v>
      </c>
      <c r="BA1255">
        <f t="shared" si="598"/>
        <v>95</v>
      </c>
      <c r="BB1255">
        <f t="shared" si="599"/>
        <v>81</v>
      </c>
    </row>
    <row r="1256" spans="1:54" x14ac:dyDescent="0.15">
      <c r="A1256">
        <v>819</v>
      </c>
      <c r="B1256" t="s">
        <v>4415</v>
      </c>
      <c r="C1256">
        <v>971</v>
      </c>
      <c r="D1256">
        <v>0</v>
      </c>
      <c r="E1256" t="s">
        <v>4416</v>
      </c>
      <c r="G1256" t="s">
        <v>4416</v>
      </c>
      <c r="H1256" t="s">
        <v>4417</v>
      </c>
      <c r="J1256" t="s">
        <v>4418</v>
      </c>
      <c r="K1256">
        <v>35</v>
      </c>
      <c r="L1256">
        <v>0.6</v>
      </c>
      <c r="M1256" t="s">
        <v>546</v>
      </c>
      <c r="O1256" t="s">
        <v>321</v>
      </c>
      <c r="P1256" t="s">
        <v>3463</v>
      </c>
      <c r="R1256">
        <v>9</v>
      </c>
      <c r="S1256">
        <v>50</v>
      </c>
      <c r="T1256">
        <v>61</v>
      </c>
      <c r="U1256">
        <v>60</v>
      </c>
      <c r="V1256">
        <v>30</v>
      </c>
      <c r="W1256">
        <v>55</v>
      </c>
      <c r="X1256">
        <v>34</v>
      </c>
      <c r="Y1256">
        <f t="shared" si="570"/>
        <v>157</v>
      </c>
      <c r="Z1256">
        <f t="shared" si="571"/>
        <v>157</v>
      </c>
      <c r="AA1256">
        <f t="shared" si="572"/>
        <v>125</v>
      </c>
      <c r="AB1256">
        <f t="shared" si="573"/>
        <v>125</v>
      </c>
      <c r="AC1256">
        <f t="shared" si="574"/>
        <v>110</v>
      </c>
      <c r="AD1256">
        <f t="shared" si="575"/>
        <v>124</v>
      </c>
      <c r="AE1256">
        <f t="shared" si="576"/>
        <v>113</v>
      </c>
      <c r="AF1256">
        <f t="shared" si="577"/>
        <v>81</v>
      </c>
      <c r="AG1256">
        <f t="shared" si="578"/>
        <v>72</v>
      </c>
      <c r="AH1256">
        <f t="shared" si="579"/>
        <v>59</v>
      </c>
      <c r="AI1256">
        <f t="shared" si="580"/>
        <v>123</v>
      </c>
      <c r="AJ1256">
        <f t="shared" si="581"/>
        <v>112</v>
      </c>
      <c r="AK1256">
        <f t="shared" si="582"/>
        <v>80</v>
      </c>
      <c r="AL1256">
        <f t="shared" si="583"/>
        <v>72</v>
      </c>
      <c r="AM1256">
        <f t="shared" si="584"/>
        <v>58</v>
      </c>
      <c r="AN1256">
        <f t="shared" si="585"/>
        <v>90</v>
      </c>
      <c r="AO1256">
        <f t="shared" si="586"/>
        <v>82</v>
      </c>
      <c r="AP1256">
        <f t="shared" si="587"/>
        <v>50</v>
      </c>
      <c r="AQ1256">
        <f t="shared" si="588"/>
        <v>45</v>
      </c>
      <c r="AR1256">
        <f t="shared" si="589"/>
        <v>31</v>
      </c>
      <c r="AS1256">
        <f t="shared" si="590"/>
        <v>117</v>
      </c>
      <c r="AT1256">
        <f t="shared" si="591"/>
        <v>107</v>
      </c>
      <c r="AU1256">
        <f t="shared" si="592"/>
        <v>75</v>
      </c>
      <c r="AV1256">
        <f t="shared" si="593"/>
        <v>67</v>
      </c>
      <c r="AW1256">
        <f t="shared" si="594"/>
        <v>54</v>
      </c>
      <c r="AX1256">
        <f t="shared" si="595"/>
        <v>94</v>
      </c>
      <c r="AY1256">
        <f t="shared" si="596"/>
        <v>86</v>
      </c>
      <c r="AZ1256">
        <f t="shared" si="597"/>
        <v>54</v>
      </c>
      <c r="BA1256">
        <f t="shared" si="598"/>
        <v>48</v>
      </c>
      <c r="BB1256">
        <f t="shared" si="599"/>
        <v>35</v>
      </c>
    </row>
    <row r="1257" spans="1:54" x14ac:dyDescent="0.15">
      <c r="A1257">
        <v>820</v>
      </c>
      <c r="B1257" t="s">
        <v>4419</v>
      </c>
      <c r="C1257">
        <v>972</v>
      </c>
      <c r="D1257">
        <v>0</v>
      </c>
      <c r="E1257" t="s">
        <v>4420</v>
      </c>
      <c r="G1257" t="s">
        <v>4420</v>
      </c>
      <c r="H1257" t="s">
        <v>4421</v>
      </c>
      <c r="J1257" t="s">
        <v>4418</v>
      </c>
      <c r="K1257">
        <v>15</v>
      </c>
      <c r="L1257">
        <v>2</v>
      </c>
      <c r="M1257" t="s">
        <v>546</v>
      </c>
      <c r="O1257" t="s">
        <v>198</v>
      </c>
      <c r="P1257" t="s">
        <v>3463</v>
      </c>
      <c r="R1257">
        <v>9</v>
      </c>
      <c r="S1257">
        <v>72</v>
      </c>
      <c r="T1257">
        <v>101</v>
      </c>
      <c r="U1257">
        <v>100</v>
      </c>
      <c r="V1257">
        <v>50</v>
      </c>
      <c r="W1257">
        <v>97</v>
      </c>
      <c r="X1257">
        <v>68</v>
      </c>
      <c r="Y1257">
        <f t="shared" si="570"/>
        <v>179</v>
      </c>
      <c r="Z1257">
        <f t="shared" si="571"/>
        <v>179</v>
      </c>
      <c r="AA1257">
        <f t="shared" si="572"/>
        <v>147</v>
      </c>
      <c r="AB1257">
        <f t="shared" si="573"/>
        <v>147</v>
      </c>
      <c r="AC1257">
        <f t="shared" si="574"/>
        <v>132</v>
      </c>
      <c r="AD1257">
        <f t="shared" si="575"/>
        <v>168</v>
      </c>
      <c r="AE1257">
        <f t="shared" si="576"/>
        <v>153</v>
      </c>
      <c r="AF1257">
        <f t="shared" si="577"/>
        <v>121</v>
      </c>
      <c r="AG1257">
        <f t="shared" si="578"/>
        <v>108</v>
      </c>
      <c r="AH1257">
        <f t="shared" si="579"/>
        <v>95</v>
      </c>
      <c r="AI1257">
        <f t="shared" si="580"/>
        <v>167</v>
      </c>
      <c r="AJ1257">
        <f t="shared" si="581"/>
        <v>152</v>
      </c>
      <c r="AK1257">
        <f t="shared" si="582"/>
        <v>120</v>
      </c>
      <c r="AL1257">
        <f t="shared" si="583"/>
        <v>108</v>
      </c>
      <c r="AM1257">
        <f t="shared" si="584"/>
        <v>94</v>
      </c>
      <c r="AN1257">
        <f t="shared" si="585"/>
        <v>112</v>
      </c>
      <c r="AO1257">
        <f t="shared" si="586"/>
        <v>102</v>
      </c>
      <c r="AP1257">
        <f t="shared" si="587"/>
        <v>70</v>
      </c>
      <c r="AQ1257">
        <f t="shared" si="588"/>
        <v>63</v>
      </c>
      <c r="AR1257">
        <f t="shared" si="589"/>
        <v>49</v>
      </c>
      <c r="AS1257">
        <f t="shared" si="590"/>
        <v>163</v>
      </c>
      <c r="AT1257">
        <f t="shared" si="591"/>
        <v>149</v>
      </c>
      <c r="AU1257">
        <f t="shared" si="592"/>
        <v>117</v>
      </c>
      <c r="AV1257">
        <f t="shared" si="593"/>
        <v>105</v>
      </c>
      <c r="AW1257">
        <f t="shared" si="594"/>
        <v>91</v>
      </c>
      <c r="AX1257">
        <f t="shared" si="595"/>
        <v>132</v>
      </c>
      <c r="AY1257">
        <f t="shared" si="596"/>
        <v>120</v>
      </c>
      <c r="AZ1257">
        <f t="shared" si="597"/>
        <v>88</v>
      </c>
      <c r="BA1257">
        <f t="shared" si="598"/>
        <v>79</v>
      </c>
      <c r="BB1257">
        <f t="shared" si="599"/>
        <v>65</v>
      </c>
    </row>
    <row r="1258" spans="1:54" x14ac:dyDescent="0.15">
      <c r="A1258">
        <v>864</v>
      </c>
      <c r="B1258" t="s">
        <v>4422</v>
      </c>
      <c r="C1258">
        <v>973</v>
      </c>
      <c r="D1258">
        <v>0</v>
      </c>
      <c r="E1258" t="s">
        <v>4423</v>
      </c>
      <c r="G1258" t="s">
        <v>4423</v>
      </c>
      <c r="H1258" t="s">
        <v>4424</v>
      </c>
      <c r="J1258" t="s">
        <v>4425</v>
      </c>
      <c r="K1258">
        <v>37</v>
      </c>
      <c r="L1258">
        <v>1.6</v>
      </c>
      <c r="M1258" t="s">
        <v>57</v>
      </c>
      <c r="N1258" t="s">
        <v>354</v>
      </c>
      <c r="O1258" t="s">
        <v>499</v>
      </c>
      <c r="P1258" t="s">
        <v>122</v>
      </c>
      <c r="Q1258" t="s">
        <v>4426</v>
      </c>
      <c r="R1258">
        <v>9</v>
      </c>
      <c r="S1258">
        <v>82</v>
      </c>
      <c r="T1258">
        <v>115</v>
      </c>
      <c r="U1258">
        <v>74</v>
      </c>
      <c r="V1258">
        <v>75</v>
      </c>
      <c r="W1258">
        <v>64</v>
      </c>
      <c r="X1258">
        <v>90</v>
      </c>
      <c r="Y1258">
        <f t="shared" si="570"/>
        <v>189</v>
      </c>
      <c r="Z1258">
        <f t="shared" si="571"/>
        <v>189</v>
      </c>
      <c r="AA1258">
        <f t="shared" si="572"/>
        <v>157</v>
      </c>
      <c r="AB1258">
        <f t="shared" si="573"/>
        <v>157</v>
      </c>
      <c r="AC1258">
        <f t="shared" si="574"/>
        <v>142</v>
      </c>
      <c r="AD1258">
        <f t="shared" si="575"/>
        <v>183</v>
      </c>
      <c r="AE1258">
        <f t="shared" si="576"/>
        <v>167</v>
      </c>
      <c r="AF1258">
        <f t="shared" si="577"/>
        <v>135</v>
      </c>
      <c r="AG1258">
        <f t="shared" si="578"/>
        <v>121</v>
      </c>
      <c r="AH1258">
        <f t="shared" si="579"/>
        <v>108</v>
      </c>
      <c r="AI1258">
        <f t="shared" si="580"/>
        <v>138</v>
      </c>
      <c r="AJ1258">
        <f t="shared" si="581"/>
        <v>126</v>
      </c>
      <c r="AK1258">
        <f t="shared" si="582"/>
        <v>94</v>
      </c>
      <c r="AL1258">
        <f t="shared" si="583"/>
        <v>84</v>
      </c>
      <c r="AM1258">
        <f t="shared" si="584"/>
        <v>71</v>
      </c>
      <c r="AN1258">
        <f t="shared" si="585"/>
        <v>139</v>
      </c>
      <c r="AO1258">
        <f t="shared" si="586"/>
        <v>127</v>
      </c>
      <c r="AP1258">
        <f t="shared" si="587"/>
        <v>95</v>
      </c>
      <c r="AQ1258">
        <f t="shared" si="588"/>
        <v>85</v>
      </c>
      <c r="AR1258">
        <f t="shared" si="589"/>
        <v>72</v>
      </c>
      <c r="AS1258">
        <f t="shared" si="590"/>
        <v>127</v>
      </c>
      <c r="AT1258">
        <f t="shared" si="591"/>
        <v>116</v>
      </c>
      <c r="AU1258">
        <f t="shared" si="592"/>
        <v>84</v>
      </c>
      <c r="AV1258">
        <f t="shared" si="593"/>
        <v>75</v>
      </c>
      <c r="AW1258">
        <f t="shared" si="594"/>
        <v>62</v>
      </c>
      <c r="AX1258">
        <f t="shared" si="595"/>
        <v>156</v>
      </c>
      <c r="AY1258">
        <f t="shared" si="596"/>
        <v>142</v>
      </c>
      <c r="AZ1258">
        <f t="shared" si="597"/>
        <v>110</v>
      </c>
      <c r="BA1258">
        <f t="shared" si="598"/>
        <v>99</v>
      </c>
      <c r="BB1258">
        <f t="shared" si="599"/>
        <v>85</v>
      </c>
    </row>
    <row r="1259" spans="1:54" x14ac:dyDescent="0.15">
      <c r="A1259">
        <v>845</v>
      </c>
      <c r="B1259" t="s">
        <v>4427</v>
      </c>
      <c r="C1259">
        <v>974</v>
      </c>
      <c r="D1259">
        <v>0</v>
      </c>
      <c r="E1259" t="s">
        <v>4428</v>
      </c>
      <c r="G1259" t="s">
        <v>4428</v>
      </c>
      <c r="H1259" t="s">
        <v>4429</v>
      </c>
      <c r="J1259" t="s">
        <v>4430</v>
      </c>
      <c r="K1259">
        <v>45</v>
      </c>
      <c r="L1259">
        <v>1.2</v>
      </c>
      <c r="M1259" t="s">
        <v>202</v>
      </c>
      <c r="O1259" t="s">
        <v>38</v>
      </c>
      <c r="P1259" t="s">
        <v>204</v>
      </c>
      <c r="Q1259" t="s">
        <v>222</v>
      </c>
      <c r="R1259">
        <v>9</v>
      </c>
      <c r="S1259">
        <v>108</v>
      </c>
      <c r="T1259">
        <v>68</v>
      </c>
      <c r="U1259">
        <v>45</v>
      </c>
      <c r="V1259">
        <v>30</v>
      </c>
      <c r="W1259">
        <v>40</v>
      </c>
      <c r="X1259">
        <v>43</v>
      </c>
      <c r="Y1259">
        <f t="shared" si="570"/>
        <v>215</v>
      </c>
      <c r="Z1259">
        <f t="shared" si="571"/>
        <v>215</v>
      </c>
      <c r="AA1259">
        <f t="shared" si="572"/>
        <v>183</v>
      </c>
      <c r="AB1259">
        <f t="shared" si="573"/>
        <v>183</v>
      </c>
      <c r="AC1259">
        <f t="shared" si="574"/>
        <v>168</v>
      </c>
      <c r="AD1259">
        <f t="shared" si="575"/>
        <v>132</v>
      </c>
      <c r="AE1259">
        <f t="shared" si="576"/>
        <v>120</v>
      </c>
      <c r="AF1259">
        <f t="shared" si="577"/>
        <v>88</v>
      </c>
      <c r="AG1259">
        <f t="shared" si="578"/>
        <v>79</v>
      </c>
      <c r="AH1259">
        <f t="shared" si="579"/>
        <v>65</v>
      </c>
      <c r="AI1259">
        <f t="shared" si="580"/>
        <v>106</v>
      </c>
      <c r="AJ1259">
        <f t="shared" si="581"/>
        <v>97</v>
      </c>
      <c r="AK1259">
        <f t="shared" si="582"/>
        <v>65</v>
      </c>
      <c r="AL1259">
        <f t="shared" si="583"/>
        <v>58</v>
      </c>
      <c r="AM1259">
        <f t="shared" si="584"/>
        <v>45</v>
      </c>
      <c r="AN1259">
        <f t="shared" si="585"/>
        <v>90</v>
      </c>
      <c r="AO1259">
        <f t="shared" si="586"/>
        <v>82</v>
      </c>
      <c r="AP1259">
        <f t="shared" si="587"/>
        <v>50</v>
      </c>
      <c r="AQ1259">
        <f t="shared" si="588"/>
        <v>45</v>
      </c>
      <c r="AR1259">
        <f t="shared" si="589"/>
        <v>31</v>
      </c>
      <c r="AS1259">
        <f t="shared" si="590"/>
        <v>101</v>
      </c>
      <c r="AT1259">
        <f t="shared" si="591"/>
        <v>92</v>
      </c>
      <c r="AU1259">
        <f t="shared" si="592"/>
        <v>60</v>
      </c>
      <c r="AV1259">
        <f t="shared" si="593"/>
        <v>54</v>
      </c>
      <c r="AW1259">
        <f t="shared" si="594"/>
        <v>40</v>
      </c>
      <c r="AX1259">
        <f t="shared" si="595"/>
        <v>104</v>
      </c>
      <c r="AY1259">
        <f t="shared" si="596"/>
        <v>95</v>
      </c>
      <c r="AZ1259">
        <f t="shared" si="597"/>
        <v>63</v>
      </c>
      <c r="BA1259">
        <f t="shared" si="598"/>
        <v>56</v>
      </c>
      <c r="BB1259">
        <f t="shared" si="599"/>
        <v>43</v>
      </c>
    </row>
    <row r="1260" spans="1:54" x14ac:dyDescent="0.15">
      <c r="A1260">
        <v>846</v>
      </c>
      <c r="B1260" t="s">
        <v>4431</v>
      </c>
      <c r="C1260">
        <v>975</v>
      </c>
      <c r="D1260">
        <v>0</v>
      </c>
      <c r="E1260" t="s">
        <v>4432</v>
      </c>
      <c r="G1260" t="s">
        <v>4432</v>
      </c>
      <c r="H1260" t="s">
        <v>4433</v>
      </c>
      <c r="J1260" t="s">
        <v>4430</v>
      </c>
      <c r="K1260">
        <v>700</v>
      </c>
      <c r="L1260">
        <v>4.5</v>
      </c>
      <c r="M1260" t="s">
        <v>202</v>
      </c>
      <c r="O1260" t="s">
        <v>38</v>
      </c>
      <c r="P1260" t="s">
        <v>205</v>
      </c>
      <c r="Q1260" t="s">
        <v>222</v>
      </c>
      <c r="R1260">
        <v>9</v>
      </c>
      <c r="S1260">
        <v>170</v>
      </c>
      <c r="T1260">
        <v>113</v>
      </c>
      <c r="U1260">
        <v>65</v>
      </c>
      <c r="V1260">
        <v>45</v>
      </c>
      <c r="W1260">
        <v>55</v>
      </c>
      <c r="X1260">
        <v>73</v>
      </c>
      <c r="Y1260">
        <f t="shared" si="570"/>
        <v>277</v>
      </c>
      <c r="Z1260">
        <f t="shared" si="571"/>
        <v>277</v>
      </c>
      <c r="AA1260">
        <f t="shared" si="572"/>
        <v>245</v>
      </c>
      <c r="AB1260">
        <f t="shared" si="573"/>
        <v>245</v>
      </c>
      <c r="AC1260">
        <f t="shared" si="574"/>
        <v>230</v>
      </c>
      <c r="AD1260">
        <f t="shared" si="575"/>
        <v>181</v>
      </c>
      <c r="AE1260">
        <f t="shared" si="576"/>
        <v>165</v>
      </c>
      <c r="AF1260">
        <f t="shared" si="577"/>
        <v>133</v>
      </c>
      <c r="AG1260">
        <f t="shared" si="578"/>
        <v>119</v>
      </c>
      <c r="AH1260">
        <f t="shared" si="579"/>
        <v>106</v>
      </c>
      <c r="AI1260">
        <f t="shared" si="580"/>
        <v>128</v>
      </c>
      <c r="AJ1260">
        <f t="shared" si="581"/>
        <v>117</v>
      </c>
      <c r="AK1260">
        <f t="shared" si="582"/>
        <v>85</v>
      </c>
      <c r="AL1260">
        <f t="shared" si="583"/>
        <v>76</v>
      </c>
      <c r="AM1260">
        <f t="shared" si="584"/>
        <v>63</v>
      </c>
      <c r="AN1260">
        <f t="shared" si="585"/>
        <v>106</v>
      </c>
      <c r="AO1260">
        <f t="shared" si="586"/>
        <v>97</v>
      </c>
      <c r="AP1260">
        <f t="shared" si="587"/>
        <v>65</v>
      </c>
      <c r="AQ1260">
        <f t="shared" si="588"/>
        <v>58</v>
      </c>
      <c r="AR1260">
        <f t="shared" si="589"/>
        <v>45</v>
      </c>
      <c r="AS1260">
        <f t="shared" si="590"/>
        <v>117</v>
      </c>
      <c r="AT1260">
        <f t="shared" si="591"/>
        <v>107</v>
      </c>
      <c r="AU1260">
        <f t="shared" si="592"/>
        <v>75</v>
      </c>
      <c r="AV1260">
        <f t="shared" si="593"/>
        <v>67</v>
      </c>
      <c r="AW1260">
        <f t="shared" si="594"/>
        <v>54</v>
      </c>
      <c r="AX1260">
        <f t="shared" si="595"/>
        <v>137</v>
      </c>
      <c r="AY1260">
        <f t="shared" si="596"/>
        <v>125</v>
      </c>
      <c r="AZ1260">
        <f t="shared" si="597"/>
        <v>93</v>
      </c>
      <c r="BA1260">
        <f t="shared" si="598"/>
        <v>83</v>
      </c>
      <c r="BB1260">
        <f t="shared" si="599"/>
        <v>70</v>
      </c>
    </row>
    <row r="1261" spans="1:54" x14ac:dyDescent="0.15">
      <c r="A1261">
        <v>828</v>
      </c>
      <c r="B1261" t="s">
        <v>4434</v>
      </c>
      <c r="C1261">
        <v>976</v>
      </c>
      <c r="D1261">
        <v>0</v>
      </c>
      <c r="E1261" t="s">
        <v>4435</v>
      </c>
      <c r="G1261" t="s">
        <v>4435</v>
      </c>
      <c r="H1261" t="s">
        <v>4436</v>
      </c>
      <c r="J1261" t="s">
        <v>4437</v>
      </c>
      <c r="K1261">
        <v>90</v>
      </c>
      <c r="L1261">
        <v>2.5</v>
      </c>
      <c r="M1261" t="s">
        <v>71</v>
      </c>
      <c r="N1261" t="s">
        <v>191</v>
      </c>
      <c r="O1261" t="s">
        <v>713</v>
      </c>
      <c r="P1261" t="s">
        <v>2149</v>
      </c>
      <c r="R1261">
        <v>9</v>
      </c>
      <c r="S1261">
        <v>90</v>
      </c>
      <c r="T1261">
        <v>102</v>
      </c>
      <c r="U1261">
        <v>73</v>
      </c>
      <c r="V1261">
        <v>78</v>
      </c>
      <c r="W1261">
        <v>65</v>
      </c>
      <c r="X1261">
        <v>70</v>
      </c>
      <c r="Y1261">
        <f t="shared" si="570"/>
        <v>197</v>
      </c>
      <c r="Z1261">
        <f t="shared" si="571"/>
        <v>197</v>
      </c>
      <c r="AA1261">
        <f t="shared" si="572"/>
        <v>165</v>
      </c>
      <c r="AB1261">
        <f t="shared" si="573"/>
        <v>165</v>
      </c>
      <c r="AC1261">
        <f t="shared" si="574"/>
        <v>150</v>
      </c>
      <c r="AD1261">
        <f t="shared" si="575"/>
        <v>169</v>
      </c>
      <c r="AE1261">
        <f t="shared" si="576"/>
        <v>154</v>
      </c>
      <c r="AF1261">
        <f t="shared" si="577"/>
        <v>122</v>
      </c>
      <c r="AG1261">
        <f t="shared" si="578"/>
        <v>109</v>
      </c>
      <c r="AH1261">
        <f t="shared" si="579"/>
        <v>96</v>
      </c>
      <c r="AI1261">
        <f t="shared" si="580"/>
        <v>137</v>
      </c>
      <c r="AJ1261">
        <f t="shared" si="581"/>
        <v>125</v>
      </c>
      <c r="AK1261">
        <f t="shared" si="582"/>
        <v>93</v>
      </c>
      <c r="AL1261">
        <f t="shared" si="583"/>
        <v>83</v>
      </c>
      <c r="AM1261">
        <f t="shared" si="584"/>
        <v>70</v>
      </c>
      <c r="AN1261">
        <f t="shared" si="585"/>
        <v>143</v>
      </c>
      <c r="AO1261">
        <f t="shared" si="586"/>
        <v>130</v>
      </c>
      <c r="AP1261">
        <f t="shared" si="587"/>
        <v>98</v>
      </c>
      <c r="AQ1261">
        <f t="shared" si="588"/>
        <v>88</v>
      </c>
      <c r="AR1261">
        <f t="shared" si="589"/>
        <v>74</v>
      </c>
      <c r="AS1261">
        <f t="shared" si="590"/>
        <v>128</v>
      </c>
      <c r="AT1261">
        <f t="shared" si="591"/>
        <v>117</v>
      </c>
      <c r="AU1261">
        <f t="shared" si="592"/>
        <v>85</v>
      </c>
      <c r="AV1261">
        <f t="shared" si="593"/>
        <v>76</v>
      </c>
      <c r="AW1261">
        <f t="shared" si="594"/>
        <v>63</v>
      </c>
      <c r="AX1261">
        <f t="shared" si="595"/>
        <v>134</v>
      </c>
      <c r="AY1261">
        <f t="shared" si="596"/>
        <v>122</v>
      </c>
      <c r="AZ1261">
        <f t="shared" si="597"/>
        <v>90</v>
      </c>
      <c r="BA1261">
        <f t="shared" si="598"/>
        <v>81</v>
      </c>
      <c r="BB1261">
        <f t="shared" si="599"/>
        <v>67</v>
      </c>
    </row>
    <row r="1262" spans="1:54" x14ac:dyDescent="0.15">
      <c r="A1262">
        <v>827</v>
      </c>
      <c r="B1262" t="s">
        <v>4438</v>
      </c>
      <c r="C1262">
        <v>977</v>
      </c>
      <c r="D1262">
        <v>0</v>
      </c>
      <c r="E1262" t="s">
        <v>4439</v>
      </c>
      <c r="G1262" t="s">
        <v>4439</v>
      </c>
      <c r="H1262" t="s">
        <v>4440</v>
      </c>
      <c r="J1262" t="s">
        <v>4441</v>
      </c>
      <c r="K1262">
        <v>220</v>
      </c>
      <c r="L1262">
        <v>12</v>
      </c>
      <c r="M1262" t="s">
        <v>71</v>
      </c>
      <c r="O1262" t="s">
        <v>240</v>
      </c>
      <c r="P1262" t="s">
        <v>469</v>
      </c>
      <c r="Q1262" t="s">
        <v>677</v>
      </c>
      <c r="R1262">
        <v>9</v>
      </c>
      <c r="S1262">
        <v>150</v>
      </c>
      <c r="T1262">
        <v>100</v>
      </c>
      <c r="U1262">
        <v>115</v>
      </c>
      <c r="V1262">
        <v>65</v>
      </c>
      <c r="W1262">
        <v>65</v>
      </c>
      <c r="X1262">
        <v>35</v>
      </c>
      <c r="Y1262">
        <f t="shared" si="570"/>
        <v>257</v>
      </c>
      <c r="Z1262">
        <f t="shared" si="571"/>
        <v>257</v>
      </c>
      <c r="AA1262">
        <f t="shared" si="572"/>
        <v>225</v>
      </c>
      <c r="AB1262">
        <f t="shared" si="573"/>
        <v>225</v>
      </c>
      <c r="AC1262">
        <f t="shared" si="574"/>
        <v>210</v>
      </c>
      <c r="AD1262">
        <f t="shared" si="575"/>
        <v>167</v>
      </c>
      <c r="AE1262">
        <f t="shared" si="576"/>
        <v>152</v>
      </c>
      <c r="AF1262">
        <f t="shared" si="577"/>
        <v>120</v>
      </c>
      <c r="AG1262">
        <f t="shared" si="578"/>
        <v>108</v>
      </c>
      <c r="AH1262">
        <f t="shared" si="579"/>
        <v>94</v>
      </c>
      <c r="AI1262">
        <f t="shared" si="580"/>
        <v>183</v>
      </c>
      <c r="AJ1262">
        <f t="shared" si="581"/>
        <v>167</v>
      </c>
      <c r="AK1262">
        <f t="shared" si="582"/>
        <v>135</v>
      </c>
      <c r="AL1262">
        <f t="shared" si="583"/>
        <v>121</v>
      </c>
      <c r="AM1262">
        <f t="shared" si="584"/>
        <v>108</v>
      </c>
      <c r="AN1262">
        <f t="shared" si="585"/>
        <v>128</v>
      </c>
      <c r="AO1262">
        <f t="shared" si="586"/>
        <v>117</v>
      </c>
      <c r="AP1262">
        <f t="shared" si="587"/>
        <v>85</v>
      </c>
      <c r="AQ1262">
        <f t="shared" si="588"/>
        <v>76</v>
      </c>
      <c r="AR1262">
        <f t="shared" si="589"/>
        <v>63</v>
      </c>
      <c r="AS1262">
        <f t="shared" si="590"/>
        <v>128</v>
      </c>
      <c r="AT1262">
        <f t="shared" si="591"/>
        <v>117</v>
      </c>
      <c r="AU1262">
        <f t="shared" si="592"/>
        <v>85</v>
      </c>
      <c r="AV1262">
        <f t="shared" si="593"/>
        <v>76</v>
      </c>
      <c r="AW1262">
        <f t="shared" si="594"/>
        <v>63</v>
      </c>
      <c r="AX1262">
        <f t="shared" si="595"/>
        <v>95</v>
      </c>
      <c r="AY1262">
        <f t="shared" si="596"/>
        <v>87</v>
      </c>
      <c r="AZ1262">
        <f t="shared" si="597"/>
        <v>55</v>
      </c>
      <c r="BA1262">
        <f t="shared" si="598"/>
        <v>49</v>
      </c>
      <c r="BB1262">
        <f t="shared" si="599"/>
        <v>36</v>
      </c>
    </row>
    <row r="1263" spans="1:54" x14ac:dyDescent="0.15">
      <c r="A1263">
        <v>850</v>
      </c>
      <c r="B1263" t="s">
        <v>4442</v>
      </c>
      <c r="C1263">
        <v>978</v>
      </c>
      <c r="D1263">
        <v>0</v>
      </c>
      <c r="E1263" t="s">
        <v>4443</v>
      </c>
      <c r="F1263" t="s">
        <v>4444</v>
      </c>
      <c r="G1263" t="s">
        <v>4445</v>
      </c>
      <c r="H1263" t="s">
        <v>4446</v>
      </c>
      <c r="J1263" t="s">
        <v>4447</v>
      </c>
      <c r="K1263">
        <v>8</v>
      </c>
      <c r="L1263">
        <v>0.3</v>
      </c>
      <c r="M1263" t="s">
        <v>60</v>
      </c>
      <c r="N1263" t="s">
        <v>71</v>
      </c>
      <c r="O1263" t="s">
        <v>4448</v>
      </c>
      <c r="P1263" t="s">
        <v>1614</v>
      </c>
      <c r="R1263">
        <v>9</v>
      </c>
      <c r="S1263">
        <v>68</v>
      </c>
      <c r="T1263">
        <v>50</v>
      </c>
      <c r="U1263">
        <v>60</v>
      </c>
      <c r="V1263">
        <v>120</v>
      </c>
      <c r="W1263">
        <v>95</v>
      </c>
      <c r="X1263">
        <v>82</v>
      </c>
      <c r="Y1263">
        <f t="shared" si="570"/>
        <v>175</v>
      </c>
      <c r="Z1263">
        <f t="shared" si="571"/>
        <v>175</v>
      </c>
      <c r="AA1263">
        <f t="shared" si="572"/>
        <v>143</v>
      </c>
      <c r="AB1263">
        <f t="shared" si="573"/>
        <v>143</v>
      </c>
      <c r="AC1263">
        <f t="shared" si="574"/>
        <v>128</v>
      </c>
      <c r="AD1263">
        <f t="shared" si="575"/>
        <v>112</v>
      </c>
      <c r="AE1263">
        <f t="shared" si="576"/>
        <v>102</v>
      </c>
      <c r="AF1263">
        <f t="shared" si="577"/>
        <v>70</v>
      </c>
      <c r="AG1263">
        <f t="shared" si="578"/>
        <v>63</v>
      </c>
      <c r="AH1263">
        <f t="shared" si="579"/>
        <v>49</v>
      </c>
      <c r="AI1263">
        <f t="shared" si="580"/>
        <v>123</v>
      </c>
      <c r="AJ1263">
        <f t="shared" si="581"/>
        <v>112</v>
      </c>
      <c r="AK1263">
        <f t="shared" si="582"/>
        <v>80</v>
      </c>
      <c r="AL1263">
        <f t="shared" si="583"/>
        <v>72</v>
      </c>
      <c r="AM1263">
        <f t="shared" si="584"/>
        <v>58</v>
      </c>
      <c r="AN1263">
        <f t="shared" si="585"/>
        <v>189</v>
      </c>
      <c r="AO1263">
        <f t="shared" si="586"/>
        <v>172</v>
      </c>
      <c r="AP1263">
        <f t="shared" si="587"/>
        <v>140</v>
      </c>
      <c r="AQ1263">
        <f t="shared" si="588"/>
        <v>126</v>
      </c>
      <c r="AR1263">
        <f t="shared" si="589"/>
        <v>112</v>
      </c>
      <c r="AS1263">
        <f t="shared" si="590"/>
        <v>161</v>
      </c>
      <c r="AT1263">
        <f t="shared" si="591"/>
        <v>147</v>
      </c>
      <c r="AU1263">
        <f t="shared" si="592"/>
        <v>115</v>
      </c>
      <c r="AV1263">
        <f t="shared" si="593"/>
        <v>103</v>
      </c>
      <c r="AW1263">
        <f t="shared" si="594"/>
        <v>90</v>
      </c>
      <c r="AX1263">
        <f t="shared" si="595"/>
        <v>147</v>
      </c>
      <c r="AY1263">
        <f t="shared" si="596"/>
        <v>134</v>
      </c>
      <c r="AZ1263">
        <f t="shared" si="597"/>
        <v>102</v>
      </c>
      <c r="BA1263">
        <f t="shared" si="598"/>
        <v>91</v>
      </c>
      <c r="BB1263">
        <f t="shared" si="599"/>
        <v>78</v>
      </c>
    </row>
    <row r="1264" spans="1:54" x14ac:dyDescent="0.15">
      <c r="A1264">
        <v>851</v>
      </c>
      <c r="B1264" t="s">
        <v>4449</v>
      </c>
      <c r="C1264">
        <v>978</v>
      </c>
      <c r="D1264">
        <v>1</v>
      </c>
      <c r="E1264" t="s">
        <v>4443</v>
      </c>
      <c r="F1264" t="s">
        <v>4450</v>
      </c>
      <c r="G1264" t="s">
        <v>4451</v>
      </c>
      <c r="H1264" t="s">
        <v>4452</v>
      </c>
      <c r="J1264" t="s">
        <v>4447</v>
      </c>
      <c r="K1264">
        <v>8</v>
      </c>
      <c r="L1264">
        <v>0.3</v>
      </c>
      <c r="M1264" t="s">
        <v>60</v>
      </c>
      <c r="N1264" t="s">
        <v>71</v>
      </c>
      <c r="O1264" t="s">
        <v>4448</v>
      </c>
      <c r="P1264" t="s">
        <v>1614</v>
      </c>
      <c r="R1264">
        <v>9</v>
      </c>
      <c r="S1264">
        <v>68</v>
      </c>
      <c r="T1264">
        <v>50</v>
      </c>
      <c r="U1264">
        <v>60</v>
      </c>
      <c r="V1264">
        <v>120</v>
      </c>
      <c r="W1264">
        <v>95</v>
      </c>
      <c r="X1264">
        <v>82</v>
      </c>
      <c r="Y1264">
        <f t="shared" si="570"/>
        <v>175</v>
      </c>
      <c r="Z1264">
        <f t="shared" si="571"/>
        <v>175</v>
      </c>
      <c r="AA1264">
        <f t="shared" si="572"/>
        <v>143</v>
      </c>
      <c r="AB1264">
        <f t="shared" si="573"/>
        <v>143</v>
      </c>
      <c r="AC1264">
        <f t="shared" si="574"/>
        <v>128</v>
      </c>
      <c r="AD1264">
        <f t="shared" si="575"/>
        <v>112</v>
      </c>
      <c r="AE1264">
        <f t="shared" si="576"/>
        <v>102</v>
      </c>
      <c r="AF1264">
        <f t="shared" si="577"/>
        <v>70</v>
      </c>
      <c r="AG1264">
        <f t="shared" si="578"/>
        <v>63</v>
      </c>
      <c r="AH1264">
        <f t="shared" si="579"/>
        <v>49</v>
      </c>
      <c r="AI1264">
        <f t="shared" si="580"/>
        <v>123</v>
      </c>
      <c r="AJ1264">
        <f t="shared" si="581"/>
        <v>112</v>
      </c>
      <c r="AK1264">
        <f t="shared" si="582"/>
        <v>80</v>
      </c>
      <c r="AL1264">
        <f t="shared" si="583"/>
        <v>72</v>
      </c>
      <c r="AM1264">
        <f t="shared" si="584"/>
        <v>58</v>
      </c>
      <c r="AN1264">
        <f t="shared" si="585"/>
        <v>189</v>
      </c>
      <c r="AO1264">
        <f t="shared" si="586"/>
        <v>172</v>
      </c>
      <c r="AP1264">
        <f t="shared" si="587"/>
        <v>140</v>
      </c>
      <c r="AQ1264">
        <f t="shared" si="588"/>
        <v>126</v>
      </c>
      <c r="AR1264">
        <f t="shared" si="589"/>
        <v>112</v>
      </c>
      <c r="AS1264">
        <f t="shared" si="590"/>
        <v>161</v>
      </c>
      <c r="AT1264">
        <f t="shared" si="591"/>
        <v>147</v>
      </c>
      <c r="AU1264">
        <f t="shared" si="592"/>
        <v>115</v>
      </c>
      <c r="AV1264">
        <f t="shared" si="593"/>
        <v>103</v>
      </c>
      <c r="AW1264">
        <f t="shared" si="594"/>
        <v>90</v>
      </c>
      <c r="AX1264">
        <f t="shared" si="595"/>
        <v>147</v>
      </c>
      <c r="AY1264">
        <f t="shared" si="596"/>
        <v>134</v>
      </c>
      <c r="AZ1264">
        <f t="shared" si="597"/>
        <v>102</v>
      </c>
      <c r="BA1264">
        <f t="shared" si="598"/>
        <v>91</v>
      </c>
      <c r="BB1264">
        <f t="shared" si="599"/>
        <v>78</v>
      </c>
    </row>
    <row r="1265" spans="1:54" x14ac:dyDescent="0.15">
      <c r="A1265">
        <v>852</v>
      </c>
      <c r="B1265" t="s">
        <v>4453</v>
      </c>
      <c r="C1265">
        <v>978</v>
      </c>
      <c r="D1265">
        <v>2</v>
      </c>
      <c r="E1265" t="s">
        <v>4443</v>
      </c>
      <c r="F1265" t="s">
        <v>4454</v>
      </c>
      <c r="G1265" t="s">
        <v>4455</v>
      </c>
      <c r="H1265" t="s">
        <v>4456</v>
      </c>
      <c r="J1265" t="s">
        <v>4447</v>
      </c>
      <c r="K1265">
        <v>8</v>
      </c>
      <c r="L1265">
        <v>0.3</v>
      </c>
      <c r="M1265" t="s">
        <v>60</v>
      </c>
      <c r="N1265" t="s">
        <v>71</v>
      </c>
      <c r="O1265" t="s">
        <v>4448</v>
      </c>
      <c r="P1265" t="s">
        <v>1614</v>
      </c>
      <c r="R1265">
        <v>9</v>
      </c>
      <c r="S1265">
        <v>68</v>
      </c>
      <c r="T1265">
        <v>50</v>
      </c>
      <c r="U1265">
        <v>60</v>
      </c>
      <c r="V1265">
        <v>120</v>
      </c>
      <c r="W1265">
        <v>95</v>
      </c>
      <c r="X1265">
        <v>82</v>
      </c>
      <c r="Y1265">
        <f t="shared" si="570"/>
        <v>175</v>
      </c>
      <c r="Z1265">
        <f t="shared" si="571"/>
        <v>175</v>
      </c>
      <c r="AA1265">
        <f t="shared" si="572"/>
        <v>143</v>
      </c>
      <c r="AB1265">
        <f t="shared" si="573"/>
        <v>143</v>
      </c>
      <c r="AC1265">
        <f t="shared" si="574"/>
        <v>128</v>
      </c>
      <c r="AD1265">
        <f t="shared" si="575"/>
        <v>112</v>
      </c>
      <c r="AE1265">
        <f t="shared" si="576"/>
        <v>102</v>
      </c>
      <c r="AF1265">
        <f t="shared" si="577"/>
        <v>70</v>
      </c>
      <c r="AG1265">
        <f t="shared" si="578"/>
        <v>63</v>
      </c>
      <c r="AH1265">
        <f t="shared" si="579"/>
        <v>49</v>
      </c>
      <c r="AI1265">
        <f t="shared" si="580"/>
        <v>123</v>
      </c>
      <c r="AJ1265">
        <f t="shared" si="581"/>
        <v>112</v>
      </c>
      <c r="AK1265">
        <f t="shared" si="582"/>
        <v>80</v>
      </c>
      <c r="AL1265">
        <f t="shared" si="583"/>
        <v>72</v>
      </c>
      <c r="AM1265">
        <f t="shared" si="584"/>
        <v>58</v>
      </c>
      <c r="AN1265">
        <f t="shared" si="585"/>
        <v>189</v>
      </c>
      <c r="AO1265">
        <f t="shared" si="586"/>
        <v>172</v>
      </c>
      <c r="AP1265">
        <f t="shared" si="587"/>
        <v>140</v>
      </c>
      <c r="AQ1265">
        <f t="shared" si="588"/>
        <v>126</v>
      </c>
      <c r="AR1265">
        <f t="shared" si="589"/>
        <v>112</v>
      </c>
      <c r="AS1265">
        <f t="shared" si="590"/>
        <v>161</v>
      </c>
      <c r="AT1265">
        <f t="shared" si="591"/>
        <v>147</v>
      </c>
      <c r="AU1265">
        <f t="shared" si="592"/>
        <v>115</v>
      </c>
      <c r="AV1265">
        <f t="shared" si="593"/>
        <v>103</v>
      </c>
      <c r="AW1265">
        <f t="shared" si="594"/>
        <v>90</v>
      </c>
      <c r="AX1265">
        <f t="shared" si="595"/>
        <v>147</v>
      </c>
      <c r="AY1265">
        <f t="shared" si="596"/>
        <v>134</v>
      </c>
      <c r="AZ1265">
        <f t="shared" si="597"/>
        <v>102</v>
      </c>
      <c r="BA1265">
        <f t="shared" si="598"/>
        <v>91</v>
      </c>
      <c r="BB1265">
        <f t="shared" si="599"/>
        <v>78</v>
      </c>
    </row>
    <row r="1266" spans="1:54" x14ac:dyDescent="0.15">
      <c r="A1266">
        <v>919</v>
      </c>
      <c r="B1266" t="s">
        <v>4457</v>
      </c>
      <c r="C1266">
        <v>979</v>
      </c>
      <c r="D1266">
        <v>0</v>
      </c>
      <c r="E1266" t="s">
        <v>4458</v>
      </c>
      <c r="G1266" t="s">
        <v>4458</v>
      </c>
      <c r="H1266" t="s">
        <v>4459</v>
      </c>
      <c r="J1266" t="s">
        <v>4460</v>
      </c>
      <c r="K1266">
        <v>56</v>
      </c>
      <c r="L1266">
        <v>1.2</v>
      </c>
      <c r="M1266" t="s">
        <v>354</v>
      </c>
      <c r="N1266" t="s">
        <v>546</v>
      </c>
      <c r="O1266" t="s">
        <v>355</v>
      </c>
      <c r="P1266" t="s">
        <v>268</v>
      </c>
      <c r="Q1266" t="s">
        <v>357</v>
      </c>
      <c r="R1266">
        <v>9</v>
      </c>
      <c r="S1266">
        <v>110</v>
      </c>
      <c r="T1266">
        <v>115</v>
      </c>
      <c r="U1266">
        <v>80</v>
      </c>
      <c r="V1266">
        <v>50</v>
      </c>
      <c r="W1266">
        <v>90</v>
      </c>
      <c r="X1266">
        <v>90</v>
      </c>
      <c r="Y1266">
        <f t="shared" si="570"/>
        <v>217</v>
      </c>
      <c r="Z1266">
        <f t="shared" si="571"/>
        <v>217</v>
      </c>
      <c r="AA1266">
        <f t="shared" si="572"/>
        <v>185</v>
      </c>
      <c r="AB1266">
        <f t="shared" si="573"/>
        <v>185</v>
      </c>
      <c r="AC1266">
        <f t="shared" si="574"/>
        <v>170</v>
      </c>
      <c r="AD1266">
        <f t="shared" si="575"/>
        <v>183</v>
      </c>
      <c r="AE1266">
        <f t="shared" si="576"/>
        <v>167</v>
      </c>
      <c r="AF1266">
        <f t="shared" si="577"/>
        <v>135</v>
      </c>
      <c r="AG1266">
        <f t="shared" si="578"/>
        <v>121</v>
      </c>
      <c r="AH1266">
        <f t="shared" si="579"/>
        <v>108</v>
      </c>
      <c r="AI1266">
        <f t="shared" si="580"/>
        <v>145</v>
      </c>
      <c r="AJ1266">
        <f t="shared" si="581"/>
        <v>132</v>
      </c>
      <c r="AK1266">
        <f t="shared" si="582"/>
        <v>100</v>
      </c>
      <c r="AL1266">
        <f t="shared" si="583"/>
        <v>90</v>
      </c>
      <c r="AM1266">
        <f t="shared" si="584"/>
        <v>76</v>
      </c>
      <c r="AN1266">
        <f t="shared" si="585"/>
        <v>112</v>
      </c>
      <c r="AO1266">
        <f t="shared" si="586"/>
        <v>102</v>
      </c>
      <c r="AP1266">
        <f t="shared" si="587"/>
        <v>70</v>
      </c>
      <c r="AQ1266">
        <f t="shared" si="588"/>
        <v>63</v>
      </c>
      <c r="AR1266">
        <f t="shared" si="589"/>
        <v>49</v>
      </c>
      <c r="AS1266">
        <f t="shared" si="590"/>
        <v>156</v>
      </c>
      <c r="AT1266">
        <f t="shared" si="591"/>
        <v>142</v>
      </c>
      <c r="AU1266">
        <f t="shared" si="592"/>
        <v>110</v>
      </c>
      <c r="AV1266">
        <f t="shared" si="593"/>
        <v>99</v>
      </c>
      <c r="AW1266">
        <f t="shared" si="594"/>
        <v>85</v>
      </c>
      <c r="AX1266">
        <f t="shared" si="595"/>
        <v>156</v>
      </c>
      <c r="AY1266">
        <f t="shared" si="596"/>
        <v>142</v>
      </c>
      <c r="AZ1266">
        <f t="shared" si="597"/>
        <v>110</v>
      </c>
      <c r="BA1266">
        <f t="shared" si="598"/>
        <v>99</v>
      </c>
      <c r="BB1266">
        <f t="shared" si="599"/>
        <v>85</v>
      </c>
    </row>
    <row r="1267" spans="1:54" x14ac:dyDescent="0.15">
      <c r="A1267">
        <v>918</v>
      </c>
      <c r="B1267" t="s">
        <v>4461</v>
      </c>
      <c r="C1267">
        <v>980</v>
      </c>
      <c r="D1267">
        <v>0</v>
      </c>
      <c r="E1267" t="s">
        <v>4462</v>
      </c>
      <c r="G1267" t="s">
        <v>4462</v>
      </c>
      <c r="H1267" t="s">
        <v>4463</v>
      </c>
      <c r="J1267" t="s">
        <v>4464</v>
      </c>
      <c r="K1267">
        <v>223</v>
      </c>
      <c r="L1267">
        <v>1.8</v>
      </c>
      <c r="M1267" t="s">
        <v>27</v>
      </c>
      <c r="N1267" t="s">
        <v>196</v>
      </c>
      <c r="O1267" t="s">
        <v>215</v>
      </c>
      <c r="P1267" t="s">
        <v>383</v>
      </c>
      <c r="Q1267" t="s">
        <v>240</v>
      </c>
      <c r="R1267">
        <v>9</v>
      </c>
      <c r="S1267">
        <v>130</v>
      </c>
      <c r="T1267">
        <v>75</v>
      </c>
      <c r="U1267">
        <v>60</v>
      </c>
      <c r="V1267">
        <v>45</v>
      </c>
      <c r="W1267">
        <v>100</v>
      </c>
      <c r="X1267">
        <v>20</v>
      </c>
      <c r="Y1267">
        <f t="shared" si="570"/>
        <v>237</v>
      </c>
      <c r="Z1267">
        <f t="shared" si="571"/>
        <v>237</v>
      </c>
      <c r="AA1267">
        <f t="shared" si="572"/>
        <v>205</v>
      </c>
      <c r="AB1267">
        <f t="shared" si="573"/>
        <v>205</v>
      </c>
      <c r="AC1267">
        <f t="shared" si="574"/>
        <v>190</v>
      </c>
      <c r="AD1267">
        <f t="shared" si="575"/>
        <v>139</v>
      </c>
      <c r="AE1267">
        <f t="shared" si="576"/>
        <v>127</v>
      </c>
      <c r="AF1267">
        <f t="shared" si="577"/>
        <v>95</v>
      </c>
      <c r="AG1267">
        <f t="shared" si="578"/>
        <v>85</v>
      </c>
      <c r="AH1267">
        <f t="shared" si="579"/>
        <v>72</v>
      </c>
      <c r="AI1267">
        <f t="shared" si="580"/>
        <v>123</v>
      </c>
      <c r="AJ1267">
        <f t="shared" si="581"/>
        <v>112</v>
      </c>
      <c r="AK1267">
        <f t="shared" si="582"/>
        <v>80</v>
      </c>
      <c r="AL1267">
        <f t="shared" si="583"/>
        <v>72</v>
      </c>
      <c r="AM1267">
        <f t="shared" si="584"/>
        <v>58</v>
      </c>
      <c r="AN1267">
        <f t="shared" si="585"/>
        <v>106</v>
      </c>
      <c r="AO1267">
        <f t="shared" si="586"/>
        <v>97</v>
      </c>
      <c r="AP1267">
        <f t="shared" si="587"/>
        <v>65</v>
      </c>
      <c r="AQ1267">
        <f t="shared" si="588"/>
        <v>58</v>
      </c>
      <c r="AR1267">
        <f t="shared" si="589"/>
        <v>45</v>
      </c>
      <c r="AS1267">
        <f t="shared" si="590"/>
        <v>167</v>
      </c>
      <c r="AT1267">
        <f t="shared" si="591"/>
        <v>152</v>
      </c>
      <c r="AU1267">
        <f t="shared" si="592"/>
        <v>120</v>
      </c>
      <c r="AV1267">
        <f t="shared" si="593"/>
        <v>108</v>
      </c>
      <c r="AW1267">
        <f t="shared" si="594"/>
        <v>94</v>
      </c>
      <c r="AX1267">
        <f t="shared" si="595"/>
        <v>79</v>
      </c>
      <c r="AY1267">
        <f t="shared" si="596"/>
        <v>72</v>
      </c>
      <c r="AZ1267">
        <f t="shared" si="597"/>
        <v>40</v>
      </c>
      <c r="BA1267">
        <f t="shared" si="598"/>
        <v>36</v>
      </c>
      <c r="BB1267">
        <f t="shared" si="599"/>
        <v>22</v>
      </c>
    </row>
    <row r="1268" spans="1:54" x14ac:dyDescent="0.15">
      <c r="A1268">
        <v>823</v>
      </c>
      <c r="B1268" t="s">
        <v>4465</v>
      </c>
      <c r="C1268">
        <v>981</v>
      </c>
      <c r="D1268">
        <v>0</v>
      </c>
      <c r="E1268" t="s">
        <v>4466</v>
      </c>
      <c r="G1268" t="s">
        <v>4466</v>
      </c>
      <c r="H1268" t="s">
        <v>4467</v>
      </c>
      <c r="J1268" t="s">
        <v>1052</v>
      </c>
      <c r="K1268">
        <v>160</v>
      </c>
      <c r="L1268">
        <v>3.2</v>
      </c>
      <c r="M1268" t="s">
        <v>120</v>
      </c>
      <c r="N1268" t="s">
        <v>191</v>
      </c>
      <c r="O1268" t="s">
        <v>4468</v>
      </c>
      <c r="P1268" t="s">
        <v>4469</v>
      </c>
      <c r="Q1268" t="s">
        <v>965</v>
      </c>
      <c r="R1268">
        <v>9</v>
      </c>
      <c r="S1268">
        <v>120</v>
      </c>
      <c r="T1268">
        <v>90</v>
      </c>
      <c r="U1268">
        <v>70</v>
      </c>
      <c r="V1268">
        <v>110</v>
      </c>
      <c r="W1268">
        <v>70</v>
      </c>
      <c r="X1268">
        <v>60</v>
      </c>
      <c r="Y1268">
        <f t="shared" si="570"/>
        <v>227</v>
      </c>
      <c r="Z1268">
        <f t="shared" si="571"/>
        <v>227</v>
      </c>
      <c r="AA1268">
        <f t="shared" si="572"/>
        <v>195</v>
      </c>
      <c r="AB1268">
        <f t="shared" si="573"/>
        <v>195</v>
      </c>
      <c r="AC1268">
        <f t="shared" si="574"/>
        <v>180</v>
      </c>
      <c r="AD1268">
        <f t="shared" si="575"/>
        <v>156</v>
      </c>
      <c r="AE1268">
        <f t="shared" si="576"/>
        <v>142</v>
      </c>
      <c r="AF1268">
        <f t="shared" si="577"/>
        <v>110</v>
      </c>
      <c r="AG1268">
        <f t="shared" si="578"/>
        <v>99</v>
      </c>
      <c r="AH1268">
        <f t="shared" si="579"/>
        <v>85</v>
      </c>
      <c r="AI1268">
        <f t="shared" si="580"/>
        <v>134</v>
      </c>
      <c r="AJ1268">
        <f t="shared" si="581"/>
        <v>122</v>
      </c>
      <c r="AK1268">
        <f t="shared" si="582"/>
        <v>90</v>
      </c>
      <c r="AL1268">
        <f t="shared" si="583"/>
        <v>81</v>
      </c>
      <c r="AM1268">
        <f t="shared" si="584"/>
        <v>67</v>
      </c>
      <c r="AN1268">
        <f t="shared" si="585"/>
        <v>178</v>
      </c>
      <c r="AO1268">
        <f t="shared" si="586"/>
        <v>162</v>
      </c>
      <c r="AP1268">
        <f t="shared" si="587"/>
        <v>130</v>
      </c>
      <c r="AQ1268">
        <f t="shared" si="588"/>
        <v>117</v>
      </c>
      <c r="AR1268">
        <f t="shared" si="589"/>
        <v>103</v>
      </c>
      <c r="AS1268">
        <f t="shared" si="590"/>
        <v>134</v>
      </c>
      <c r="AT1268">
        <f t="shared" si="591"/>
        <v>122</v>
      </c>
      <c r="AU1268">
        <f t="shared" si="592"/>
        <v>90</v>
      </c>
      <c r="AV1268">
        <f t="shared" si="593"/>
        <v>81</v>
      </c>
      <c r="AW1268">
        <f t="shared" si="594"/>
        <v>67</v>
      </c>
      <c r="AX1268">
        <f t="shared" si="595"/>
        <v>123</v>
      </c>
      <c r="AY1268">
        <f t="shared" si="596"/>
        <v>112</v>
      </c>
      <c r="AZ1268">
        <f t="shared" si="597"/>
        <v>80</v>
      </c>
      <c r="BA1268">
        <f t="shared" si="598"/>
        <v>72</v>
      </c>
      <c r="BB1268">
        <f t="shared" si="599"/>
        <v>58</v>
      </c>
    </row>
    <row r="1269" spans="1:54" x14ac:dyDescent="0.15">
      <c r="A1269">
        <v>812</v>
      </c>
      <c r="B1269" t="s">
        <v>4470</v>
      </c>
      <c r="C1269">
        <v>982</v>
      </c>
      <c r="D1269">
        <v>0</v>
      </c>
      <c r="E1269" t="s">
        <v>4471</v>
      </c>
      <c r="G1269" t="s">
        <v>4471</v>
      </c>
      <c r="H1269" t="s">
        <v>4472</v>
      </c>
      <c r="J1269" t="s">
        <v>1063</v>
      </c>
      <c r="K1269">
        <v>39.200000000000003</v>
      </c>
      <c r="L1269">
        <v>3.6</v>
      </c>
      <c r="M1269" t="s">
        <v>120</v>
      </c>
      <c r="O1269" t="s">
        <v>655</v>
      </c>
      <c r="P1269" t="s">
        <v>92</v>
      </c>
      <c r="Q1269" t="s">
        <v>736</v>
      </c>
      <c r="R1269">
        <v>9</v>
      </c>
      <c r="S1269">
        <v>125</v>
      </c>
      <c r="T1269">
        <v>100</v>
      </c>
      <c r="U1269">
        <v>80</v>
      </c>
      <c r="V1269">
        <v>85</v>
      </c>
      <c r="W1269">
        <v>75</v>
      </c>
      <c r="X1269">
        <v>55</v>
      </c>
      <c r="Y1269">
        <f t="shared" si="570"/>
        <v>232</v>
      </c>
      <c r="Z1269">
        <f t="shared" si="571"/>
        <v>232</v>
      </c>
      <c r="AA1269">
        <f t="shared" si="572"/>
        <v>200</v>
      </c>
      <c r="AB1269">
        <f t="shared" si="573"/>
        <v>200</v>
      </c>
      <c r="AC1269">
        <f t="shared" si="574"/>
        <v>185</v>
      </c>
      <c r="AD1269">
        <f t="shared" si="575"/>
        <v>167</v>
      </c>
      <c r="AE1269">
        <f t="shared" si="576"/>
        <v>152</v>
      </c>
      <c r="AF1269">
        <f t="shared" si="577"/>
        <v>120</v>
      </c>
      <c r="AG1269">
        <f t="shared" si="578"/>
        <v>108</v>
      </c>
      <c r="AH1269">
        <f t="shared" si="579"/>
        <v>94</v>
      </c>
      <c r="AI1269">
        <f t="shared" si="580"/>
        <v>145</v>
      </c>
      <c r="AJ1269">
        <f t="shared" si="581"/>
        <v>132</v>
      </c>
      <c r="AK1269">
        <f t="shared" si="582"/>
        <v>100</v>
      </c>
      <c r="AL1269">
        <f t="shared" si="583"/>
        <v>90</v>
      </c>
      <c r="AM1269">
        <f t="shared" si="584"/>
        <v>76</v>
      </c>
      <c r="AN1269">
        <f t="shared" si="585"/>
        <v>150</v>
      </c>
      <c r="AO1269">
        <f t="shared" si="586"/>
        <v>137</v>
      </c>
      <c r="AP1269">
        <f t="shared" si="587"/>
        <v>105</v>
      </c>
      <c r="AQ1269">
        <f t="shared" si="588"/>
        <v>94</v>
      </c>
      <c r="AR1269">
        <f t="shared" si="589"/>
        <v>81</v>
      </c>
      <c r="AS1269">
        <f t="shared" si="590"/>
        <v>139</v>
      </c>
      <c r="AT1269">
        <f t="shared" si="591"/>
        <v>127</v>
      </c>
      <c r="AU1269">
        <f t="shared" si="592"/>
        <v>95</v>
      </c>
      <c r="AV1269">
        <f t="shared" si="593"/>
        <v>85</v>
      </c>
      <c r="AW1269">
        <f t="shared" si="594"/>
        <v>72</v>
      </c>
      <c r="AX1269">
        <f t="shared" si="595"/>
        <v>117</v>
      </c>
      <c r="AY1269">
        <f t="shared" si="596"/>
        <v>107</v>
      </c>
      <c r="AZ1269">
        <f t="shared" si="597"/>
        <v>75</v>
      </c>
      <c r="BA1269">
        <f t="shared" si="598"/>
        <v>67</v>
      </c>
      <c r="BB1269">
        <f t="shared" si="599"/>
        <v>54</v>
      </c>
    </row>
    <row r="1270" spans="1:54" x14ac:dyDescent="0.15">
      <c r="A1270">
        <v>917</v>
      </c>
      <c r="B1270" t="s">
        <v>4473</v>
      </c>
      <c r="C1270">
        <v>983</v>
      </c>
      <c r="D1270">
        <v>0</v>
      </c>
      <c r="E1270" t="s">
        <v>4474</v>
      </c>
      <c r="G1270" t="s">
        <v>4474</v>
      </c>
      <c r="H1270" t="s">
        <v>4475</v>
      </c>
      <c r="J1270" t="s">
        <v>4476</v>
      </c>
      <c r="K1270">
        <v>120</v>
      </c>
      <c r="L1270">
        <v>2</v>
      </c>
      <c r="M1270" t="s">
        <v>140</v>
      </c>
      <c r="N1270" t="s">
        <v>203</v>
      </c>
      <c r="O1270" t="s">
        <v>357</v>
      </c>
      <c r="P1270" t="s">
        <v>4477</v>
      </c>
      <c r="Q1270" t="s">
        <v>792</v>
      </c>
      <c r="R1270">
        <v>9</v>
      </c>
      <c r="S1270">
        <v>100</v>
      </c>
      <c r="T1270">
        <v>135</v>
      </c>
      <c r="U1270">
        <v>120</v>
      </c>
      <c r="V1270">
        <v>60</v>
      </c>
      <c r="W1270">
        <v>85</v>
      </c>
      <c r="X1270">
        <v>50</v>
      </c>
      <c r="Y1270">
        <f t="shared" si="570"/>
        <v>207</v>
      </c>
      <c r="Z1270">
        <f t="shared" si="571"/>
        <v>207</v>
      </c>
      <c r="AA1270">
        <f t="shared" si="572"/>
        <v>175</v>
      </c>
      <c r="AB1270">
        <f t="shared" si="573"/>
        <v>175</v>
      </c>
      <c r="AC1270">
        <f t="shared" si="574"/>
        <v>160</v>
      </c>
      <c r="AD1270">
        <f t="shared" si="575"/>
        <v>205</v>
      </c>
      <c r="AE1270">
        <f t="shared" si="576"/>
        <v>187</v>
      </c>
      <c r="AF1270">
        <f t="shared" si="577"/>
        <v>155</v>
      </c>
      <c r="AG1270">
        <f t="shared" si="578"/>
        <v>139</v>
      </c>
      <c r="AH1270">
        <f t="shared" si="579"/>
        <v>126</v>
      </c>
      <c r="AI1270">
        <f t="shared" si="580"/>
        <v>189</v>
      </c>
      <c r="AJ1270">
        <f t="shared" si="581"/>
        <v>172</v>
      </c>
      <c r="AK1270">
        <f t="shared" si="582"/>
        <v>140</v>
      </c>
      <c r="AL1270">
        <f t="shared" si="583"/>
        <v>126</v>
      </c>
      <c r="AM1270">
        <f t="shared" si="584"/>
        <v>112</v>
      </c>
      <c r="AN1270">
        <f t="shared" si="585"/>
        <v>123</v>
      </c>
      <c r="AO1270">
        <f t="shared" si="586"/>
        <v>112</v>
      </c>
      <c r="AP1270">
        <f t="shared" si="587"/>
        <v>80</v>
      </c>
      <c r="AQ1270">
        <f t="shared" si="588"/>
        <v>72</v>
      </c>
      <c r="AR1270">
        <f t="shared" si="589"/>
        <v>58</v>
      </c>
      <c r="AS1270">
        <f t="shared" si="590"/>
        <v>150</v>
      </c>
      <c r="AT1270">
        <f t="shared" si="591"/>
        <v>137</v>
      </c>
      <c r="AU1270">
        <f t="shared" si="592"/>
        <v>105</v>
      </c>
      <c r="AV1270">
        <f t="shared" si="593"/>
        <v>94</v>
      </c>
      <c r="AW1270">
        <f t="shared" si="594"/>
        <v>81</v>
      </c>
      <c r="AX1270">
        <f t="shared" si="595"/>
        <v>112</v>
      </c>
      <c r="AY1270">
        <f t="shared" si="596"/>
        <v>102</v>
      </c>
      <c r="AZ1270">
        <f t="shared" si="597"/>
        <v>70</v>
      </c>
      <c r="BA1270">
        <f t="shared" si="598"/>
        <v>63</v>
      </c>
      <c r="BB1270">
        <f t="shared" si="599"/>
        <v>49</v>
      </c>
    </row>
    <row r="1271" spans="1:54" x14ac:dyDescent="0.15">
      <c r="A1271">
        <v>882</v>
      </c>
      <c r="B1271" t="s">
        <v>4478</v>
      </c>
      <c r="C1271">
        <v>984</v>
      </c>
      <c r="D1271">
        <v>0</v>
      </c>
      <c r="E1271" t="s">
        <v>4479</v>
      </c>
      <c r="G1271" t="s">
        <v>4479</v>
      </c>
      <c r="H1271" t="s">
        <v>4480</v>
      </c>
      <c r="J1271" t="s">
        <v>4481</v>
      </c>
      <c r="K1271">
        <v>320</v>
      </c>
      <c r="L1271">
        <v>2.2000000000000002</v>
      </c>
      <c r="M1271" t="s">
        <v>196</v>
      </c>
      <c r="N1271" t="s">
        <v>354</v>
      </c>
      <c r="O1271" t="s">
        <v>4482</v>
      </c>
      <c r="R1271">
        <v>9</v>
      </c>
      <c r="S1271">
        <v>115</v>
      </c>
      <c r="T1271">
        <v>131</v>
      </c>
      <c r="U1271">
        <v>131</v>
      </c>
      <c r="V1271">
        <v>53</v>
      </c>
      <c r="W1271">
        <v>53</v>
      </c>
      <c r="X1271">
        <v>87</v>
      </c>
      <c r="Y1271">
        <f t="shared" si="570"/>
        <v>222</v>
      </c>
      <c r="Z1271">
        <f t="shared" si="571"/>
        <v>222</v>
      </c>
      <c r="AA1271">
        <f t="shared" si="572"/>
        <v>190</v>
      </c>
      <c r="AB1271">
        <f t="shared" si="573"/>
        <v>190</v>
      </c>
      <c r="AC1271">
        <f t="shared" si="574"/>
        <v>175</v>
      </c>
      <c r="AD1271">
        <f t="shared" si="575"/>
        <v>201</v>
      </c>
      <c r="AE1271">
        <f t="shared" si="576"/>
        <v>183</v>
      </c>
      <c r="AF1271">
        <f t="shared" si="577"/>
        <v>151</v>
      </c>
      <c r="AG1271">
        <f t="shared" si="578"/>
        <v>135</v>
      </c>
      <c r="AH1271">
        <f t="shared" si="579"/>
        <v>122</v>
      </c>
      <c r="AI1271">
        <f t="shared" si="580"/>
        <v>201</v>
      </c>
      <c r="AJ1271">
        <f t="shared" si="581"/>
        <v>183</v>
      </c>
      <c r="AK1271">
        <f t="shared" si="582"/>
        <v>151</v>
      </c>
      <c r="AL1271">
        <f t="shared" si="583"/>
        <v>135</v>
      </c>
      <c r="AM1271">
        <f t="shared" si="584"/>
        <v>122</v>
      </c>
      <c r="AN1271">
        <f t="shared" si="585"/>
        <v>115</v>
      </c>
      <c r="AO1271">
        <f t="shared" si="586"/>
        <v>105</v>
      </c>
      <c r="AP1271">
        <f t="shared" si="587"/>
        <v>73</v>
      </c>
      <c r="AQ1271">
        <f t="shared" si="588"/>
        <v>65</v>
      </c>
      <c r="AR1271">
        <f t="shared" si="589"/>
        <v>52</v>
      </c>
      <c r="AS1271">
        <f t="shared" si="590"/>
        <v>115</v>
      </c>
      <c r="AT1271">
        <f t="shared" si="591"/>
        <v>105</v>
      </c>
      <c r="AU1271">
        <f t="shared" si="592"/>
        <v>73</v>
      </c>
      <c r="AV1271">
        <f t="shared" si="593"/>
        <v>65</v>
      </c>
      <c r="AW1271">
        <f t="shared" si="594"/>
        <v>52</v>
      </c>
      <c r="AX1271">
        <f t="shared" si="595"/>
        <v>152</v>
      </c>
      <c r="AY1271">
        <f t="shared" si="596"/>
        <v>139</v>
      </c>
      <c r="AZ1271">
        <f t="shared" si="597"/>
        <v>107</v>
      </c>
      <c r="BA1271">
        <f t="shared" si="598"/>
        <v>96</v>
      </c>
      <c r="BB1271">
        <f t="shared" si="599"/>
        <v>82</v>
      </c>
    </row>
    <row r="1272" spans="1:54" x14ac:dyDescent="0.15">
      <c r="A1272">
        <v>887</v>
      </c>
      <c r="B1272" t="s">
        <v>4483</v>
      </c>
      <c r="C1272">
        <v>985</v>
      </c>
      <c r="D1272">
        <v>0</v>
      </c>
      <c r="E1272" t="s">
        <v>4484</v>
      </c>
      <c r="G1272" t="s">
        <v>4484</v>
      </c>
      <c r="H1272" t="s">
        <v>4485</v>
      </c>
      <c r="J1272" t="s">
        <v>4481</v>
      </c>
      <c r="K1272">
        <v>8</v>
      </c>
      <c r="L1272">
        <v>1.2</v>
      </c>
      <c r="M1272" t="s">
        <v>233</v>
      </c>
      <c r="N1272" t="s">
        <v>191</v>
      </c>
      <c r="O1272" t="s">
        <v>4482</v>
      </c>
      <c r="R1272">
        <v>9</v>
      </c>
      <c r="S1272">
        <v>115</v>
      </c>
      <c r="T1272">
        <v>65</v>
      </c>
      <c r="U1272">
        <v>99</v>
      </c>
      <c r="V1272">
        <v>65</v>
      </c>
      <c r="W1272">
        <v>115</v>
      </c>
      <c r="X1272">
        <v>111</v>
      </c>
      <c r="Y1272">
        <f t="shared" si="570"/>
        <v>222</v>
      </c>
      <c r="Z1272">
        <f t="shared" si="571"/>
        <v>222</v>
      </c>
      <c r="AA1272">
        <f t="shared" si="572"/>
        <v>190</v>
      </c>
      <c r="AB1272">
        <f t="shared" si="573"/>
        <v>190</v>
      </c>
      <c r="AC1272">
        <f t="shared" si="574"/>
        <v>175</v>
      </c>
      <c r="AD1272">
        <f t="shared" si="575"/>
        <v>128</v>
      </c>
      <c r="AE1272">
        <f t="shared" si="576"/>
        <v>117</v>
      </c>
      <c r="AF1272">
        <f t="shared" si="577"/>
        <v>85</v>
      </c>
      <c r="AG1272">
        <f t="shared" si="578"/>
        <v>76</v>
      </c>
      <c r="AH1272">
        <f t="shared" si="579"/>
        <v>63</v>
      </c>
      <c r="AI1272">
        <f t="shared" si="580"/>
        <v>166</v>
      </c>
      <c r="AJ1272">
        <f t="shared" si="581"/>
        <v>151</v>
      </c>
      <c r="AK1272">
        <f t="shared" si="582"/>
        <v>119</v>
      </c>
      <c r="AL1272">
        <f t="shared" si="583"/>
        <v>107</v>
      </c>
      <c r="AM1272">
        <f t="shared" si="584"/>
        <v>93</v>
      </c>
      <c r="AN1272">
        <f t="shared" si="585"/>
        <v>128</v>
      </c>
      <c r="AO1272">
        <f t="shared" si="586"/>
        <v>117</v>
      </c>
      <c r="AP1272">
        <f t="shared" si="587"/>
        <v>85</v>
      </c>
      <c r="AQ1272">
        <f t="shared" si="588"/>
        <v>76</v>
      </c>
      <c r="AR1272">
        <f t="shared" si="589"/>
        <v>63</v>
      </c>
      <c r="AS1272">
        <f t="shared" si="590"/>
        <v>183</v>
      </c>
      <c r="AT1272">
        <f t="shared" si="591"/>
        <v>167</v>
      </c>
      <c r="AU1272">
        <f t="shared" si="592"/>
        <v>135</v>
      </c>
      <c r="AV1272">
        <f t="shared" si="593"/>
        <v>121</v>
      </c>
      <c r="AW1272">
        <f t="shared" si="594"/>
        <v>108</v>
      </c>
      <c r="AX1272">
        <f t="shared" si="595"/>
        <v>179</v>
      </c>
      <c r="AY1272">
        <f t="shared" si="596"/>
        <v>163</v>
      </c>
      <c r="AZ1272">
        <f t="shared" si="597"/>
        <v>131</v>
      </c>
      <c r="BA1272">
        <f t="shared" si="598"/>
        <v>117</v>
      </c>
      <c r="BB1272">
        <f t="shared" si="599"/>
        <v>104</v>
      </c>
    </row>
    <row r="1273" spans="1:54" x14ac:dyDescent="0.15">
      <c r="A1273">
        <v>883</v>
      </c>
      <c r="B1273" t="s">
        <v>4486</v>
      </c>
      <c r="C1273">
        <v>986</v>
      </c>
      <c r="D1273">
        <v>0</v>
      </c>
      <c r="E1273" t="s">
        <v>4487</v>
      </c>
      <c r="G1273" t="s">
        <v>4487</v>
      </c>
      <c r="H1273" t="s">
        <v>4488</v>
      </c>
      <c r="J1273" t="s">
        <v>4481</v>
      </c>
      <c r="K1273">
        <v>21</v>
      </c>
      <c r="L1273">
        <v>1.2</v>
      </c>
      <c r="M1273" t="s">
        <v>26</v>
      </c>
      <c r="N1273" t="s">
        <v>140</v>
      </c>
      <c r="O1273" t="s">
        <v>4482</v>
      </c>
      <c r="R1273">
        <v>9</v>
      </c>
      <c r="S1273">
        <v>111</v>
      </c>
      <c r="T1273">
        <v>127</v>
      </c>
      <c r="U1273">
        <v>99</v>
      </c>
      <c r="V1273">
        <v>79</v>
      </c>
      <c r="W1273">
        <v>99</v>
      </c>
      <c r="X1273">
        <v>55</v>
      </c>
      <c r="Y1273">
        <f t="shared" si="570"/>
        <v>218</v>
      </c>
      <c r="Z1273">
        <f t="shared" si="571"/>
        <v>218</v>
      </c>
      <c r="AA1273">
        <f t="shared" si="572"/>
        <v>186</v>
      </c>
      <c r="AB1273">
        <f t="shared" si="573"/>
        <v>186</v>
      </c>
      <c r="AC1273">
        <f t="shared" si="574"/>
        <v>171</v>
      </c>
      <c r="AD1273">
        <f t="shared" si="575"/>
        <v>196</v>
      </c>
      <c r="AE1273">
        <f t="shared" si="576"/>
        <v>179</v>
      </c>
      <c r="AF1273">
        <f t="shared" si="577"/>
        <v>147</v>
      </c>
      <c r="AG1273">
        <f t="shared" si="578"/>
        <v>132</v>
      </c>
      <c r="AH1273">
        <f t="shared" si="579"/>
        <v>118</v>
      </c>
      <c r="AI1273">
        <f t="shared" si="580"/>
        <v>166</v>
      </c>
      <c r="AJ1273">
        <f t="shared" si="581"/>
        <v>151</v>
      </c>
      <c r="AK1273">
        <f t="shared" si="582"/>
        <v>119</v>
      </c>
      <c r="AL1273">
        <f t="shared" si="583"/>
        <v>107</v>
      </c>
      <c r="AM1273">
        <f t="shared" si="584"/>
        <v>93</v>
      </c>
      <c r="AN1273">
        <f t="shared" si="585"/>
        <v>144</v>
      </c>
      <c r="AO1273">
        <f t="shared" si="586"/>
        <v>131</v>
      </c>
      <c r="AP1273">
        <f t="shared" si="587"/>
        <v>99</v>
      </c>
      <c r="AQ1273">
        <f t="shared" si="588"/>
        <v>89</v>
      </c>
      <c r="AR1273">
        <f t="shared" si="589"/>
        <v>75</v>
      </c>
      <c r="AS1273">
        <f t="shared" si="590"/>
        <v>166</v>
      </c>
      <c r="AT1273">
        <f t="shared" si="591"/>
        <v>151</v>
      </c>
      <c r="AU1273">
        <f t="shared" si="592"/>
        <v>119</v>
      </c>
      <c r="AV1273">
        <f t="shared" si="593"/>
        <v>107</v>
      </c>
      <c r="AW1273">
        <f t="shared" si="594"/>
        <v>93</v>
      </c>
      <c r="AX1273">
        <f t="shared" si="595"/>
        <v>117</v>
      </c>
      <c r="AY1273">
        <f t="shared" si="596"/>
        <v>107</v>
      </c>
      <c r="AZ1273">
        <f t="shared" si="597"/>
        <v>75</v>
      </c>
      <c r="BA1273">
        <f t="shared" si="598"/>
        <v>67</v>
      </c>
      <c r="BB1273">
        <f t="shared" si="599"/>
        <v>54</v>
      </c>
    </row>
    <row r="1274" spans="1:54" x14ac:dyDescent="0.15">
      <c r="A1274">
        <v>888</v>
      </c>
      <c r="B1274" t="s">
        <v>4489</v>
      </c>
      <c r="C1274">
        <v>987</v>
      </c>
      <c r="D1274">
        <v>0</v>
      </c>
      <c r="E1274" t="s">
        <v>4490</v>
      </c>
      <c r="G1274" t="s">
        <v>4490</v>
      </c>
      <c r="H1274" t="s">
        <v>4491</v>
      </c>
      <c r="J1274" t="s">
        <v>4481</v>
      </c>
      <c r="K1274">
        <v>4</v>
      </c>
      <c r="L1274">
        <v>1.4</v>
      </c>
      <c r="M1274" t="s">
        <v>546</v>
      </c>
      <c r="N1274" t="s">
        <v>233</v>
      </c>
      <c r="O1274" t="s">
        <v>4482</v>
      </c>
      <c r="R1274">
        <v>9</v>
      </c>
      <c r="S1274">
        <v>55</v>
      </c>
      <c r="T1274">
        <v>55</v>
      </c>
      <c r="U1274">
        <v>55</v>
      </c>
      <c r="V1274">
        <v>135</v>
      </c>
      <c r="W1274">
        <v>135</v>
      </c>
      <c r="X1274">
        <v>135</v>
      </c>
      <c r="Y1274">
        <f t="shared" si="570"/>
        <v>162</v>
      </c>
      <c r="Z1274">
        <f t="shared" si="571"/>
        <v>162</v>
      </c>
      <c r="AA1274">
        <f t="shared" si="572"/>
        <v>130</v>
      </c>
      <c r="AB1274">
        <f t="shared" si="573"/>
        <v>130</v>
      </c>
      <c r="AC1274">
        <f t="shared" si="574"/>
        <v>115</v>
      </c>
      <c r="AD1274">
        <f t="shared" si="575"/>
        <v>117</v>
      </c>
      <c r="AE1274">
        <f t="shared" si="576"/>
        <v>107</v>
      </c>
      <c r="AF1274">
        <f t="shared" si="577"/>
        <v>75</v>
      </c>
      <c r="AG1274">
        <f t="shared" si="578"/>
        <v>67</v>
      </c>
      <c r="AH1274">
        <f t="shared" si="579"/>
        <v>54</v>
      </c>
      <c r="AI1274">
        <f t="shared" si="580"/>
        <v>117</v>
      </c>
      <c r="AJ1274">
        <f t="shared" si="581"/>
        <v>107</v>
      </c>
      <c r="AK1274">
        <f t="shared" si="582"/>
        <v>75</v>
      </c>
      <c r="AL1274">
        <f t="shared" si="583"/>
        <v>67</v>
      </c>
      <c r="AM1274">
        <f t="shared" si="584"/>
        <v>54</v>
      </c>
      <c r="AN1274">
        <f t="shared" si="585"/>
        <v>205</v>
      </c>
      <c r="AO1274">
        <f t="shared" si="586"/>
        <v>187</v>
      </c>
      <c r="AP1274">
        <f t="shared" si="587"/>
        <v>155</v>
      </c>
      <c r="AQ1274">
        <f t="shared" si="588"/>
        <v>139</v>
      </c>
      <c r="AR1274">
        <f t="shared" si="589"/>
        <v>126</v>
      </c>
      <c r="AS1274">
        <f t="shared" si="590"/>
        <v>205</v>
      </c>
      <c r="AT1274">
        <f t="shared" si="591"/>
        <v>187</v>
      </c>
      <c r="AU1274">
        <f t="shared" si="592"/>
        <v>155</v>
      </c>
      <c r="AV1274">
        <f t="shared" si="593"/>
        <v>139</v>
      </c>
      <c r="AW1274">
        <f t="shared" si="594"/>
        <v>126</v>
      </c>
      <c r="AX1274">
        <f t="shared" si="595"/>
        <v>205</v>
      </c>
      <c r="AY1274">
        <f t="shared" si="596"/>
        <v>187</v>
      </c>
      <c r="AZ1274">
        <f t="shared" si="597"/>
        <v>155</v>
      </c>
      <c r="BA1274">
        <f t="shared" si="598"/>
        <v>139</v>
      </c>
      <c r="BB1274">
        <f t="shared" si="599"/>
        <v>126</v>
      </c>
    </row>
    <row r="1275" spans="1:54" x14ac:dyDescent="0.15">
      <c r="A1275">
        <v>889</v>
      </c>
      <c r="B1275" t="s">
        <v>4492</v>
      </c>
      <c r="C1275">
        <v>988</v>
      </c>
      <c r="D1275">
        <v>0</v>
      </c>
      <c r="E1275" t="s">
        <v>4493</v>
      </c>
      <c r="G1275" t="s">
        <v>4493</v>
      </c>
      <c r="H1275" t="s">
        <v>4494</v>
      </c>
      <c r="J1275" t="s">
        <v>4481</v>
      </c>
      <c r="K1275">
        <v>92</v>
      </c>
      <c r="L1275">
        <v>3.2</v>
      </c>
      <c r="M1275" t="s">
        <v>90</v>
      </c>
      <c r="N1275" t="s">
        <v>354</v>
      </c>
      <c r="O1275" t="s">
        <v>4482</v>
      </c>
      <c r="R1275">
        <v>9</v>
      </c>
      <c r="S1275">
        <v>85</v>
      </c>
      <c r="T1275">
        <v>135</v>
      </c>
      <c r="U1275">
        <v>79</v>
      </c>
      <c r="V1275">
        <v>85</v>
      </c>
      <c r="W1275">
        <v>105</v>
      </c>
      <c r="X1275">
        <v>81</v>
      </c>
      <c r="Y1275">
        <f t="shared" si="570"/>
        <v>192</v>
      </c>
      <c r="Z1275">
        <f t="shared" si="571"/>
        <v>192</v>
      </c>
      <c r="AA1275">
        <f t="shared" si="572"/>
        <v>160</v>
      </c>
      <c r="AB1275">
        <f t="shared" si="573"/>
        <v>160</v>
      </c>
      <c r="AC1275">
        <f t="shared" si="574"/>
        <v>145</v>
      </c>
      <c r="AD1275">
        <f t="shared" si="575"/>
        <v>205</v>
      </c>
      <c r="AE1275">
        <f t="shared" si="576"/>
        <v>187</v>
      </c>
      <c r="AF1275">
        <f t="shared" si="577"/>
        <v>155</v>
      </c>
      <c r="AG1275">
        <f t="shared" si="578"/>
        <v>139</v>
      </c>
      <c r="AH1275">
        <f t="shared" si="579"/>
        <v>126</v>
      </c>
      <c r="AI1275">
        <f t="shared" si="580"/>
        <v>144</v>
      </c>
      <c r="AJ1275">
        <f t="shared" si="581"/>
        <v>131</v>
      </c>
      <c r="AK1275">
        <f t="shared" si="582"/>
        <v>99</v>
      </c>
      <c r="AL1275">
        <f t="shared" si="583"/>
        <v>89</v>
      </c>
      <c r="AM1275">
        <f t="shared" si="584"/>
        <v>75</v>
      </c>
      <c r="AN1275">
        <f t="shared" si="585"/>
        <v>150</v>
      </c>
      <c r="AO1275">
        <f t="shared" si="586"/>
        <v>137</v>
      </c>
      <c r="AP1275">
        <f t="shared" si="587"/>
        <v>105</v>
      </c>
      <c r="AQ1275">
        <f t="shared" si="588"/>
        <v>94</v>
      </c>
      <c r="AR1275">
        <f t="shared" si="589"/>
        <v>81</v>
      </c>
      <c r="AS1275">
        <f t="shared" si="590"/>
        <v>172</v>
      </c>
      <c r="AT1275">
        <f t="shared" si="591"/>
        <v>157</v>
      </c>
      <c r="AU1275">
        <f t="shared" si="592"/>
        <v>125</v>
      </c>
      <c r="AV1275">
        <f t="shared" si="593"/>
        <v>112</v>
      </c>
      <c r="AW1275">
        <f t="shared" si="594"/>
        <v>99</v>
      </c>
      <c r="AX1275">
        <f t="shared" si="595"/>
        <v>146</v>
      </c>
      <c r="AY1275">
        <f t="shared" si="596"/>
        <v>133</v>
      </c>
      <c r="AZ1275">
        <f t="shared" si="597"/>
        <v>101</v>
      </c>
      <c r="BA1275">
        <f t="shared" si="598"/>
        <v>90</v>
      </c>
      <c r="BB1275">
        <f t="shared" si="599"/>
        <v>77</v>
      </c>
    </row>
    <row r="1276" spans="1:54" x14ac:dyDescent="0.15">
      <c r="A1276">
        <v>886</v>
      </c>
      <c r="B1276" t="s">
        <v>4495</v>
      </c>
      <c r="C1276">
        <v>989</v>
      </c>
      <c r="D1276">
        <v>0</v>
      </c>
      <c r="E1276" t="s">
        <v>4496</v>
      </c>
      <c r="G1276" t="s">
        <v>4496</v>
      </c>
      <c r="H1276" t="s">
        <v>4497</v>
      </c>
      <c r="J1276" t="s">
        <v>4481</v>
      </c>
      <c r="K1276">
        <v>60</v>
      </c>
      <c r="L1276">
        <v>2.2999999999999998</v>
      </c>
      <c r="M1276" t="s">
        <v>164</v>
      </c>
      <c r="N1276" t="s">
        <v>196</v>
      </c>
      <c r="O1276" t="s">
        <v>4482</v>
      </c>
      <c r="R1276">
        <v>9</v>
      </c>
      <c r="S1276">
        <v>85</v>
      </c>
      <c r="T1276">
        <v>81</v>
      </c>
      <c r="U1276">
        <v>97</v>
      </c>
      <c r="V1276">
        <v>121</v>
      </c>
      <c r="W1276">
        <v>85</v>
      </c>
      <c r="X1276">
        <v>101</v>
      </c>
      <c r="Y1276">
        <f t="shared" si="570"/>
        <v>192</v>
      </c>
      <c r="Z1276">
        <f t="shared" si="571"/>
        <v>192</v>
      </c>
      <c r="AA1276">
        <f t="shared" si="572"/>
        <v>160</v>
      </c>
      <c r="AB1276">
        <f t="shared" si="573"/>
        <v>160</v>
      </c>
      <c r="AC1276">
        <f t="shared" si="574"/>
        <v>145</v>
      </c>
      <c r="AD1276">
        <f t="shared" si="575"/>
        <v>146</v>
      </c>
      <c r="AE1276">
        <f t="shared" si="576"/>
        <v>133</v>
      </c>
      <c r="AF1276">
        <f t="shared" si="577"/>
        <v>101</v>
      </c>
      <c r="AG1276">
        <f t="shared" si="578"/>
        <v>90</v>
      </c>
      <c r="AH1276">
        <f t="shared" si="579"/>
        <v>77</v>
      </c>
      <c r="AI1276">
        <f t="shared" si="580"/>
        <v>163</v>
      </c>
      <c r="AJ1276">
        <f t="shared" si="581"/>
        <v>149</v>
      </c>
      <c r="AK1276">
        <f t="shared" si="582"/>
        <v>117</v>
      </c>
      <c r="AL1276">
        <f t="shared" si="583"/>
        <v>105</v>
      </c>
      <c r="AM1276">
        <f t="shared" si="584"/>
        <v>91</v>
      </c>
      <c r="AN1276">
        <f t="shared" si="585"/>
        <v>190</v>
      </c>
      <c r="AO1276">
        <f t="shared" si="586"/>
        <v>173</v>
      </c>
      <c r="AP1276">
        <f t="shared" si="587"/>
        <v>141</v>
      </c>
      <c r="AQ1276">
        <f t="shared" si="588"/>
        <v>126</v>
      </c>
      <c r="AR1276">
        <f t="shared" si="589"/>
        <v>113</v>
      </c>
      <c r="AS1276">
        <f t="shared" si="590"/>
        <v>150</v>
      </c>
      <c r="AT1276">
        <f t="shared" si="591"/>
        <v>137</v>
      </c>
      <c r="AU1276">
        <f t="shared" si="592"/>
        <v>105</v>
      </c>
      <c r="AV1276">
        <f t="shared" si="593"/>
        <v>94</v>
      </c>
      <c r="AW1276">
        <f t="shared" si="594"/>
        <v>81</v>
      </c>
      <c r="AX1276">
        <f t="shared" si="595"/>
        <v>168</v>
      </c>
      <c r="AY1276">
        <f t="shared" si="596"/>
        <v>153</v>
      </c>
      <c r="AZ1276">
        <f t="shared" si="597"/>
        <v>121</v>
      </c>
      <c r="BA1276">
        <f t="shared" si="598"/>
        <v>108</v>
      </c>
      <c r="BB1276">
        <f t="shared" si="599"/>
        <v>95</v>
      </c>
    </row>
    <row r="1277" spans="1:54" x14ac:dyDescent="0.15">
      <c r="A1277">
        <v>891</v>
      </c>
      <c r="B1277" t="s">
        <v>4498</v>
      </c>
      <c r="C1277">
        <v>990</v>
      </c>
      <c r="D1277">
        <v>0</v>
      </c>
      <c r="E1277" t="s">
        <v>4499</v>
      </c>
      <c r="G1277" t="s">
        <v>4499</v>
      </c>
      <c r="H1277" t="s">
        <v>4500</v>
      </c>
      <c r="J1277" t="s">
        <v>4481</v>
      </c>
      <c r="K1277">
        <v>240</v>
      </c>
      <c r="L1277">
        <v>0.9</v>
      </c>
      <c r="M1277" t="s">
        <v>196</v>
      </c>
      <c r="N1277" t="s">
        <v>203</v>
      </c>
      <c r="O1277" t="s">
        <v>4501</v>
      </c>
      <c r="R1277">
        <v>9</v>
      </c>
      <c r="S1277">
        <v>90</v>
      </c>
      <c r="T1277">
        <v>112</v>
      </c>
      <c r="U1277">
        <v>120</v>
      </c>
      <c r="V1277">
        <v>72</v>
      </c>
      <c r="W1277">
        <v>70</v>
      </c>
      <c r="X1277">
        <v>106</v>
      </c>
      <c r="Y1277">
        <f t="shared" si="570"/>
        <v>197</v>
      </c>
      <c r="Z1277">
        <f t="shared" si="571"/>
        <v>197</v>
      </c>
      <c r="AA1277">
        <f t="shared" si="572"/>
        <v>165</v>
      </c>
      <c r="AB1277">
        <f t="shared" si="573"/>
        <v>165</v>
      </c>
      <c r="AC1277">
        <f t="shared" si="574"/>
        <v>150</v>
      </c>
      <c r="AD1277">
        <f t="shared" si="575"/>
        <v>180</v>
      </c>
      <c r="AE1277">
        <f t="shared" si="576"/>
        <v>164</v>
      </c>
      <c r="AF1277">
        <f t="shared" si="577"/>
        <v>132</v>
      </c>
      <c r="AG1277">
        <f t="shared" si="578"/>
        <v>118</v>
      </c>
      <c r="AH1277">
        <f t="shared" si="579"/>
        <v>105</v>
      </c>
      <c r="AI1277">
        <f t="shared" si="580"/>
        <v>189</v>
      </c>
      <c r="AJ1277">
        <f t="shared" si="581"/>
        <v>172</v>
      </c>
      <c r="AK1277">
        <f t="shared" si="582"/>
        <v>140</v>
      </c>
      <c r="AL1277">
        <f t="shared" si="583"/>
        <v>126</v>
      </c>
      <c r="AM1277">
        <f t="shared" si="584"/>
        <v>112</v>
      </c>
      <c r="AN1277">
        <f t="shared" si="585"/>
        <v>136</v>
      </c>
      <c r="AO1277">
        <f t="shared" si="586"/>
        <v>124</v>
      </c>
      <c r="AP1277">
        <f t="shared" si="587"/>
        <v>92</v>
      </c>
      <c r="AQ1277">
        <f t="shared" si="588"/>
        <v>82</v>
      </c>
      <c r="AR1277">
        <f t="shared" si="589"/>
        <v>69</v>
      </c>
      <c r="AS1277">
        <f t="shared" si="590"/>
        <v>134</v>
      </c>
      <c r="AT1277">
        <f t="shared" si="591"/>
        <v>122</v>
      </c>
      <c r="AU1277">
        <f t="shared" si="592"/>
        <v>90</v>
      </c>
      <c r="AV1277">
        <f t="shared" si="593"/>
        <v>81</v>
      </c>
      <c r="AW1277">
        <f t="shared" si="594"/>
        <v>67</v>
      </c>
      <c r="AX1277">
        <f t="shared" si="595"/>
        <v>173</v>
      </c>
      <c r="AY1277">
        <f t="shared" si="596"/>
        <v>158</v>
      </c>
      <c r="AZ1277">
        <f t="shared" si="597"/>
        <v>126</v>
      </c>
      <c r="BA1277">
        <f t="shared" si="598"/>
        <v>113</v>
      </c>
      <c r="BB1277">
        <f t="shared" si="599"/>
        <v>99</v>
      </c>
    </row>
    <row r="1278" spans="1:54" x14ac:dyDescent="0.15">
      <c r="A1278">
        <v>897</v>
      </c>
      <c r="B1278" t="s">
        <v>4502</v>
      </c>
      <c r="C1278">
        <v>991</v>
      </c>
      <c r="D1278">
        <v>0</v>
      </c>
      <c r="E1278" t="s">
        <v>4503</v>
      </c>
      <c r="G1278" t="s">
        <v>4503</v>
      </c>
      <c r="H1278" t="s">
        <v>4504</v>
      </c>
      <c r="J1278" t="s">
        <v>4481</v>
      </c>
      <c r="K1278">
        <v>11</v>
      </c>
      <c r="L1278">
        <v>0.6</v>
      </c>
      <c r="M1278" t="s">
        <v>202</v>
      </c>
      <c r="N1278" t="s">
        <v>71</v>
      </c>
      <c r="O1278" t="s">
        <v>4501</v>
      </c>
      <c r="R1278">
        <v>9</v>
      </c>
      <c r="S1278">
        <v>56</v>
      </c>
      <c r="T1278">
        <v>80</v>
      </c>
      <c r="U1278">
        <v>114</v>
      </c>
      <c r="V1278">
        <v>124</v>
      </c>
      <c r="W1278">
        <v>60</v>
      </c>
      <c r="X1278">
        <v>136</v>
      </c>
      <c r="Y1278">
        <f t="shared" si="570"/>
        <v>163</v>
      </c>
      <c r="Z1278">
        <f t="shared" si="571"/>
        <v>163</v>
      </c>
      <c r="AA1278">
        <f t="shared" si="572"/>
        <v>131</v>
      </c>
      <c r="AB1278">
        <f t="shared" si="573"/>
        <v>131</v>
      </c>
      <c r="AC1278">
        <f t="shared" si="574"/>
        <v>116</v>
      </c>
      <c r="AD1278">
        <f t="shared" si="575"/>
        <v>145</v>
      </c>
      <c r="AE1278">
        <f t="shared" si="576"/>
        <v>132</v>
      </c>
      <c r="AF1278">
        <f t="shared" si="577"/>
        <v>100</v>
      </c>
      <c r="AG1278">
        <f t="shared" si="578"/>
        <v>90</v>
      </c>
      <c r="AH1278">
        <f t="shared" si="579"/>
        <v>76</v>
      </c>
      <c r="AI1278">
        <f t="shared" si="580"/>
        <v>182</v>
      </c>
      <c r="AJ1278">
        <f t="shared" si="581"/>
        <v>166</v>
      </c>
      <c r="AK1278">
        <f t="shared" si="582"/>
        <v>134</v>
      </c>
      <c r="AL1278">
        <f t="shared" si="583"/>
        <v>120</v>
      </c>
      <c r="AM1278">
        <f t="shared" si="584"/>
        <v>107</v>
      </c>
      <c r="AN1278">
        <f t="shared" si="585"/>
        <v>193</v>
      </c>
      <c r="AO1278">
        <f t="shared" si="586"/>
        <v>176</v>
      </c>
      <c r="AP1278">
        <f t="shared" si="587"/>
        <v>144</v>
      </c>
      <c r="AQ1278">
        <f t="shared" si="588"/>
        <v>129</v>
      </c>
      <c r="AR1278">
        <f t="shared" si="589"/>
        <v>116</v>
      </c>
      <c r="AS1278">
        <f t="shared" si="590"/>
        <v>123</v>
      </c>
      <c r="AT1278">
        <f t="shared" si="591"/>
        <v>112</v>
      </c>
      <c r="AU1278">
        <f t="shared" si="592"/>
        <v>80</v>
      </c>
      <c r="AV1278">
        <f t="shared" si="593"/>
        <v>72</v>
      </c>
      <c r="AW1278">
        <f t="shared" si="594"/>
        <v>58</v>
      </c>
      <c r="AX1278">
        <f t="shared" si="595"/>
        <v>206</v>
      </c>
      <c r="AY1278">
        <f t="shared" si="596"/>
        <v>188</v>
      </c>
      <c r="AZ1278">
        <f t="shared" si="597"/>
        <v>156</v>
      </c>
      <c r="BA1278">
        <f t="shared" si="598"/>
        <v>140</v>
      </c>
      <c r="BB1278">
        <f t="shared" si="599"/>
        <v>126</v>
      </c>
    </row>
    <row r="1279" spans="1:54" x14ac:dyDescent="0.15">
      <c r="A1279">
        <v>894</v>
      </c>
      <c r="B1279" t="s">
        <v>4505</v>
      </c>
      <c r="C1279">
        <v>992</v>
      </c>
      <c r="D1279">
        <v>0</v>
      </c>
      <c r="E1279" t="s">
        <v>4506</v>
      </c>
      <c r="G1279" t="s">
        <v>4506</v>
      </c>
      <c r="H1279" t="s">
        <v>4507</v>
      </c>
      <c r="J1279" t="s">
        <v>4481</v>
      </c>
      <c r="K1279">
        <v>380.7</v>
      </c>
      <c r="L1279">
        <v>1.8</v>
      </c>
      <c r="M1279" t="s">
        <v>354</v>
      </c>
      <c r="N1279" t="s">
        <v>164</v>
      </c>
      <c r="O1279" t="s">
        <v>4501</v>
      </c>
      <c r="R1279">
        <v>9</v>
      </c>
      <c r="S1279">
        <v>154</v>
      </c>
      <c r="T1279">
        <v>140</v>
      </c>
      <c r="U1279">
        <v>108</v>
      </c>
      <c r="V1279">
        <v>50</v>
      </c>
      <c r="W1279">
        <v>68</v>
      </c>
      <c r="X1279">
        <v>50</v>
      </c>
      <c r="Y1279">
        <f t="shared" si="570"/>
        <v>261</v>
      </c>
      <c r="Z1279">
        <f t="shared" si="571"/>
        <v>261</v>
      </c>
      <c r="AA1279">
        <f t="shared" si="572"/>
        <v>229</v>
      </c>
      <c r="AB1279">
        <f t="shared" si="573"/>
        <v>229</v>
      </c>
      <c r="AC1279">
        <f t="shared" si="574"/>
        <v>214</v>
      </c>
      <c r="AD1279">
        <f t="shared" si="575"/>
        <v>211</v>
      </c>
      <c r="AE1279">
        <f t="shared" si="576"/>
        <v>192</v>
      </c>
      <c r="AF1279">
        <f t="shared" si="577"/>
        <v>160</v>
      </c>
      <c r="AG1279">
        <f t="shared" si="578"/>
        <v>144</v>
      </c>
      <c r="AH1279">
        <f t="shared" si="579"/>
        <v>130</v>
      </c>
      <c r="AI1279">
        <f t="shared" si="580"/>
        <v>176</v>
      </c>
      <c r="AJ1279">
        <f t="shared" si="581"/>
        <v>160</v>
      </c>
      <c r="AK1279">
        <f t="shared" si="582"/>
        <v>128</v>
      </c>
      <c r="AL1279">
        <f t="shared" si="583"/>
        <v>115</v>
      </c>
      <c r="AM1279">
        <f t="shared" si="584"/>
        <v>101</v>
      </c>
      <c r="AN1279">
        <f t="shared" si="585"/>
        <v>112</v>
      </c>
      <c r="AO1279">
        <f t="shared" si="586"/>
        <v>102</v>
      </c>
      <c r="AP1279">
        <f t="shared" si="587"/>
        <v>70</v>
      </c>
      <c r="AQ1279">
        <f t="shared" si="588"/>
        <v>63</v>
      </c>
      <c r="AR1279">
        <f t="shared" si="589"/>
        <v>49</v>
      </c>
      <c r="AS1279">
        <f t="shared" si="590"/>
        <v>132</v>
      </c>
      <c r="AT1279">
        <f t="shared" si="591"/>
        <v>120</v>
      </c>
      <c r="AU1279">
        <f t="shared" si="592"/>
        <v>88</v>
      </c>
      <c r="AV1279">
        <f t="shared" si="593"/>
        <v>79</v>
      </c>
      <c r="AW1279">
        <f t="shared" si="594"/>
        <v>65</v>
      </c>
      <c r="AX1279">
        <f t="shared" si="595"/>
        <v>112</v>
      </c>
      <c r="AY1279">
        <f t="shared" si="596"/>
        <v>102</v>
      </c>
      <c r="AZ1279">
        <f t="shared" si="597"/>
        <v>70</v>
      </c>
      <c r="BA1279">
        <f t="shared" si="598"/>
        <v>63</v>
      </c>
      <c r="BB1279">
        <f t="shared" si="599"/>
        <v>49</v>
      </c>
    </row>
    <row r="1280" spans="1:54" x14ac:dyDescent="0.15">
      <c r="A1280">
        <v>895</v>
      </c>
      <c r="B1280" t="s">
        <v>4508</v>
      </c>
      <c r="C1280">
        <v>993</v>
      </c>
      <c r="D1280">
        <v>0</v>
      </c>
      <c r="E1280" t="s">
        <v>4509</v>
      </c>
      <c r="G1280" t="s">
        <v>4509</v>
      </c>
      <c r="H1280" t="s">
        <v>4510</v>
      </c>
      <c r="J1280" t="s">
        <v>4481</v>
      </c>
      <c r="K1280">
        <v>111</v>
      </c>
      <c r="L1280">
        <v>1.3</v>
      </c>
      <c r="M1280" t="s">
        <v>140</v>
      </c>
      <c r="N1280" t="s">
        <v>57</v>
      </c>
      <c r="O1280" t="s">
        <v>4501</v>
      </c>
      <c r="R1280">
        <v>9</v>
      </c>
      <c r="S1280">
        <v>94</v>
      </c>
      <c r="T1280">
        <v>80</v>
      </c>
      <c r="U1280">
        <v>86</v>
      </c>
      <c r="V1280">
        <v>122</v>
      </c>
      <c r="W1280">
        <v>80</v>
      </c>
      <c r="X1280">
        <v>108</v>
      </c>
      <c r="Y1280">
        <f t="shared" si="570"/>
        <v>201</v>
      </c>
      <c r="Z1280">
        <f t="shared" si="571"/>
        <v>201</v>
      </c>
      <c r="AA1280">
        <f t="shared" si="572"/>
        <v>169</v>
      </c>
      <c r="AB1280">
        <f t="shared" si="573"/>
        <v>169</v>
      </c>
      <c r="AC1280">
        <f t="shared" si="574"/>
        <v>154</v>
      </c>
      <c r="AD1280">
        <f t="shared" si="575"/>
        <v>145</v>
      </c>
      <c r="AE1280">
        <f t="shared" si="576"/>
        <v>132</v>
      </c>
      <c r="AF1280">
        <f t="shared" si="577"/>
        <v>100</v>
      </c>
      <c r="AG1280">
        <f t="shared" si="578"/>
        <v>90</v>
      </c>
      <c r="AH1280">
        <f t="shared" si="579"/>
        <v>76</v>
      </c>
      <c r="AI1280">
        <f t="shared" si="580"/>
        <v>151</v>
      </c>
      <c r="AJ1280">
        <f t="shared" si="581"/>
        <v>138</v>
      </c>
      <c r="AK1280">
        <f t="shared" si="582"/>
        <v>106</v>
      </c>
      <c r="AL1280">
        <f t="shared" si="583"/>
        <v>95</v>
      </c>
      <c r="AM1280">
        <f t="shared" si="584"/>
        <v>81</v>
      </c>
      <c r="AN1280">
        <f t="shared" si="585"/>
        <v>191</v>
      </c>
      <c r="AO1280">
        <f t="shared" si="586"/>
        <v>174</v>
      </c>
      <c r="AP1280">
        <f t="shared" si="587"/>
        <v>142</v>
      </c>
      <c r="AQ1280">
        <f t="shared" si="588"/>
        <v>127</v>
      </c>
      <c r="AR1280">
        <f t="shared" si="589"/>
        <v>114</v>
      </c>
      <c r="AS1280">
        <f t="shared" si="590"/>
        <v>145</v>
      </c>
      <c r="AT1280">
        <f t="shared" si="591"/>
        <v>132</v>
      </c>
      <c r="AU1280">
        <f t="shared" si="592"/>
        <v>100</v>
      </c>
      <c r="AV1280">
        <f t="shared" si="593"/>
        <v>90</v>
      </c>
      <c r="AW1280">
        <f t="shared" si="594"/>
        <v>76</v>
      </c>
      <c r="AX1280">
        <f t="shared" si="595"/>
        <v>176</v>
      </c>
      <c r="AY1280">
        <f t="shared" si="596"/>
        <v>160</v>
      </c>
      <c r="AZ1280">
        <f t="shared" si="597"/>
        <v>128</v>
      </c>
      <c r="BA1280">
        <f t="shared" si="598"/>
        <v>115</v>
      </c>
      <c r="BB1280">
        <f t="shared" si="599"/>
        <v>101</v>
      </c>
    </row>
    <row r="1281" spans="1:54" x14ac:dyDescent="0.15">
      <c r="A1281">
        <v>893</v>
      </c>
      <c r="B1281" t="s">
        <v>4511</v>
      </c>
      <c r="C1281">
        <v>994</v>
      </c>
      <c r="D1281">
        <v>0</v>
      </c>
      <c r="E1281" t="s">
        <v>4512</v>
      </c>
      <c r="G1281" t="s">
        <v>4512</v>
      </c>
      <c r="H1281" t="s">
        <v>4513</v>
      </c>
      <c r="J1281" t="s">
        <v>4481</v>
      </c>
      <c r="K1281">
        <v>36</v>
      </c>
      <c r="L1281">
        <v>1.2</v>
      </c>
      <c r="M1281" t="s">
        <v>47</v>
      </c>
      <c r="N1281" t="s">
        <v>27</v>
      </c>
      <c r="O1281" t="s">
        <v>4501</v>
      </c>
      <c r="R1281">
        <v>9</v>
      </c>
      <c r="S1281">
        <v>80</v>
      </c>
      <c r="T1281">
        <v>70</v>
      </c>
      <c r="U1281">
        <v>60</v>
      </c>
      <c r="V1281">
        <v>140</v>
      </c>
      <c r="W1281">
        <v>110</v>
      </c>
      <c r="X1281">
        <v>110</v>
      </c>
      <c r="Y1281">
        <f t="shared" si="570"/>
        <v>187</v>
      </c>
      <c r="Z1281">
        <f t="shared" si="571"/>
        <v>187</v>
      </c>
      <c r="AA1281">
        <f t="shared" si="572"/>
        <v>155</v>
      </c>
      <c r="AB1281">
        <f t="shared" si="573"/>
        <v>155</v>
      </c>
      <c r="AC1281">
        <f t="shared" si="574"/>
        <v>140</v>
      </c>
      <c r="AD1281">
        <f t="shared" si="575"/>
        <v>134</v>
      </c>
      <c r="AE1281">
        <f t="shared" si="576"/>
        <v>122</v>
      </c>
      <c r="AF1281">
        <f t="shared" si="577"/>
        <v>90</v>
      </c>
      <c r="AG1281">
        <f t="shared" si="578"/>
        <v>81</v>
      </c>
      <c r="AH1281">
        <f t="shared" si="579"/>
        <v>67</v>
      </c>
      <c r="AI1281">
        <f t="shared" si="580"/>
        <v>123</v>
      </c>
      <c r="AJ1281">
        <f t="shared" si="581"/>
        <v>112</v>
      </c>
      <c r="AK1281">
        <f t="shared" si="582"/>
        <v>80</v>
      </c>
      <c r="AL1281">
        <f t="shared" si="583"/>
        <v>72</v>
      </c>
      <c r="AM1281">
        <f t="shared" si="584"/>
        <v>58</v>
      </c>
      <c r="AN1281">
        <f t="shared" si="585"/>
        <v>211</v>
      </c>
      <c r="AO1281">
        <f t="shared" si="586"/>
        <v>192</v>
      </c>
      <c r="AP1281">
        <f t="shared" si="587"/>
        <v>160</v>
      </c>
      <c r="AQ1281">
        <f t="shared" si="588"/>
        <v>144</v>
      </c>
      <c r="AR1281">
        <f t="shared" si="589"/>
        <v>130</v>
      </c>
      <c r="AS1281">
        <f t="shared" si="590"/>
        <v>178</v>
      </c>
      <c r="AT1281">
        <f t="shared" si="591"/>
        <v>162</v>
      </c>
      <c r="AU1281">
        <f t="shared" si="592"/>
        <v>130</v>
      </c>
      <c r="AV1281">
        <f t="shared" si="593"/>
        <v>117</v>
      </c>
      <c r="AW1281">
        <f t="shared" si="594"/>
        <v>103</v>
      </c>
      <c r="AX1281">
        <f t="shared" si="595"/>
        <v>178</v>
      </c>
      <c r="AY1281">
        <f t="shared" si="596"/>
        <v>162</v>
      </c>
      <c r="AZ1281">
        <f t="shared" si="597"/>
        <v>130</v>
      </c>
      <c r="BA1281">
        <f t="shared" si="598"/>
        <v>117</v>
      </c>
      <c r="BB1281">
        <f t="shared" si="599"/>
        <v>103</v>
      </c>
    </row>
    <row r="1282" spans="1:54" x14ac:dyDescent="0.15">
      <c r="A1282">
        <v>896</v>
      </c>
      <c r="B1282" t="s">
        <v>4514</v>
      </c>
      <c r="C1282">
        <v>995</v>
      </c>
      <c r="D1282">
        <v>0</v>
      </c>
      <c r="E1282" t="s">
        <v>4515</v>
      </c>
      <c r="G1282" t="s">
        <v>4515</v>
      </c>
      <c r="H1282" t="s">
        <v>4516</v>
      </c>
      <c r="J1282" t="s">
        <v>4481</v>
      </c>
      <c r="K1282">
        <v>303</v>
      </c>
      <c r="L1282">
        <v>1.6</v>
      </c>
      <c r="M1282" t="s">
        <v>371</v>
      </c>
      <c r="N1282" t="s">
        <v>164</v>
      </c>
      <c r="O1282" t="s">
        <v>4501</v>
      </c>
      <c r="R1282">
        <v>9</v>
      </c>
      <c r="S1282">
        <v>100</v>
      </c>
      <c r="T1282">
        <v>134</v>
      </c>
      <c r="U1282">
        <v>110</v>
      </c>
      <c r="V1282">
        <v>70</v>
      </c>
      <c r="W1282">
        <v>84</v>
      </c>
      <c r="X1282">
        <v>72</v>
      </c>
      <c r="Y1282">
        <f t="shared" ref="Y1282:Y1318" si="600">IF(S1282="", "", S1282+107)</f>
        <v>207</v>
      </c>
      <c r="Z1282">
        <f t="shared" ref="Z1282:Z1318" si="601">IF(S1282="", "", S1282+107)</f>
        <v>207</v>
      </c>
      <c r="AA1282">
        <f t="shared" ref="AA1282:AA1318" si="602">IF(S1282="", "", INT(INT(S1282*2 + 31)/2) + 60)</f>
        <v>175</v>
      </c>
      <c r="AB1282">
        <f t="shared" ref="AB1282:AB1318" si="603">IF(S1282="", "", INT(INT(S1282*2 + 31)/2) + 60)</f>
        <v>175</v>
      </c>
      <c r="AC1282">
        <f t="shared" ref="AC1282:AC1318" si="604">IF(S1282="", "", S1282 + 60)</f>
        <v>160</v>
      </c>
      <c r="AD1282">
        <f t="shared" ref="AD1282:AD1318" si="605">IF(T1282="","",INT((T1282+52)*1.1))</f>
        <v>204</v>
      </c>
      <c r="AE1282">
        <f t="shared" ref="AE1282:AE1318" si="606">IF(T1282="","",T1282+52)</f>
        <v>186</v>
      </c>
      <c r="AF1282">
        <f t="shared" ref="AF1282:AF1318" si="607">IF(T1282="", "", INT((T1282*2 + 31)/2) + 5)</f>
        <v>154</v>
      </c>
      <c r="AG1282">
        <f t="shared" ref="AG1282:AG1318" si="608">IF(T1282="", "", INT((INT((T1282*2 + 31)/2) + 5)*0.9) )</f>
        <v>138</v>
      </c>
      <c r="AH1282">
        <f t="shared" ref="AH1282:AH1318" si="609">IF(T1282="", "", INT((T1282 + 5) * 0.9))</f>
        <v>125</v>
      </c>
      <c r="AI1282">
        <f t="shared" ref="AI1282:AI1318" si="610">IF(U1282="","",INT((U1282+52)*1.1))</f>
        <v>178</v>
      </c>
      <c r="AJ1282">
        <f t="shared" ref="AJ1282:AJ1318" si="611">IF(U1282="","",U1282+52)</f>
        <v>162</v>
      </c>
      <c r="AK1282">
        <f t="shared" ref="AK1282:AK1318" si="612">IF(U1282="", "", INT((U1282*2 + 31)/2) + 5)</f>
        <v>130</v>
      </c>
      <c r="AL1282">
        <f t="shared" ref="AL1282:AL1318" si="613">IF(U1282="", "", INT((INT((U1282*2 + 31)/2) + 5)*0.9) )</f>
        <v>117</v>
      </c>
      <c r="AM1282">
        <f t="shared" ref="AM1282:AM1318" si="614">IF(U1282="", "", INT((U1282 + 5) * 0.9))</f>
        <v>103</v>
      </c>
      <c r="AN1282">
        <f t="shared" ref="AN1282:AN1318" si="615">IF(V1282="","",INT((V1282+52)*1.1))</f>
        <v>134</v>
      </c>
      <c r="AO1282">
        <f t="shared" ref="AO1282:AO1318" si="616">IF(V1282="","",V1282+52)</f>
        <v>122</v>
      </c>
      <c r="AP1282">
        <f t="shared" ref="AP1282:AP1318" si="617">IF(V1282="", "", INT((V1282*2 + 31)/2) + 5)</f>
        <v>90</v>
      </c>
      <c r="AQ1282">
        <f t="shared" ref="AQ1282:AQ1318" si="618">IF(V1282="", "", INT((INT((V1282*2 + 31)/2) + 5)*0.9) )</f>
        <v>81</v>
      </c>
      <c r="AR1282">
        <f t="shared" ref="AR1282:AR1318" si="619">IF(V1282="", "", INT((V1282 + 5) * 0.9))</f>
        <v>67</v>
      </c>
      <c r="AS1282">
        <f t="shared" ref="AS1282:AS1318" si="620">IF(W1282="","",INT((W1282+52)*1.1))</f>
        <v>149</v>
      </c>
      <c r="AT1282">
        <f t="shared" ref="AT1282:AT1318" si="621">IF(W1282="","",W1282+52)</f>
        <v>136</v>
      </c>
      <c r="AU1282">
        <f t="shared" ref="AU1282:AU1318" si="622">IF(W1282="", "", INT((W1282*2 + 31)/2) + 5)</f>
        <v>104</v>
      </c>
      <c r="AV1282">
        <f t="shared" ref="AV1282:AV1318" si="623">IF(W1282="", "", INT((INT((W1282*2 + 31)/2) + 5)*0.9) )</f>
        <v>93</v>
      </c>
      <c r="AW1282">
        <f t="shared" ref="AW1282:AW1318" si="624">IF(W1282="", "", INT((W1282 + 5) * 0.9))</f>
        <v>80</v>
      </c>
      <c r="AX1282">
        <f t="shared" ref="AX1282:AX1318" si="625">IF(X1282="","",INT((X1282+52)*1.1))</f>
        <v>136</v>
      </c>
      <c r="AY1282">
        <f t="shared" ref="AY1282:AY1318" si="626">IF(X1282="","",X1282+52)</f>
        <v>124</v>
      </c>
      <c r="AZ1282">
        <f t="shared" ref="AZ1282:AZ1318" si="627">IF(X1282="", "", INT((X1282*2 + 31)/2) + 5)</f>
        <v>92</v>
      </c>
      <c r="BA1282">
        <f t="shared" ref="BA1282:BA1318" si="628">IF(X1282="", "", INT((INT((X1282*2 + 31)/2) + 5)*0.9) )</f>
        <v>82</v>
      </c>
      <c r="BB1282">
        <f t="shared" ref="BB1282:BB1318" si="629">IF(X1282="", "", INT((X1282 + 5) * 0.9))</f>
        <v>69</v>
      </c>
    </row>
    <row r="1283" spans="1:54" x14ac:dyDescent="0.15">
      <c r="A1283">
        <v>847</v>
      </c>
      <c r="B1283" t="s">
        <v>4517</v>
      </c>
      <c r="C1283">
        <v>996</v>
      </c>
      <c r="D1283">
        <v>0</v>
      </c>
      <c r="E1283" t="s">
        <v>4518</v>
      </c>
      <c r="G1283" t="s">
        <v>4518</v>
      </c>
      <c r="H1283" t="s">
        <v>4519</v>
      </c>
      <c r="J1283" t="s">
        <v>4520</v>
      </c>
      <c r="K1283">
        <v>17</v>
      </c>
      <c r="L1283">
        <v>0.5</v>
      </c>
      <c r="M1283" t="s">
        <v>60</v>
      </c>
      <c r="N1283" t="s">
        <v>202</v>
      </c>
      <c r="O1283" t="s">
        <v>4521</v>
      </c>
      <c r="P1283" t="s">
        <v>514</v>
      </c>
      <c r="R1283">
        <v>9</v>
      </c>
      <c r="S1283">
        <v>65</v>
      </c>
      <c r="T1283">
        <v>75</v>
      </c>
      <c r="U1283">
        <v>45</v>
      </c>
      <c r="V1283">
        <v>35</v>
      </c>
      <c r="W1283">
        <v>45</v>
      </c>
      <c r="X1283">
        <v>55</v>
      </c>
      <c r="Y1283">
        <f t="shared" si="600"/>
        <v>172</v>
      </c>
      <c r="Z1283">
        <f t="shared" si="601"/>
        <v>172</v>
      </c>
      <c r="AA1283">
        <f t="shared" si="602"/>
        <v>140</v>
      </c>
      <c r="AB1283">
        <f t="shared" si="603"/>
        <v>140</v>
      </c>
      <c r="AC1283">
        <f t="shared" si="604"/>
        <v>125</v>
      </c>
      <c r="AD1283">
        <f t="shared" si="605"/>
        <v>139</v>
      </c>
      <c r="AE1283">
        <f t="shared" si="606"/>
        <v>127</v>
      </c>
      <c r="AF1283">
        <f t="shared" si="607"/>
        <v>95</v>
      </c>
      <c r="AG1283">
        <f t="shared" si="608"/>
        <v>85</v>
      </c>
      <c r="AH1283">
        <f t="shared" si="609"/>
        <v>72</v>
      </c>
      <c r="AI1283">
        <f t="shared" si="610"/>
        <v>106</v>
      </c>
      <c r="AJ1283">
        <f t="shared" si="611"/>
        <v>97</v>
      </c>
      <c r="AK1283">
        <f t="shared" si="612"/>
        <v>65</v>
      </c>
      <c r="AL1283">
        <f t="shared" si="613"/>
        <v>58</v>
      </c>
      <c r="AM1283">
        <f t="shared" si="614"/>
        <v>45</v>
      </c>
      <c r="AN1283">
        <f t="shared" si="615"/>
        <v>95</v>
      </c>
      <c r="AO1283">
        <f t="shared" si="616"/>
        <v>87</v>
      </c>
      <c r="AP1283">
        <f t="shared" si="617"/>
        <v>55</v>
      </c>
      <c r="AQ1283">
        <f t="shared" si="618"/>
        <v>49</v>
      </c>
      <c r="AR1283">
        <f t="shared" si="619"/>
        <v>36</v>
      </c>
      <c r="AS1283">
        <f t="shared" si="620"/>
        <v>106</v>
      </c>
      <c r="AT1283">
        <f t="shared" si="621"/>
        <v>97</v>
      </c>
      <c r="AU1283">
        <f t="shared" si="622"/>
        <v>65</v>
      </c>
      <c r="AV1283">
        <f t="shared" si="623"/>
        <v>58</v>
      </c>
      <c r="AW1283">
        <f t="shared" si="624"/>
        <v>45</v>
      </c>
      <c r="AX1283">
        <f t="shared" si="625"/>
        <v>117</v>
      </c>
      <c r="AY1283">
        <f t="shared" si="626"/>
        <v>107</v>
      </c>
      <c r="AZ1283">
        <f t="shared" si="627"/>
        <v>75</v>
      </c>
      <c r="BA1283">
        <f t="shared" si="628"/>
        <v>67</v>
      </c>
      <c r="BB1283">
        <f t="shared" si="629"/>
        <v>54</v>
      </c>
    </row>
    <row r="1284" spans="1:54" x14ac:dyDescent="0.15">
      <c r="A1284">
        <v>848</v>
      </c>
      <c r="B1284" t="s">
        <v>4522</v>
      </c>
      <c r="C1284">
        <v>997</v>
      </c>
      <c r="D1284">
        <v>0</v>
      </c>
      <c r="E1284" t="s">
        <v>4523</v>
      </c>
      <c r="G1284" t="s">
        <v>4523</v>
      </c>
      <c r="H1284" t="s">
        <v>4524</v>
      </c>
      <c r="J1284" t="s">
        <v>4520</v>
      </c>
      <c r="K1284">
        <v>30</v>
      </c>
      <c r="L1284">
        <v>0.8</v>
      </c>
      <c r="M1284" t="s">
        <v>60</v>
      </c>
      <c r="N1284" t="s">
        <v>202</v>
      </c>
      <c r="O1284" t="s">
        <v>4521</v>
      </c>
      <c r="P1284" t="s">
        <v>514</v>
      </c>
      <c r="R1284">
        <v>9</v>
      </c>
      <c r="S1284">
        <v>90</v>
      </c>
      <c r="T1284">
        <v>95</v>
      </c>
      <c r="U1284">
        <v>66</v>
      </c>
      <c r="V1284">
        <v>45</v>
      </c>
      <c r="W1284">
        <v>65</v>
      </c>
      <c r="X1284">
        <v>62</v>
      </c>
      <c r="Y1284">
        <f t="shared" si="600"/>
        <v>197</v>
      </c>
      <c r="Z1284">
        <f t="shared" si="601"/>
        <v>197</v>
      </c>
      <c r="AA1284">
        <f t="shared" si="602"/>
        <v>165</v>
      </c>
      <c r="AB1284">
        <f t="shared" si="603"/>
        <v>165</v>
      </c>
      <c r="AC1284">
        <f t="shared" si="604"/>
        <v>150</v>
      </c>
      <c r="AD1284">
        <f t="shared" si="605"/>
        <v>161</v>
      </c>
      <c r="AE1284">
        <f t="shared" si="606"/>
        <v>147</v>
      </c>
      <c r="AF1284">
        <f t="shared" si="607"/>
        <v>115</v>
      </c>
      <c r="AG1284">
        <f t="shared" si="608"/>
        <v>103</v>
      </c>
      <c r="AH1284">
        <f t="shared" si="609"/>
        <v>90</v>
      </c>
      <c r="AI1284">
        <f t="shared" si="610"/>
        <v>129</v>
      </c>
      <c r="AJ1284">
        <f t="shared" si="611"/>
        <v>118</v>
      </c>
      <c r="AK1284">
        <f t="shared" si="612"/>
        <v>86</v>
      </c>
      <c r="AL1284">
        <f t="shared" si="613"/>
        <v>77</v>
      </c>
      <c r="AM1284">
        <f t="shared" si="614"/>
        <v>63</v>
      </c>
      <c r="AN1284">
        <f t="shared" si="615"/>
        <v>106</v>
      </c>
      <c r="AO1284">
        <f t="shared" si="616"/>
        <v>97</v>
      </c>
      <c r="AP1284">
        <f t="shared" si="617"/>
        <v>65</v>
      </c>
      <c r="AQ1284">
        <f t="shared" si="618"/>
        <v>58</v>
      </c>
      <c r="AR1284">
        <f t="shared" si="619"/>
        <v>45</v>
      </c>
      <c r="AS1284">
        <f t="shared" si="620"/>
        <v>128</v>
      </c>
      <c r="AT1284">
        <f t="shared" si="621"/>
        <v>117</v>
      </c>
      <c r="AU1284">
        <f t="shared" si="622"/>
        <v>85</v>
      </c>
      <c r="AV1284">
        <f t="shared" si="623"/>
        <v>76</v>
      </c>
      <c r="AW1284">
        <f t="shared" si="624"/>
        <v>63</v>
      </c>
      <c r="AX1284">
        <f t="shared" si="625"/>
        <v>125</v>
      </c>
      <c r="AY1284">
        <f t="shared" si="626"/>
        <v>114</v>
      </c>
      <c r="AZ1284">
        <f t="shared" si="627"/>
        <v>82</v>
      </c>
      <c r="BA1284">
        <f t="shared" si="628"/>
        <v>73</v>
      </c>
      <c r="BB1284">
        <f t="shared" si="629"/>
        <v>60</v>
      </c>
    </row>
    <row r="1285" spans="1:54" x14ac:dyDescent="0.15">
      <c r="A1285">
        <v>849</v>
      </c>
      <c r="B1285" t="s">
        <v>4525</v>
      </c>
      <c r="C1285">
        <v>998</v>
      </c>
      <c r="D1285">
        <v>0</v>
      </c>
      <c r="E1285" t="s">
        <v>4526</v>
      </c>
      <c r="G1285" t="s">
        <v>4526</v>
      </c>
      <c r="H1285" t="s">
        <v>4527</v>
      </c>
      <c r="J1285" t="s">
        <v>4528</v>
      </c>
      <c r="K1285">
        <v>210</v>
      </c>
      <c r="L1285">
        <v>2.1</v>
      </c>
      <c r="M1285" t="s">
        <v>60</v>
      </c>
      <c r="N1285" t="s">
        <v>202</v>
      </c>
      <c r="O1285" t="s">
        <v>4521</v>
      </c>
      <c r="P1285" t="s">
        <v>514</v>
      </c>
      <c r="R1285">
        <v>9</v>
      </c>
      <c r="S1285">
        <v>115</v>
      </c>
      <c r="T1285">
        <v>145</v>
      </c>
      <c r="U1285">
        <v>92</v>
      </c>
      <c r="V1285">
        <v>75</v>
      </c>
      <c r="W1285">
        <v>86</v>
      </c>
      <c r="X1285">
        <v>87</v>
      </c>
      <c r="Y1285">
        <f t="shared" si="600"/>
        <v>222</v>
      </c>
      <c r="Z1285">
        <f t="shared" si="601"/>
        <v>222</v>
      </c>
      <c r="AA1285">
        <f t="shared" si="602"/>
        <v>190</v>
      </c>
      <c r="AB1285">
        <f t="shared" si="603"/>
        <v>190</v>
      </c>
      <c r="AC1285">
        <f t="shared" si="604"/>
        <v>175</v>
      </c>
      <c r="AD1285">
        <f t="shared" si="605"/>
        <v>216</v>
      </c>
      <c r="AE1285">
        <f t="shared" si="606"/>
        <v>197</v>
      </c>
      <c r="AF1285">
        <f t="shared" si="607"/>
        <v>165</v>
      </c>
      <c r="AG1285">
        <f t="shared" si="608"/>
        <v>148</v>
      </c>
      <c r="AH1285">
        <f t="shared" si="609"/>
        <v>135</v>
      </c>
      <c r="AI1285">
        <f t="shared" si="610"/>
        <v>158</v>
      </c>
      <c r="AJ1285">
        <f t="shared" si="611"/>
        <v>144</v>
      </c>
      <c r="AK1285">
        <f t="shared" si="612"/>
        <v>112</v>
      </c>
      <c r="AL1285">
        <f t="shared" si="613"/>
        <v>100</v>
      </c>
      <c r="AM1285">
        <f t="shared" si="614"/>
        <v>87</v>
      </c>
      <c r="AN1285">
        <f t="shared" si="615"/>
        <v>139</v>
      </c>
      <c r="AO1285">
        <f t="shared" si="616"/>
        <v>127</v>
      </c>
      <c r="AP1285">
        <f t="shared" si="617"/>
        <v>95</v>
      </c>
      <c r="AQ1285">
        <f t="shared" si="618"/>
        <v>85</v>
      </c>
      <c r="AR1285">
        <f t="shared" si="619"/>
        <v>72</v>
      </c>
      <c r="AS1285">
        <f t="shared" si="620"/>
        <v>151</v>
      </c>
      <c r="AT1285">
        <f t="shared" si="621"/>
        <v>138</v>
      </c>
      <c r="AU1285">
        <f t="shared" si="622"/>
        <v>106</v>
      </c>
      <c r="AV1285">
        <f t="shared" si="623"/>
        <v>95</v>
      </c>
      <c r="AW1285">
        <f t="shared" si="624"/>
        <v>81</v>
      </c>
      <c r="AX1285">
        <f t="shared" si="625"/>
        <v>152</v>
      </c>
      <c r="AY1285">
        <f t="shared" si="626"/>
        <v>139</v>
      </c>
      <c r="AZ1285">
        <f t="shared" si="627"/>
        <v>107</v>
      </c>
      <c r="BA1285">
        <f t="shared" si="628"/>
        <v>96</v>
      </c>
      <c r="BB1285">
        <f t="shared" si="629"/>
        <v>82</v>
      </c>
    </row>
    <row r="1286" spans="1:54" x14ac:dyDescent="0.15">
      <c r="A1286">
        <v>879</v>
      </c>
      <c r="B1286" t="s">
        <v>4529</v>
      </c>
      <c r="C1286">
        <v>999</v>
      </c>
      <c r="D1286">
        <v>0</v>
      </c>
      <c r="E1286" t="s">
        <v>4530</v>
      </c>
      <c r="F1286" t="s">
        <v>4531</v>
      </c>
      <c r="G1286" t="s">
        <v>4532</v>
      </c>
      <c r="H1286" t="s">
        <v>4533</v>
      </c>
      <c r="J1286" t="s">
        <v>4534</v>
      </c>
      <c r="K1286">
        <v>5</v>
      </c>
      <c r="L1286">
        <v>0.3</v>
      </c>
      <c r="M1286" t="s">
        <v>546</v>
      </c>
      <c r="O1286" t="s">
        <v>736</v>
      </c>
      <c r="R1286">
        <v>9</v>
      </c>
      <c r="S1286">
        <v>45</v>
      </c>
      <c r="T1286">
        <v>30</v>
      </c>
      <c r="U1286">
        <v>70</v>
      </c>
      <c r="V1286">
        <v>75</v>
      </c>
      <c r="W1286">
        <v>70</v>
      </c>
      <c r="X1286">
        <v>10</v>
      </c>
      <c r="Y1286">
        <f t="shared" si="600"/>
        <v>152</v>
      </c>
      <c r="Z1286">
        <f t="shared" si="601"/>
        <v>152</v>
      </c>
      <c r="AA1286">
        <f t="shared" si="602"/>
        <v>120</v>
      </c>
      <c r="AB1286">
        <f t="shared" si="603"/>
        <v>120</v>
      </c>
      <c r="AC1286">
        <f t="shared" si="604"/>
        <v>105</v>
      </c>
      <c r="AD1286">
        <f t="shared" si="605"/>
        <v>90</v>
      </c>
      <c r="AE1286">
        <f t="shared" si="606"/>
        <v>82</v>
      </c>
      <c r="AF1286">
        <f t="shared" si="607"/>
        <v>50</v>
      </c>
      <c r="AG1286">
        <f t="shared" si="608"/>
        <v>45</v>
      </c>
      <c r="AH1286">
        <f t="shared" si="609"/>
        <v>31</v>
      </c>
      <c r="AI1286">
        <f t="shared" si="610"/>
        <v>134</v>
      </c>
      <c r="AJ1286">
        <f t="shared" si="611"/>
        <v>122</v>
      </c>
      <c r="AK1286">
        <f t="shared" si="612"/>
        <v>90</v>
      </c>
      <c r="AL1286">
        <f t="shared" si="613"/>
        <v>81</v>
      </c>
      <c r="AM1286">
        <f t="shared" si="614"/>
        <v>67</v>
      </c>
      <c r="AN1286">
        <f t="shared" si="615"/>
        <v>139</v>
      </c>
      <c r="AO1286">
        <f t="shared" si="616"/>
        <v>127</v>
      </c>
      <c r="AP1286">
        <f t="shared" si="617"/>
        <v>95</v>
      </c>
      <c r="AQ1286">
        <f t="shared" si="618"/>
        <v>85</v>
      </c>
      <c r="AR1286">
        <f t="shared" si="619"/>
        <v>72</v>
      </c>
      <c r="AS1286">
        <f t="shared" si="620"/>
        <v>134</v>
      </c>
      <c r="AT1286">
        <f t="shared" si="621"/>
        <v>122</v>
      </c>
      <c r="AU1286">
        <f t="shared" si="622"/>
        <v>90</v>
      </c>
      <c r="AV1286">
        <f t="shared" si="623"/>
        <v>81</v>
      </c>
      <c r="AW1286">
        <f t="shared" si="624"/>
        <v>67</v>
      </c>
      <c r="AX1286">
        <f t="shared" si="625"/>
        <v>68</v>
      </c>
      <c r="AY1286">
        <f t="shared" si="626"/>
        <v>62</v>
      </c>
      <c r="AZ1286">
        <f t="shared" si="627"/>
        <v>30</v>
      </c>
      <c r="BA1286">
        <f t="shared" si="628"/>
        <v>27</v>
      </c>
      <c r="BB1286">
        <f t="shared" si="629"/>
        <v>13</v>
      </c>
    </row>
    <row r="1287" spans="1:54" x14ac:dyDescent="0.15">
      <c r="A1287">
        <v>880</v>
      </c>
      <c r="B1287" t="s">
        <v>4535</v>
      </c>
      <c r="C1287">
        <v>999</v>
      </c>
      <c r="D1287">
        <v>1</v>
      </c>
      <c r="E1287" t="s">
        <v>4530</v>
      </c>
      <c r="F1287" t="s">
        <v>4536</v>
      </c>
      <c r="G1287" t="s">
        <v>4537</v>
      </c>
      <c r="H1287" t="s">
        <v>4538</v>
      </c>
      <c r="J1287" t="s">
        <v>4539</v>
      </c>
      <c r="K1287">
        <v>0.1</v>
      </c>
      <c r="L1287">
        <v>0.1</v>
      </c>
      <c r="M1287" t="s">
        <v>546</v>
      </c>
      <c r="O1287" t="s">
        <v>92</v>
      </c>
      <c r="R1287">
        <v>9</v>
      </c>
      <c r="S1287">
        <v>45</v>
      </c>
      <c r="T1287">
        <v>30</v>
      </c>
      <c r="U1287">
        <v>25</v>
      </c>
      <c r="V1287">
        <v>75</v>
      </c>
      <c r="W1287">
        <v>45</v>
      </c>
      <c r="X1287">
        <v>80</v>
      </c>
      <c r="Y1287">
        <f t="shared" si="600"/>
        <v>152</v>
      </c>
      <c r="Z1287">
        <f t="shared" si="601"/>
        <v>152</v>
      </c>
      <c r="AA1287">
        <f t="shared" si="602"/>
        <v>120</v>
      </c>
      <c r="AB1287">
        <f t="shared" si="603"/>
        <v>120</v>
      </c>
      <c r="AC1287">
        <f t="shared" si="604"/>
        <v>105</v>
      </c>
      <c r="AD1287">
        <f t="shared" si="605"/>
        <v>90</v>
      </c>
      <c r="AE1287">
        <f t="shared" si="606"/>
        <v>82</v>
      </c>
      <c r="AF1287">
        <f t="shared" si="607"/>
        <v>50</v>
      </c>
      <c r="AG1287">
        <f t="shared" si="608"/>
        <v>45</v>
      </c>
      <c r="AH1287">
        <f t="shared" si="609"/>
        <v>31</v>
      </c>
      <c r="AI1287">
        <f t="shared" si="610"/>
        <v>84</v>
      </c>
      <c r="AJ1287">
        <f t="shared" si="611"/>
        <v>77</v>
      </c>
      <c r="AK1287">
        <f t="shared" si="612"/>
        <v>45</v>
      </c>
      <c r="AL1287">
        <f t="shared" si="613"/>
        <v>40</v>
      </c>
      <c r="AM1287">
        <f t="shared" si="614"/>
        <v>27</v>
      </c>
      <c r="AN1287">
        <f t="shared" si="615"/>
        <v>139</v>
      </c>
      <c r="AO1287">
        <f t="shared" si="616"/>
        <v>127</v>
      </c>
      <c r="AP1287">
        <f t="shared" si="617"/>
        <v>95</v>
      </c>
      <c r="AQ1287">
        <f t="shared" si="618"/>
        <v>85</v>
      </c>
      <c r="AR1287">
        <f t="shared" si="619"/>
        <v>72</v>
      </c>
      <c r="AS1287">
        <f t="shared" si="620"/>
        <v>106</v>
      </c>
      <c r="AT1287">
        <f t="shared" si="621"/>
        <v>97</v>
      </c>
      <c r="AU1287">
        <f t="shared" si="622"/>
        <v>65</v>
      </c>
      <c r="AV1287">
        <f t="shared" si="623"/>
        <v>58</v>
      </c>
      <c r="AW1287">
        <f t="shared" si="624"/>
        <v>45</v>
      </c>
      <c r="AX1287">
        <f t="shared" si="625"/>
        <v>145</v>
      </c>
      <c r="AY1287">
        <f t="shared" si="626"/>
        <v>132</v>
      </c>
      <c r="AZ1287">
        <f t="shared" si="627"/>
        <v>100</v>
      </c>
      <c r="BA1287">
        <f t="shared" si="628"/>
        <v>90</v>
      </c>
      <c r="BB1287">
        <f t="shared" si="629"/>
        <v>76</v>
      </c>
    </row>
    <row r="1288" spans="1:54" x14ac:dyDescent="0.15">
      <c r="A1288">
        <v>881</v>
      </c>
      <c r="B1288" t="s">
        <v>4540</v>
      </c>
      <c r="C1288">
        <v>1000</v>
      </c>
      <c r="D1288">
        <v>0</v>
      </c>
      <c r="E1288" t="s">
        <v>4541</v>
      </c>
      <c r="G1288" t="s">
        <v>4541</v>
      </c>
      <c r="H1288" t="s">
        <v>4542</v>
      </c>
      <c r="J1288" t="s">
        <v>4543</v>
      </c>
      <c r="K1288">
        <v>30</v>
      </c>
      <c r="L1288">
        <v>1.2</v>
      </c>
      <c r="M1288" t="s">
        <v>203</v>
      </c>
      <c r="N1288" t="s">
        <v>546</v>
      </c>
      <c r="O1288" t="s">
        <v>4544</v>
      </c>
      <c r="R1288">
        <v>9</v>
      </c>
      <c r="S1288">
        <v>87</v>
      </c>
      <c r="T1288">
        <v>60</v>
      </c>
      <c r="U1288">
        <v>95</v>
      </c>
      <c r="V1288">
        <v>133</v>
      </c>
      <c r="W1288">
        <v>91</v>
      </c>
      <c r="X1288">
        <v>84</v>
      </c>
      <c r="Y1288">
        <f t="shared" si="600"/>
        <v>194</v>
      </c>
      <c r="Z1288">
        <f t="shared" si="601"/>
        <v>194</v>
      </c>
      <c r="AA1288">
        <f t="shared" si="602"/>
        <v>162</v>
      </c>
      <c r="AB1288">
        <f t="shared" si="603"/>
        <v>162</v>
      </c>
      <c r="AC1288">
        <f t="shared" si="604"/>
        <v>147</v>
      </c>
      <c r="AD1288">
        <f t="shared" si="605"/>
        <v>123</v>
      </c>
      <c r="AE1288">
        <f t="shared" si="606"/>
        <v>112</v>
      </c>
      <c r="AF1288">
        <f t="shared" si="607"/>
        <v>80</v>
      </c>
      <c r="AG1288">
        <f t="shared" si="608"/>
        <v>72</v>
      </c>
      <c r="AH1288">
        <f t="shared" si="609"/>
        <v>58</v>
      </c>
      <c r="AI1288">
        <f t="shared" si="610"/>
        <v>161</v>
      </c>
      <c r="AJ1288">
        <f t="shared" si="611"/>
        <v>147</v>
      </c>
      <c r="AK1288">
        <f t="shared" si="612"/>
        <v>115</v>
      </c>
      <c r="AL1288">
        <f t="shared" si="613"/>
        <v>103</v>
      </c>
      <c r="AM1288">
        <f t="shared" si="614"/>
        <v>90</v>
      </c>
      <c r="AN1288">
        <f t="shared" si="615"/>
        <v>203</v>
      </c>
      <c r="AO1288">
        <f t="shared" si="616"/>
        <v>185</v>
      </c>
      <c r="AP1288">
        <f t="shared" si="617"/>
        <v>153</v>
      </c>
      <c r="AQ1288">
        <f t="shared" si="618"/>
        <v>137</v>
      </c>
      <c r="AR1288">
        <f t="shared" si="619"/>
        <v>124</v>
      </c>
      <c r="AS1288">
        <f t="shared" si="620"/>
        <v>157</v>
      </c>
      <c r="AT1288">
        <f t="shared" si="621"/>
        <v>143</v>
      </c>
      <c r="AU1288">
        <f t="shared" si="622"/>
        <v>111</v>
      </c>
      <c r="AV1288">
        <f t="shared" si="623"/>
        <v>99</v>
      </c>
      <c r="AW1288">
        <f t="shared" si="624"/>
        <v>86</v>
      </c>
      <c r="AX1288">
        <f t="shared" si="625"/>
        <v>149</v>
      </c>
      <c r="AY1288">
        <f t="shared" si="626"/>
        <v>136</v>
      </c>
      <c r="AZ1288">
        <f t="shared" si="627"/>
        <v>104</v>
      </c>
      <c r="BA1288">
        <f t="shared" si="628"/>
        <v>93</v>
      </c>
      <c r="BB1288">
        <f t="shared" si="629"/>
        <v>80</v>
      </c>
    </row>
    <row r="1289" spans="1:54" x14ac:dyDescent="0.15">
      <c r="A1289">
        <v>901</v>
      </c>
      <c r="B1289" t="s">
        <v>4545</v>
      </c>
      <c r="C1289">
        <v>1001</v>
      </c>
      <c r="D1289">
        <v>0</v>
      </c>
      <c r="E1289" t="s">
        <v>4546</v>
      </c>
      <c r="G1289" t="s">
        <v>4546</v>
      </c>
      <c r="H1289" t="s">
        <v>4547</v>
      </c>
      <c r="J1289" t="s">
        <v>4548</v>
      </c>
      <c r="K1289">
        <v>74.2</v>
      </c>
      <c r="L1289">
        <v>1.5</v>
      </c>
      <c r="M1289" t="s">
        <v>140</v>
      </c>
      <c r="N1289" t="s">
        <v>26</v>
      </c>
      <c r="O1289" t="s">
        <v>4549</v>
      </c>
      <c r="R1289">
        <v>9</v>
      </c>
      <c r="S1289">
        <v>85</v>
      </c>
      <c r="T1289">
        <v>85</v>
      </c>
      <c r="U1289">
        <v>100</v>
      </c>
      <c r="V1289">
        <v>95</v>
      </c>
      <c r="W1289">
        <v>135</v>
      </c>
      <c r="X1289">
        <v>70</v>
      </c>
      <c r="Y1289">
        <f t="shared" si="600"/>
        <v>192</v>
      </c>
      <c r="Z1289">
        <f t="shared" si="601"/>
        <v>192</v>
      </c>
      <c r="AA1289">
        <f t="shared" si="602"/>
        <v>160</v>
      </c>
      <c r="AB1289">
        <f t="shared" si="603"/>
        <v>160</v>
      </c>
      <c r="AC1289">
        <f t="shared" si="604"/>
        <v>145</v>
      </c>
      <c r="AD1289">
        <f t="shared" si="605"/>
        <v>150</v>
      </c>
      <c r="AE1289">
        <f t="shared" si="606"/>
        <v>137</v>
      </c>
      <c r="AF1289">
        <f t="shared" si="607"/>
        <v>105</v>
      </c>
      <c r="AG1289">
        <f t="shared" si="608"/>
        <v>94</v>
      </c>
      <c r="AH1289">
        <f t="shared" si="609"/>
        <v>81</v>
      </c>
      <c r="AI1289">
        <f t="shared" si="610"/>
        <v>167</v>
      </c>
      <c r="AJ1289">
        <f t="shared" si="611"/>
        <v>152</v>
      </c>
      <c r="AK1289">
        <f t="shared" si="612"/>
        <v>120</v>
      </c>
      <c r="AL1289">
        <f t="shared" si="613"/>
        <v>108</v>
      </c>
      <c r="AM1289">
        <f t="shared" si="614"/>
        <v>94</v>
      </c>
      <c r="AN1289">
        <f t="shared" si="615"/>
        <v>161</v>
      </c>
      <c r="AO1289">
        <f t="shared" si="616"/>
        <v>147</v>
      </c>
      <c r="AP1289">
        <f t="shared" si="617"/>
        <v>115</v>
      </c>
      <c r="AQ1289">
        <f t="shared" si="618"/>
        <v>103</v>
      </c>
      <c r="AR1289">
        <f t="shared" si="619"/>
        <v>90</v>
      </c>
      <c r="AS1289">
        <f t="shared" si="620"/>
        <v>205</v>
      </c>
      <c r="AT1289">
        <f t="shared" si="621"/>
        <v>187</v>
      </c>
      <c r="AU1289">
        <f t="shared" si="622"/>
        <v>155</v>
      </c>
      <c r="AV1289">
        <f t="shared" si="623"/>
        <v>139</v>
      </c>
      <c r="AW1289">
        <f t="shared" si="624"/>
        <v>126</v>
      </c>
      <c r="AX1289">
        <f t="shared" si="625"/>
        <v>134</v>
      </c>
      <c r="AY1289">
        <f t="shared" si="626"/>
        <v>122</v>
      </c>
      <c r="AZ1289">
        <f t="shared" si="627"/>
        <v>90</v>
      </c>
      <c r="BA1289">
        <f t="shared" si="628"/>
        <v>81</v>
      </c>
      <c r="BB1289">
        <f t="shared" si="629"/>
        <v>67</v>
      </c>
    </row>
    <row r="1290" spans="1:54" x14ac:dyDescent="0.15">
      <c r="A1290">
        <v>900</v>
      </c>
      <c r="B1290" t="s">
        <v>4550</v>
      </c>
      <c r="C1290">
        <v>1002</v>
      </c>
      <c r="D1290">
        <v>0</v>
      </c>
      <c r="E1290" t="s">
        <v>4551</v>
      </c>
      <c r="G1290" t="s">
        <v>4551</v>
      </c>
      <c r="H1290" t="s">
        <v>4552</v>
      </c>
      <c r="J1290" t="s">
        <v>4548</v>
      </c>
      <c r="K1290">
        <v>152.19999999999999</v>
      </c>
      <c r="L1290">
        <v>1.9</v>
      </c>
      <c r="M1290" t="s">
        <v>140</v>
      </c>
      <c r="N1290" t="s">
        <v>202</v>
      </c>
      <c r="O1290" t="s">
        <v>4553</v>
      </c>
      <c r="R1290">
        <v>9</v>
      </c>
      <c r="S1290">
        <v>80</v>
      </c>
      <c r="T1290">
        <v>120</v>
      </c>
      <c r="U1290">
        <v>80</v>
      </c>
      <c r="V1290">
        <v>90</v>
      </c>
      <c r="W1290">
        <v>65</v>
      </c>
      <c r="X1290">
        <v>135</v>
      </c>
      <c r="Y1290">
        <f t="shared" si="600"/>
        <v>187</v>
      </c>
      <c r="Z1290">
        <f t="shared" si="601"/>
        <v>187</v>
      </c>
      <c r="AA1290">
        <f t="shared" si="602"/>
        <v>155</v>
      </c>
      <c r="AB1290">
        <f t="shared" si="603"/>
        <v>155</v>
      </c>
      <c r="AC1290">
        <f t="shared" si="604"/>
        <v>140</v>
      </c>
      <c r="AD1290">
        <f t="shared" si="605"/>
        <v>189</v>
      </c>
      <c r="AE1290">
        <f t="shared" si="606"/>
        <v>172</v>
      </c>
      <c r="AF1290">
        <f t="shared" si="607"/>
        <v>140</v>
      </c>
      <c r="AG1290">
        <f t="shared" si="608"/>
        <v>126</v>
      </c>
      <c r="AH1290">
        <f t="shared" si="609"/>
        <v>112</v>
      </c>
      <c r="AI1290">
        <f t="shared" si="610"/>
        <v>145</v>
      </c>
      <c r="AJ1290">
        <f t="shared" si="611"/>
        <v>132</v>
      </c>
      <c r="AK1290">
        <f t="shared" si="612"/>
        <v>100</v>
      </c>
      <c r="AL1290">
        <f t="shared" si="613"/>
        <v>90</v>
      </c>
      <c r="AM1290">
        <f t="shared" si="614"/>
        <v>76</v>
      </c>
      <c r="AN1290">
        <f t="shared" si="615"/>
        <v>156</v>
      </c>
      <c r="AO1290">
        <f t="shared" si="616"/>
        <v>142</v>
      </c>
      <c r="AP1290">
        <f t="shared" si="617"/>
        <v>110</v>
      </c>
      <c r="AQ1290">
        <f t="shared" si="618"/>
        <v>99</v>
      </c>
      <c r="AR1290">
        <f t="shared" si="619"/>
        <v>85</v>
      </c>
      <c r="AS1290">
        <f t="shared" si="620"/>
        <v>128</v>
      </c>
      <c r="AT1290">
        <f t="shared" si="621"/>
        <v>117</v>
      </c>
      <c r="AU1290">
        <f t="shared" si="622"/>
        <v>85</v>
      </c>
      <c r="AV1290">
        <f t="shared" si="623"/>
        <v>76</v>
      </c>
      <c r="AW1290">
        <f t="shared" si="624"/>
        <v>63</v>
      </c>
      <c r="AX1290">
        <f t="shared" si="625"/>
        <v>205</v>
      </c>
      <c r="AY1290">
        <f t="shared" si="626"/>
        <v>187</v>
      </c>
      <c r="AZ1290">
        <f t="shared" si="627"/>
        <v>155</v>
      </c>
      <c r="BA1290">
        <f t="shared" si="628"/>
        <v>139</v>
      </c>
      <c r="BB1290">
        <f t="shared" si="629"/>
        <v>126</v>
      </c>
    </row>
    <row r="1291" spans="1:54" x14ac:dyDescent="0.15">
      <c r="A1291">
        <v>899</v>
      </c>
      <c r="B1291" t="s">
        <v>4554</v>
      </c>
      <c r="C1291">
        <v>1003</v>
      </c>
      <c r="D1291">
        <v>0</v>
      </c>
      <c r="E1291" t="s">
        <v>4555</v>
      </c>
      <c r="G1291" t="s">
        <v>4555</v>
      </c>
      <c r="H1291" t="s">
        <v>4556</v>
      </c>
      <c r="J1291" t="s">
        <v>4548</v>
      </c>
      <c r="K1291">
        <v>699.7</v>
      </c>
      <c r="L1291">
        <v>2.7</v>
      </c>
      <c r="M1291" t="s">
        <v>140</v>
      </c>
      <c r="N1291" t="s">
        <v>196</v>
      </c>
      <c r="O1291" t="s">
        <v>4557</v>
      </c>
      <c r="R1291">
        <v>9</v>
      </c>
      <c r="S1291">
        <v>155</v>
      </c>
      <c r="T1291">
        <v>110</v>
      </c>
      <c r="U1291">
        <v>125</v>
      </c>
      <c r="V1291">
        <v>55</v>
      </c>
      <c r="W1291">
        <v>80</v>
      </c>
      <c r="X1291">
        <v>45</v>
      </c>
      <c r="Y1291">
        <f t="shared" si="600"/>
        <v>262</v>
      </c>
      <c r="Z1291">
        <f t="shared" si="601"/>
        <v>262</v>
      </c>
      <c r="AA1291">
        <f t="shared" si="602"/>
        <v>230</v>
      </c>
      <c r="AB1291">
        <f t="shared" si="603"/>
        <v>230</v>
      </c>
      <c r="AC1291">
        <f t="shared" si="604"/>
        <v>215</v>
      </c>
      <c r="AD1291">
        <f t="shared" si="605"/>
        <v>178</v>
      </c>
      <c r="AE1291">
        <f t="shared" si="606"/>
        <v>162</v>
      </c>
      <c r="AF1291">
        <f t="shared" si="607"/>
        <v>130</v>
      </c>
      <c r="AG1291">
        <f t="shared" si="608"/>
        <v>117</v>
      </c>
      <c r="AH1291">
        <f t="shared" si="609"/>
        <v>103</v>
      </c>
      <c r="AI1291">
        <f t="shared" si="610"/>
        <v>194</v>
      </c>
      <c r="AJ1291">
        <f t="shared" si="611"/>
        <v>177</v>
      </c>
      <c r="AK1291">
        <f t="shared" si="612"/>
        <v>145</v>
      </c>
      <c r="AL1291">
        <f t="shared" si="613"/>
        <v>130</v>
      </c>
      <c r="AM1291">
        <f t="shared" si="614"/>
        <v>117</v>
      </c>
      <c r="AN1291">
        <f t="shared" si="615"/>
        <v>117</v>
      </c>
      <c r="AO1291">
        <f t="shared" si="616"/>
        <v>107</v>
      </c>
      <c r="AP1291">
        <f t="shared" si="617"/>
        <v>75</v>
      </c>
      <c r="AQ1291">
        <f t="shared" si="618"/>
        <v>67</v>
      </c>
      <c r="AR1291">
        <f t="shared" si="619"/>
        <v>54</v>
      </c>
      <c r="AS1291">
        <f t="shared" si="620"/>
        <v>145</v>
      </c>
      <c r="AT1291">
        <f t="shared" si="621"/>
        <v>132</v>
      </c>
      <c r="AU1291">
        <f t="shared" si="622"/>
        <v>100</v>
      </c>
      <c r="AV1291">
        <f t="shared" si="623"/>
        <v>90</v>
      </c>
      <c r="AW1291">
        <f t="shared" si="624"/>
        <v>76</v>
      </c>
      <c r="AX1291">
        <f t="shared" si="625"/>
        <v>106</v>
      </c>
      <c r="AY1291">
        <f t="shared" si="626"/>
        <v>97</v>
      </c>
      <c r="AZ1291">
        <f t="shared" si="627"/>
        <v>65</v>
      </c>
      <c r="BA1291">
        <f t="shared" si="628"/>
        <v>58</v>
      </c>
      <c r="BB1291">
        <f t="shared" si="629"/>
        <v>45</v>
      </c>
    </row>
    <row r="1292" spans="1:54" x14ac:dyDescent="0.15">
      <c r="A1292">
        <v>902</v>
      </c>
      <c r="B1292" t="s">
        <v>4558</v>
      </c>
      <c r="C1292">
        <v>1004</v>
      </c>
      <c r="D1292">
        <v>0</v>
      </c>
      <c r="E1292" t="s">
        <v>4559</v>
      </c>
      <c r="G1292" t="s">
        <v>4559</v>
      </c>
      <c r="H1292" t="s">
        <v>4560</v>
      </c>
      <c r="J1292" t="s">
        <v>4548</v>
      </c>
      <c r="K1292">
        <v>4.9000000000000004</v>
      </c>
      <c r="L1292">
        <v>0.4</v>
      </c>
      <c r="M1292" t="s">
        <v>140</v>
      </c>
      <c r="N1292" t="s">
        <v>47</v>
      </c>
      <c r="O1292" t="s">
        <v>4561</v>
      </c>
      <c r="R1292">
        <v>9</v>
      </c>
      <c r="S1292">
        <v>55</v>
      </c>
      <c r="T1292">
        <v>80</v>
      </c>
      <c r="U1292">
        <v>80</v>
      </c>
      <c r="V1292">
        <v>135</v>
      </c>
      <c r="W1292">
        <v>120</v>
      </c>
      <c r="X1292">
        <v>100</v>
      </c>
      <c r="Y1292">
        <f t="shared" si="600"/>
        <v>162</v>
      </c>
      <c r="Z1292">
        <f t="shared" si="601"/>
        <v>162</v>
      </c>
      <c r="AA1292">
        <f t="shared" si="602"/>
        <v>130</v>
      </c>
      <c r="AB1292">
        <f t="shared" si="603"/>
        <v>130</v>
      </c>
      <c r="AC1292">
        <f t="shared" si="604"/>
        <v>115</v>
      </c>
      <c r="AD1292">
        <f t="shared" si="605"/>
        <v>145</v>
      </c>
      <c r="AE1292">
        <f t="shared" si="606"/>
        <v>132</v>
      </c>
      <c r="AF1292">
        <f t="shared" si="607"/>
        <v>100</v>
      </c>
      <c r="AG1292">
        <f t="shared" si="608"/>
        <v>90</v>
      </c>
      <c r="AH1292">
        <f t="shared" si="609"/>
        <v>76</v>
      </c>
      <c r="AI1292">
        <f t="shared" si="610"/>
        <v>145</v>
      </c>
      <c r="AJ1292">
        <f t="shared" si="611"/>
        <v>132</v>
      </c>
      <c r="AK1292">
        <f t="shared" si="612"/>
        <v>100</v>
      </c>
      <c r="AL1292">
        <f t="shared" si="613"/>
        <v>90</v>
      </c>
      <c r="AM1292">
        <f t="shared" si="614"/>
        <v>76</v>
      </c>
      <c r="AN1292">
        <f t="shared" si="615"/>
        <v>205</v>
      </c>
      <c r="AO1292">
        <f t="shared" si="616"/>
        <v>187</v>
      </c>
      <c r="AP1292">
        <f t="shared" si="617"/>
        <v>155</v>
      </c>
      <c r="AQ1292">
        <f t="shared" si="618"/>
        <v>139</v>
      </c>
      <c r="AR1292">
        <f t="shared" si="619"/>
        <v>126</v>
      </c>
      <c r="AS1292">
        <f t="shared" si="620"/>
        <v>189</v>
      </c>
      <c r="AT1292">
        <f t="shared" si="621"/>
        <v>172</v>
      </c>
      <c r="AU1292">
        <f t="shared" si="622"/>
        <v>140</v>
      </c>
      <c r="AV1292">
        <f t="shared" si="623"/>
        <v>126</v>
      </c>
      <c r="AW1292">
        <f t="shared" si="624"/>
        <v>112</v>
      </c>
      <c r="AX1292">
        <f t="shared" si="625"/>
        <v>167</v>
      </c>
      <c r="AY1292">
        <f t="shared" si="626"/>
        <v>152</v>
      </c>
      <c r="AZ1292">
        <f t="shared" si="627"/>
        <v>120</v>
      </c>
      <c r="BA1292">
        <f t="shared" si="628"/>
        <v>108</v>
      </c>
      <c r="BB1292">
        <f t="shared" si="629"/>
        <v>94</v>
      </c>
    </row>
    <row r="1293" spans="1:54" x14ac:dyDescent="0.15">
      <c r="A1293">
        <v>890</v>
      </c>
      <c r="B1293" t="s">
        <v>4562</v>
      </c>
      <c r="C1293">
        <v>1005</v>
      </c>
      <c r="D1293">
        <v>0</v>
      </c>
      <c r="E1293" t="s">
        <v>4563</v>
      </c>
      <c r="G1293" t="s">
        <v>4563</v>
      </c>
      <c r="H1293" t="s">
        <v>4564</v>
      </c>
      <c r="J1293" t="s">
        <v>4481</v>
      </c>
      <c r="K1293">
        <v>380</v>
      </c>
      <c r="L1293">
        <v>2</v>
      </c>
      <c r="M1293" t="s">
        <v>60</v>
      </c>
      <c r="N1293" t="s">
        <v>140</v>
      </c>
      <c r="O1293" t="s">
        <v>4482</v>
      </c>
      <c r="R1293">
        <v>9</v>
      </c>
      <c r="S1293">
        <v>105</v>
      </c>
      <c r="T1293">
        <v>139</v>
      </c>
      <c r="U1293">
        <v>71</v>
      </c>
      <c r="V1293">
        <v>55</v>
      </c>
      <c r="W1293">
        <v>101</v>
      </c>
      <c r="X1293">
        <v>119</v>
      </c>
      <c r="Y1293">
        <f t="shared" si="600"/>
        <v>212</v>
      </c>
      <c r="Z1293">
        <f t="shared" si="601"/>
        <v>212</v>
      </c>
      <c r="AA1293">
        <f t="shared" si="602"/>
        <v>180</v>
      </c>
      <c r="AB1293">
        <f t="shared" si="603"/>
        <v>180</v>
      </c>
      <c r="AC1293">
        <f t="shared" si="604"/>
        <v>165</v>
      </c>
      <c r="AD1293">
        <f t="shared" si="605"/>
        <v>210</v>
      </c>
      <c r="AE1293">
        <f t="shared" si="606"/>
        <v>191</v>
      </c>
      <c r="AF1293">
        <f t="shared" si="607"/>
        <v>159</v>
      </c>
      <c r="AG1293">
        <f t="shared" si="608"/>
        <v>143</v>
      </c>
      <c r="AH1293">
        <f t="shared" si="609"/>
        <v>129</v>
      </c>
      <c r="AI1293">
        <f t="shared" si="610"/>
        <v>135</v>
      </c>
      <c r="AJ1293">
        <f t="shared" si="611"/>
        <v>123</v>
      </c>
      <c r="AK1293">
        <f t="shared" si="612"/>
        <v>91</v>
      </c>
      <c r="AL1293">
        <f t="shared" si="613"/>
        <v>81</v>
      </c>
      <c r="AM1293">
        <f t="shared" si="614"/>
        <v>68</v>
      </c>
      <c r="AN1293">
        <f t="shared" si="615"/>
        <v>117</v>
      </c>
      <c r="AO1293">
        <f t="shared" si="616"/>
        <v>107</v>
      </c>
      <c r="AP1293">
        <f t="shared" si="617"/>
        <v>75</v>
      </c>
      <c r="AQ1293">
        <f t="shared" si="618"/>
        <v>67</v>
      </c>
      <c r="AR1293">
        <f t="shared" si="619"/>
        <v>54</v>
      </c>
      <c r="AS1293">
        <f t="shared" si="620"/>
        <v>168</v>
      </c>
      <c r="AT1293">
        <f t="shared" si="621"/>
        <v>153</v>
      </c>
      <c r="AU1293">
        <f t="shared" si="622"/>
        <v>121</v>
      </c>
      <c r="AV1293">
        <f t="shared" si="623"/>
        <v>108</v>
      </c>
      <c r="AW1293">
        <f t="shared" si="624"/>
        <v>95</v>
      </c>
      <c r="AX1293">
        <f t="shared" si="625"/>
        <v>188</v>
      </c>
      <c r="AY1293">
        <f t="shared" si="626"/>
        <v>171</v>
      </c>
      <c r="AZ1293">
        <f t="shared" si="627"/>
        <v>139</v>
      </c>
      <c r="BA1293">
        <f t="shared" si="628"/>
        <v>125</v>
      </c>
      <c r="BB1293">
        <f t="shared" si="629"/>
        <v>111</v>
      </c>
    </row>
    <row r="1294" spans="1:54" x14ac:dyDescent="0.15">
      <c r="A1294">
        <v>898</v>
      </c>
      <c r="B1294" t="s">
        <v>4565</v>
      </c>
      <c r="C1294">
        <v>1006</v>
      </c>
      <c r="D1294">
        <v>0</v>
      </c>
      <c r="E1294" t="s">
        <v>4566</v>
      </c>
      <c r="G1294" t="s">
        <v>4566</v>
      </c>
      <c r="H1294" t="s">
        <v>4567</v>
      </c>
      <c r="J1294" t="s">
        <v>4481</v>
      </c>
      <c r="K1294">
        <v>35</v>
      </c>
      <c r="L1294">
        <v>1.4</v>
      </c>
      <c r="M1294" t="s">
        <v>233</v>
      </c>
      <c r="N1294" t="s">
        <v>354</v>
      </c>
      <c r="O1294" t="s">
        <v>4501</v>
      </c>
      <c r="R1294">
        <v>9</v>
      </c>
      <c r="S1294">
        <v>74</v>
      </c>
      <c r="T1294">
        <v>130</v>
      </c>
      <c r="U1294">
        <v>90</v>
      </c>
      <c r="V1294">
        <v>120</v>
      </c>
      <c r="W1294">
        <v>60</v>
      </c>
      <c r="X1294">
        <v>116</v>
      </c>
      <c r="Y1294">
        <f t="shared" si="600"/>
        <v>181</v>
      </c>
      <c r="Z1294">
        <f t="shared" si="601"/>
        <v>181</v>
      </c>
      <c r="AA1294">
        <f t="shared" si="602"/>
        <v>149</v>
      </c>
      <c r="AB1294">
        <f t="shared" si="603"/>
        <v>149</v>
      </c>
      <c r="AC1294">
        <f t="shared" si="604"/>
        <v>134</v>
      </c>
      <c r="AD1294">
        <f t="shared" si="605"/>
        <v>200</v>
      </c>
      <c r="AE1294">
        <f t="shared" si="606"/>
        <v>182</v>
      </c>
      <c r="AF1294">
        <f t="shared" si="607"/>
        <v>150</v>
      </c>
      <c r="AG1294">
        <f t="shared" si="608"/>
        <v>135</v>
      </c>
      <c r="AH1294">
        <f t="shared" si="609"/>
        <v>121</v>
      </c>
      <c r="AI1294">
        <f t="shared" si="610"/>
        <v>156</v>
      </c>
      <c r="AJ1294">
        <f t="shared" si="611"/>
        <v>142</v>
      </c>
      <c r="AK1294">
        <f t="shared" si="612"/>
        <v>110</v>
      </c>
      <c r="AL1294">
        <f t="shared" si="613"/>
        <v>99</v>
      </c>
      <c r="AM1294">
        <f t="shared" si="614"/>
        <v>85</v>
      </c>
      <c r="AN1294">
        <f t="shared" si="615"/>
        <v>189</v>
      </c>
      <c r="AO1294">
        <f t="shared" si="616"/>
        <v>172</v>
      </c>
      <c r="AP1294">
        <f t="shared" si="617"/>
        <v>140</v>
      </c>
      <c r="AQ1294">
        <f t="shared" si="618"/>
        <v>126</v>
      </c>
      <c r="AR1294">
        <f t="shared" si="619"/>
        <v>112</v>
      </c>
      <c r="AS1294">
        <f t="shared" si="620"/>
        <v>123</v>
      </c>
      <c r="AT1294">
        <f t="shared" si="621"/>
        <v>112</v>
      </c>
      <c r="AU1294">
        <f t="shared" si="622"/>
        <v>80</v>
      </c>
      <c r="AV1294">
        <f t="shared" si="623"/>
        <v>72</v>
      </c>
      <c r="AW1294">
        <f t="shared" si="624"/>
        <v>58</v>
      </c>
      <c r="AX1294">
        <f t="shared" si="625"/>
        <v>184</v>
      </c>
      <c r="AY1294">
        <f t="shared" si="626"/>
        <v>168</v>
      </c>
      <c r="AZ1294">
        <f t="shared" si="627"/>
        <v>136</v>
      </c>
      <c r="BA1294">
        <f t="shared" si="628"/>
        <v>122</v>
      </c>
      <c r="BB1294">
        <f t="shared" si="629"/>
        <v>108</v>
      </c>
    </row>
    <row r="1295" spans="1:54" x14ac:dyDescent="0.15">
      <c r="A1295">
        <v>903</v>
      </c>
      <c r="B1295" t="s">
        <v>4568</v>
      </c>
      <c r="C1295">
        <v>1007</v>
      </c>
      <c r="D1295">
        <v>0</v>
      </c>
      <c r="E1295" t="s">
        <v>4569</v>
      </c>
      <c r="G1295" t="s">
        <v>4569</v>
      </c>
      <c r="H1295" t="s">
        <v>4570</v>
      </c>
      <c r="J1295" t="s">
        <v>4481</v>
      </c>
      <c r="K1295">
        <v>303</v>
      </c>
      <c r="L1295">
        <v>2.5</v>
      </c>
      <c r="M1295" t="s">
        <v>354</v>
      </c>
      <c r="N1295" t="s">
        <v>60</v>
      </c>
      <c r="O1295" t="s">
        <v>4571</v>
      </c>
      <c r="R1295">
        <v>9</v>
      </c>
      <c r="S1295">
        <v>100</v>
      </c>
      <c r="T1295">
        <v>135</v>
      </c>
      <c r="U1295">
        <v>115</v>
      </c>
      <c r="V1295">
        <v>85</v>
      </c>
      <c r="W1295">
        <v>100</v>
      </c>
      <c r="X1295">
        <v>135</v>
      </c>
      <c r="Y1295">
        <f t="shared" si="600"/>
        <v>207</v>
      </c>
      <c r="Z1295">
        <f t="shared" si="601"/>
        <v>207</v>
      </c>
      <c r="AA1295">
        <f t="shared" si="602"/>
        <v>175</v>
      </c>
      <c r="AB1295">
        <f t="shared" si="603"/>
        <v>175</v>
      </c>
      <c r="AC1295">
        <f t="shared" si="604"/>
        <v>160</v>
      </c>
      <c r="AD1295">
        <f t="shared" si="605"/>
        <v>205</v>
      </c>
      <c r="AE1295">
        <f t="shared" si="606"/>
        <v>187</v>
      </c>
      <c r="AF1295">
        <f t="shared" si="607"/>
        <v>155</v>
      </c>
      <c r="AG1295">
        <f t="shared" si="608"/>
        <v>139</v>
      </c>
      <c r="AH1295">
        <f t="shared" si="609"/>
        <v>126</v>
      </c>
      <c r="AI1295">
        <f t="shared" si="610"/>
        <v>183</v>
      </c>
      <c r="AJ1295">
        <f t="shared" si="611"/>
        <v>167</v>
      </c>
      <c r="AK1295">
        <f t="shared" si="612"/>
        <v>135</v>
      </c>
      <c r="AL1295">
        <f t="shared" si="613"/>
        <v>121</v>
      </c>
      <c r="AM1295">
        <f t="shared" si="614"/>
        <v>108</v>
      </c>
      <c r="AN1295">
        <f t="shared" si="615"/>
        <v>150</v>
      </c>
      <c r="AO1295">
        <f t="shared" si="616"/>
        <v>137</v>
      </c>
      <c r="AP1295">
        <f t="shared" si="617"/>
        <v>105</v>
      </c>
      <c r="AQ1295">
        <f t="shared" si="618"/>
        <v>94</v>
      </c>
      <c r="AR1295">
        <f t="shared" si="619"/>
        <v>81</v>
      </c>
      <c r="AS1295">
        <f t="shared" si="620"/>
        <v>167</v>
      </c>
      <c r="AT1295">
        <f t="shared" si="621"/>
        <v>152</v>
      </c>
      <c r="AU1295">
        <f t="shared" si="622"/>
        <v>120</v>
      </c>
      <c r="AV1295">
        <f t="shared" si="623"/>
        <v>108</v>
      </c>
      <c r="AW1295">
        <f t="shared" si="624"/>
        <v>94</v>
      </c>
      <c r="AX1295">
        <f t="shared" si="625"/>
        <v>205</v>
      </c>
      <c r="AY1295">
        <f t="shared" si="626"/>
        <v>187</v>
      </c>
      <c r="AZ1295">
        <f t="shared" si="627"/>
        <v>155</v>
      </c>
      <c r="BA1295">
        <f t="shared" si="628"/>
        <v>139</v>
      </c>
      <c r="BB1295">
        <f t="shared" si="629"/>
        <v>126</v>
      </c>
    </row>
    <row r="1296" spans="1:54" x14ac:dyDescent="0.15">
      <c r="A1296">
        <v>906</v>
      </c>
      <c r="B1296" t="s">
        <v>4572</v>
      </c>
      <c r="C1296">
        <v>1008</v>
      </c>
      <c r="D1296">
        <v>0</v>
      </c>
      <c r="E1296" t="s">
        <v>4573</v>
      </c>
      <c r="G1296" t="s">
        <v>4573</v>
      </c>
      <c r="H1296" t="s">
        <v>4574</v>
      </c>
      <c r="J1296" t="s">
        <v>4481</v>
      </c>
      <c r="K1296">
        <v>240</v>
      </c>
      <c r="L1296">
        <v>3.5</v>
      </c>
      <c r="M1296" t="s">
        <v>164</v>
      </c>
      <c r="N1296" t="s">
        <v>60</v>
      </c>
      <c r="O1296" t="s">
        <v>4575</v>
      </c>
      <c r="R1296">
        <v>9</v>
      </c>
      <c r="S1296">
        <v>100</v>
      </c>
      <c r="T1296">
        <v>85</v>
      </c>
      <c r="U1296">
        <v>100</v>
      </c>
      <c r="V1296">
        <v>135</v>
      </c>
      <c r="W1296">
        <v>115</v>
      </c>
      <c r="X1296">
        <v>135</v>
      </c>
      <c r="Y1296">
        <f t="shared" si="600"/>
        <v>207</v>
      </c>
      <c r="Z1296">
        <f t="shared" si="601"/>
        <v>207</v>
      </c>
      <c r="AA1296">
        <f t="shared" si="602"/>
        <v>175</v>
      </c>
      <c r="AB1296">
        <f t="shared" si="603"/>
        <v>175</v>
      </c>
      <c r="AC1296">
        <f t="shared" si="604"/>
        <v>160</v>
      </c>
      <c r="AD1296">
        <f t="shared" si="605"/>
        <v>150</v>
      </c>
      <c r="AE1296">
        <f t="shared" si="606"/>
        <v>137</v>
      </c>
      <c r="AF1296">
        <f t="shared" si="607"/>
        <v>105</v>
      </c>
      <c r="AG1296">
        <f t="shared" si="608"/>
        <v>94</v>
      </c>
      <c r="AH1296">
        <f t="shared" si="609"/>
        <v>81</v>
      </c>
      <c r="AI1296">
        <f t="shared" si="610"/>
        <v>167</v>
      </c>
      <c r="AJ1296">
        <f t="shared" si="611"/>
        <v>152</v>
      </c>
      <c r="AK1296">
        <f t="shared" si="612"/>
        <v>120</v>
      </c>
      <c r="AL1296">
        <f t="shared" si="613"/>
        <v>108</v>
      </c>
      <c r="AM1296">
        <f t="shared" si="614"/>
        <v>94</v>
      </c>
      <c r="AN1296">
        <f t="shared" si="615"/>
        <v>205</v>
      </c>
      <c r="AO1296">
        <f t="shared" si="616"/>
        <v>187</v>
      </c>
      <c r="AP1296">
        <f t="shared" si="617"/>
        <v>155</v>
      </c>
      <c r="AQ1296">
        <f t="shared" si="618"/>
        <v>139</v>
      </c>
      <c r="AR1296">
        <f t="shared" si="619"/>
        <v>126</v>
      </c>
      <c r="AS1296">
        <f t="shared" si="620"/>
        <v>183</v>
      </c>
      <c r="AT1296">
        <f t="shared" si="621"/>
        <v>167</v>
      </c>
      <c r="AU1296">
        <f t="shared" si="622"/>
        <v>135</v>
      </c>
      <c r="AV1296">
        <f t="shared" si="623"/>
        <v>121</v>
      </c>
      <c r="AW1296">
        <f t="shared" si="624"/>
        <v>108</v>
      </c>
      <c r="AX1296">
        <f t="shared" si="625"/>
        <v>205</v>
      </c>
      <c r="AY1296">
        <f t="shared" si="626"/>
        <v>187</v>
      </c>
      <c r="AZ1296">
        <f t="shared" si="627"/>
        <v>155</v>
      </c>
      <c r="BA1296">
        <f t="shared" si="628"/>
        <v>139</v>
      </c>
      <c r="BB1296">
        <f t="shared" si="629"/>
        <v>126</v>
      </c>
    </row>
    <row r="1297" spans="1:54" x14ac:dyDescent="0.15">
      <c r="A1297">
        <v>884</v>
      </c>
      <c r="B1297" t="s">
        <v>4576</v>
      </c>
      <c r="C1297">
        <v>1009</v>
      </c>
      <c r="D1297">
        <v>0</v>
      </c>
      <c r="E1297" t="s">
        <v>4577</v>
      </c>
      <c r="G1297" t="s">
        <v>4577</v>
      </c>
      <c r="H1297" t="s">
        <v>4578</v>
      </c>
      <c r="J1297" t="s">
        <v>4481</v>
      </c>
      <c r="K1297">
        <v>280</v>
      </c>
      <c r="L1297">
        <v>3.5</v>
      </c>
      <c r="M1297" t="s">
        <v>71</v>
      </c>
      <c r="N1297" t="s">
        <v>60</v>
      </c>
      <c r="O1297" t="s">
        <v>4482</v>
      </c>
      <c r="R1297">
        <v>9</v>
      </c>
      <c r="S1297">
        <v>99</v>
      </c>
      <c r="T1297">
        <v>83</v>
      </c>
      <c r="U1297">
        <v>91</v>
      </c>
      <c r="V1297">
        <v>125</v>
      </c>
      <c r="W1297">
        <v>83</v>
      </c>
      <c r="X1297">
        <v>109</v>
      </c>
      <c r="Y1297">
        <f t="shared" si="600"/>
        <v>206</v>
      </c>
      <c r="Z1297">
        <f t="shared" si="601"/>
        <v>206</v>
      </c>
      <c r="AA1297">
        <f t="shared" si="602"/>
        <v>174</v>
      </c>
      <c r="AB1297">
        <f t="shared" si="603"/>
        <v>174</v>
      </c>
      <c r="AC1297">
        <f t="shared" si="604"/>
        <v>159</v>
      </c>
      <c r="AD1297">
        <f t="shared" si="605"/>
        <v>148</v>
      </c>
      <c r="AE1297">
        <f t="shared" si="606"/>
        <v>135</v>
      </c>
      <c r="AF1297">
        <f t="shared" si="607"/>
        <v>103</v>
      </c>
      <c r="AG1297">
        <f t="shared" si="608"/>
        <v>92</v>
      </c>
      <c r="AH1297">
        <f t="shared" si="609"/>
        <v>79</v>
      </c>
      <c r="AI1297">
        <f t="shared" si="610"/>
        <v>157</v>
      </c>
      <c r="AJ1297">
        <f t="shared" si="611"/>
        <v>143</v>
      </c>
      <c r="AK1297">
        <f t="shared" si="612"/>
        <v>111</v>
      </c>
      <c r="AL1297">
        <f t="shared" si="613"/>
        <v>99</v>
      </c>
      <c r="AM1297">
        <f t="shared" si="614"/>
        <v>86</v>
      </c>
      <c r="AN1297">
        <f t="shared" si="615"/>
        <v>194</v>
      </c>
      <c r="AO1297">
        <f t="shared" si="616"/>
        <v>177</v>
      </c>
      <c r="AP1297">
        <f t="shared" si="617"/>
        <v>145</v>
      </c>
      <c r="AQ1297">
        <f t="shared" si="618"/>
        <v>130</v>
      </c>
      <c r="AR1297">
        <f t="shared" si="619"/>
        <v>117</v>
      </c>
      <c r="AS1297">
        <f t="shared" si="620"/>
        <v>148</v>
      </c>
      <c r="AT1297">
        <f t="shared" si="621"/>
        <v>135</v>
      </c>
      <c r="AU1297">
        <f t="shared" si="622"/>
        <v>103</v>
      </c>
      <c r="AV1297">
        <f t="shared" si="623"/>
        <v>92</v>
      </c>
      <c r="AW1297">
        <f t="shared" si="624"/>
        <v>79</v>
      </c>
      <c r="AX1297">
        <f t="shared" si="625"/>
        <v>177</v>
      </c>
      <c r="AY1297">
        <f t="shared" si="626"/>
        <v>161</v>
      </c>
      <c r="AZ1297">
        <f t="shared" si="627"/>
        <v>129</v>
      </c>
      <c r="BA1297">
        <f t="shared" si="628"/>
        <v>116</v>
      </c>
      <c r="BB1297">
        <f t="shared" si="629"/>
        <v>102</v>
      </c>
    </row>
    <row r="1298" spans="1:54" x14ac:dyDescent="0.15">
      <c r="A1298">
        <v>892</v>
      </c>
      <c r="B1298" t="s">
        <v>4579</v>
      </c>
      <c r="C1298">
        <v>1010</v>
      </c>
      <c r="D1298">
        <v>0</v>
      </c>
      <c r="E1298" t="s">
        <v>4580</v>
      </c>
      <c r="G1298" t="s">
        <v>4580</v>
      </c>
      <c r="H1298" t="s">
        <v>4581</v>
      </c>
      <c r="J1298" t="s">
        <v>4481</v>
      </c>
      <c r="K1298">
        <v>125</v>
      </c>
      <c r="L1298">
        <v>1.5</v>
      </c>
      <c r="M1298" t="s">
        <v>26</v>
      </c>
      <c r="N1298" t="s">
        <v>191</v>
      </c>
      <c r="O1298" t="s">
        <v>4501</v>
      </c>
      <c r="R1298">
        <v>9</v>
      </c>
      <c r="S1298">
        <v>90</v>
      </c>
      <c r="T1298">
        <v>130</v>
      </c>
      <c r="U1298">
        <v>88</v>
      </c>
      <c r="V1298">
        <v>70</v>
      </c>
      <c r="W1298">
        <v>108</v>
      </c>
      <c r="X1298">
        <v>104</v>
      </c>
      <c r="Y1298">
        <f t="shared" si="600"/>
        <v>197</v>
      </c>
      <c r="Z1298">
        <f t="shared" si="601"/>
        <v>197</v>
      </c>
      <c r="AA1298">
        <f t="shared" si="602"/>
        <v>165</v>
      </c>
      <c r="AB1298">
        <f t="shared" si="603"/>
        <v>165</v>
      </c>
      <c r="AC1298">
        <f t="shared" si="604"/>
        <v>150</v>
      </c>
      <c r="AD1298">
        <f t="shared" si="605"/>
        <v>200</v>
      </c>
      <c r="AE1298">
        <f t="shared" si="606"/>
        <v>182</v>
      </c>
      <c r="AF1298">
        <f t="shared" si="607"/>
        <v>150</v>
      </c>
      <c r="AG1298">
        <f t="shared" si="608"/>
        <v>135</v>
      </c>
      <c r="AH1298">
        <f t="shared" si="609"/>
        <v>121</v>
      </c>
      <c r="AI1298">
        <f t="shared" si="610"/>
        <v>154</v>
      </c>
      <c r="AJ1298">
        <f t="shared" si="611"/>
        <v>140</v>
      </c>
      <c r="AK1298">
        <f t="shared" si="612"/>
        <v>108</v>
      </c>
      <c r="AL1298">
        <f t="shared" si="613"/>
        <v>97</v>
      </c>
      <c r="AM1298">
        <f t="shared" si="614"/>
        <v>83</v>
      </c>
      <c r="AN1298">
        <f t="shared" si="615"/>
        <v>134</v>
      </c>
      <c r="AO1298">
        <f t="shared" si="616"/>
        <v>122</v>
      </c>
      <c r="AP1298">
        <f t="shared" si="617"/>
        <v>90</v>
      </c>
      <c r="AQ1298">
        <f t="shared" si="618"/>
        <v>81</v>
      </c>
      <c r="AR1298">
        <f t="shared" si="619"/>
        <v>67</v>
      </c>
      <c r="AS1298">
        <f t="shared" si="620"/>
        <v>176</v>
      </c>
      <c r="AT1298">
        <f t="shared" si="621"/>
        <v>160</v>
      </c>
      <c r="AU1298">
        <f t="shared" si="622"/>
        <v>128</v>
      </c>
      <c r="AV1298">
        <f t="shared" si="623"/>
        <v>115</v>
      </c>
      <c r="AW1298">
        <f t="shared" si="624"/>
        <v>101</v>
      </c>
      <c r="AX1298">
        <f t="shared" si="625"/>
        <v>171</v>
      </c>
      <c r="AY1298">
        <f t="shared" si="626"/>
        <v>156</v>
      </c>
      <c r="AZ1298">
        <f t="shared" si="627"/>
        <v>124</v>
      </c>
      <c r="BA1298">
        <f t="shared" si="628"/>
        <v>111</v>
      </c>
      <c r="BB1298">
        <f t="shared" si="629"/>
        <v>98</v>
      </c>
    </row>
    <row r="1299" spans="1:54" x14ac:dyDescent="0.15">
      <c r="A1299">
        <v>924</v>
      </c>
      <c r="B1299" t="s">
        <v>4582</v>
      </c>
      <c r="C1299">
        <v>1011</v>
      </c>
      <c r="D1299">
        <v>0</v>
      </c>
      <c r="E1299" t="s">
        <v>4583</v>
      </c>
      <c r="G1299" t="s">
        <v>4583</v>
      </c>
      <c r="H1299" t="s">
        <v>4584</v>
      </c>
      <c r="J1299" t="s">
        <v>4585</v>
      </c>
      <c r="K1299">
        <v>4.4000000000000004</v>
      </c>
      <c r="L1299">
        <v>0.4</v>
      </c>
      <c r="M1299" t="s">
        <v>26</v>
      </c>
      <c r="N1299" t="s">
        <v>60</v>
      </c>
      <c r="O1299" t="s">
        <v>4586</v>
      </c>
      <c r="P1299" t="s">
        <v>141</v>
      </c>
      <c r="Q1299" t="s">
        <v>522</v>
      </c>
      <c r="R1299">
        <v>9</v>
      </c>
      <c r="S1299">
        <v>80</v>
      </c>
      <c r="T1299">
        <v>80</v>
      </c>
      <c r="U1299">
        <v>110</v>
      </c>
      <c r="V1299">
        <v>95</v>
      </c>
      <c r="W1299">
        <v>80</v>
      </c>
      <c r="X1299">
        <v>40</v>
      </c>
      <c r="Y1299">
        <f t="shared" si="600"/>
        <v>187</v>
      </c>
      <c r="Z1299">
        <f t="shared" si="601"/>
        <v>187</v>
      </c>
      <c r="AA1299">
        <f t="shared" si="602"/>
        <v>155</v>
      </c>
      <c r="AB1299">
        <f t="shared" si="603"/>
        <v>155</v>
      </c>
      <c r="AC1299">
        <f t="shared" si="604"/>
        <v>140</v>
      </c>
      <c r="AD1299">
        <f t="shared" si="605"/>
        <v>145</v>
      </c>
      <c r="AE1299">
        <f t="shared" si="606"/>
        <v>132</v>
      </c>
      <c r="AF1299">
        <f t="shared" si="607"/>
        <v>100</v>
      </c>
      <c r="AG1299">
        <f t="shared" si="608"/>
        <v>90</v>
      </c>
      <c r="AH1299">
        <f t="shared" si="609"/>
        <v>76</v>
      </c>
      <c r="AI1299">
        <f t="shared" si="610"/>
        <v>178</v>
      </c>
      <c r="AJ1299">
        <f t="shared" si="611"/>
        <v>162</v>
      </c>
      <c r="AK1299">
        <f t="shared" si="612"/>
        <v>130</v>
      </c>
      <c r="AL1299">
        <f t="shared" si="613"/>
        <v>117</v>
      </c>
      <c r="AM1299">
        <f t="shared" si="614"/>
        <v>103</v>
      </c>
      <c r="AN1299">
        <f t="shared" si="615"/>
        <v>161</v>
      </c>
      <c r="AO1299">
        <f t="shared" si="616"/>
        <v>147</v>
      </c>
      <c r="AP1299">
        <f t="shared" si="617"/>
        <v>115</v>
      </c>
      <c r="AQ1299">
        <f t="shared" si="618"/>
        <v>103</v>
      </c>
      <c r="AR1299">
        <f t="shared" si="619"/>
        <v>90</v>
      </c>
      <c r="AS1299">
        <f t="shared" si="620"/>
        <v>145</v>
      </c>
      <c r="AT1299">
        <f t="shared" si="621"/>
        <v>132</v>
      </c>
      <c r="AU1299">
        <f t="shared" si="622"/>
        <v>100</v>
      </c>
      <c r="AV1299">
        <f t="shared" si="623"/>
        <v>90</v>
      </c>
      <c r="AW1299">
        <f t="shared" si="624"/>
        <v>76</v>
      </c>
      <c r="AX1299">
        <f t="shared" si="625"/>
        <v>101</v>
      </c>
      <c r="AY1299">
        <f t="shared" si="626"/>
        <v>92</v>
      </c>
      <c r="AZ1299">
        <f t="shared" si="627"/>
        <v>60</v>
      </c>
      <c r="BA1299">
        <f t="shared" si="628"/>
        <v>54</v>
      </c>
      <c r="BB1299">
        <f t="shared" si="629"/>
        <v>40</v>
      </c>
    </row>
    <row r="1300" spans="1:54" x14ac:dyDescent="0.15">
      <c r="A1300">
        <v>940</v>
      </c>
      <c r="B1300" t="s">
        <v>4587</v>
      </c>
      <c r="C1300">
        <v>1012</v>
      </c>
      <c r="D1300">
        <v>0</v>
      </c>
      <c r="E1300" t="s">
        <v>4588</v>
      </c>
      <c r="F1300" t="s">
        <v>4589</v>
      </c>
      <c r="G1300" t="s">
        <v>4588</v>
      </c>
      <c r="H1300" t="s">
        <v>4590</v>
      </c>
      <c r="J1300" t="s">
        <v>4591</v>
      </c>
      <c r="K1300">
        <v>1.1000000000000001</v>
      </c>
      <c r="L1300">
        <v>0.1</v>
      </c>
      <c r="M1300" t="s">
        <v>26</v>
      </c>
      <c r="N1300" t="s">
        <v>546</v>
      </c>
      <c r="O1300" t="s">
        <v>4592</v>
      </c>
      <c r="P1300" t="s">
        <v>2002</v>
      </c>
      <c r="R1300">
        <v>9</v>
      </c>
      <c r="S1300">
        <v>40</v>
      </c>
      <c r="T1300">
        <v>45</v>
      </c>
      <c r="U1300">
        <v>45</v>
      </c>
      <c r="V1300">
        <v>74</v>
      </c>
      <c r="W1300">
        <v>54</v>
      </c>
      <c r="X1300">
        <v>50</v>
      </c>
      <c r="Y1300">
        <f t="shared" si="600"/>
        <v>147</v>
      </c>
      <c r="Z1300">
        <f t="shared" si="601"/>
        <v>147</v>
      </c>
      <c r="AA1300">
        <f t="shared" si="602"/>
        <v>115</v>
      </c>
      <c r="AB1300">
        <f t="shared" si="603"/>
        <v>115</v>
      </c>
      <c r="AC1300">
        <f t="shared" si="604"/>
        <v>100</v>
      </c>
      <c r="AD1300">
        <f t="shared" si="605"/>
        <v>106</v>
      </c>
      <c r="AE1300">
        <f t="shared" si="606"/>
        <v>97</v>
      </c>
      <c r="AF1300">
        <f t="shared" si="607"/>
        <v>65</v>
      </c>
      <c r="AG1300">
        <f t="shared" si="608"/>
        <v>58</v>
      </c>
      <c r="AH1300">
        <f t="shared" si="609"/>
        <v>45</v>
      </c>
      <c r="AI1300">
        <f t="shared" si="610"/>
        <v>106</v>
      </c>
      <c r="AJ1300">
        <f t="shared" si="611"/>
        <v>97</v>
      </c>
      <c r="AK1300">
        <f t="shared" si="612"/>
        <v>65</v>
      </c>
      <c r="AL1300">
        <f t="shared" si="613"/>
        <v>58</v>
      </c>
      <c r="AM1300">
        <f t="shared" si="614"/>
        <v>45</v>
      </c>
      <c r="AN1300">
        <f t="shared" si="615"/>
        <v>138</v>
      </c>
      <c r="AO1300">
        <f t="shared" si="616"/>
        <v>126</v>
      </c>
      <c r="AP1300">
        <f t="shared" si="617"/>
        <v>94</v>
      </c>
      <c r="AQ1300">
        <f t="shared" si="618"/>
        <v>84</v>
      </c>
      <c r="AR1300">
        <f t="shared" si="619"/>
        <v>71</v>
      </c>
      <c r="AS1300">
        <f t="shared" si="620"/>
        <v>116</v>
      </c>
      <c r="AT1300">
        <f t="shared" si="621"/>
        <v>106</v>
      </c>
      <c r="AU1300">
        <f t="shared" si="622"/>
        <v>74</v>
      </c>
      <c r="AV1300">
        <f t="shared" si="623"/>
        <v>66</v>
      </c>
      <c r="AW1300">
        <f t="shared" si="624"/>
        <v>53</v>
      </c>
      <c r="AX1300">
        <f t="shared" si="625"/>
        <v>112</v>
      </c>
      <c r="AY1300">
        <f t="shared" si="626"/>
        <v>102</v>
      </c>
      <c r="AZ1300">
        <f t="shared" si="627"/>
        <v>70</v>
      </c>
      <c r="BA1300">
        <f t="shared" si="628"/>
        <v>63</v>
      </c>
      <c r="BB1300">
        <f t="shared" si="629"/>
        <v>49</v>
      </c>
    </row>
    <row r="1301" spans="1:54" x14ac:dyDescent="0.15">
      <c r="A1301">
        <v>941</v>
      </c>
      <c r="B1301" t="s">
        <v>4593</v>
      </c>
      <c r="C1301">
        <v>1013</v>
      </c>
      <c r="D1301">
        <v>0</v>
      </c>
      <c r="E1301" t="s">
        <v>4594</v>
      </c>
      <c r="F1301" t="s">
        <v>4595</v>
      </c>
      <c r="G1301" t="s">
        <v>4594</v>
      </c>
      <c r="H1301" t="s">
        <v>4596</v>
      </c>
      <c r="J1301" t="s">
        <v>4591</v>
      </c>
      <c r="K1301">
        <v>2.2000000000000002</v>
      </c>
      <c r="L1301">
        <v>0.2</v>
      </c>
      <c r="M1301" t="s">
        <v>26</v>
      </c>
      <c r="N1301" t="s">
        <v>546</v>
      </c>
      <c r="O1301" t="s">
        <v>4592</v>
      </c>
      <c r="P1301" t="s">
        <v>2002</v>
      </c>
      <c r="R1301">
        <v>9</v>
      </c>
      <c r="S1301">
        <v>71</v>
      </c>
      <c r="T1301">
        <v>60</v>
      </c>
      <c r="U1301">
        <v>106</v>
      </c>
      <c r="V1301">
        <v>121</v>
      </c>
      <c r="W1301">
        <v>80</v>
      </c>
      <c r="X1301">
        <v>70</v>
      </c>
      <c r="Y1301">
        <f t="shared" si="600"/>
        <v>178</v>
      </c>
      <c r="Z1301">
        <f t="shared" si="601"/>
        <v>178</v>
      </c>
      <c r="AA1301">
        <f t="shared" si="602"/>
        <v>146</v>
      </c>
      <c r="AB1301">
        <f t="shared" si="603"/>
        <v>146</v>
      </c>
      <c r="AC1301">
        <f t="shared" si="604"/>
        <v>131</v>
      </c>
      <c r="AD1301">
        <f t="shared" si="605"/>
        <v>123</v>
      </c>
      <c r="AE1301">
        <f t="shared" si="606"/>
        <v>112</v>
      </c>
      <c r="AF1301">
        <f t="shared" si="607"/>
        <v>80</v>
      </c>
      <c r="AG1301">
        <f t="shared" si="608"/>
        <v>72</v>
      </c>
      <c r="AH1301">
        <f t="shared" si="609"/>
        <v>58</v>
      </c>
      <c r="AI1301">
        <f t="shared" si="610"/>
        <v>173</v>
      </c>
      <c r="AJ1301">
        <f t="shared" si="611"/>
        <v>158</v>
      </c>
      <c r="AK1301">
        <f t="shared" si="612"/>
        <v>126</v>
      </c>
      <c r="AL1301">
        <f t="shared" si="613"/>
        <v>113</v>
      </c>
      <c r="AM1301">
        <f t="shared" si="614"/>
        <v>99</v>
      </c>
      <c r="AN1301">
        <f t="shared" si="615"/>
        <v>190</v>
      </c>
      <c r="AO1301">
        <f t="shared" si="616"/>
        <v>173</v>
      </c>
      <c r="AP1301">
        <f t="shared" si="617"/>
        <v>141</v>
      </c>
      <c r="AQ1301">
        <f t="shared" si="618"/>
        <v>126</v>
      </c>
      <c r="AR1301">
        <f t="shared" si="619"/>
        <v>113</v>
      </c>
      <c r="AS1301">
        <f t="shared" si="620"/>
        <v>145</v>
      </c>
      <c r="AT1301">
        <f t="shared" si="621"/>
        <v>132</v>
      </c>
      <c r="AU1301">
        <f t="shared" si="622"/>
        <v>100</v>
      </c>
      <c r="AV1301">
        <f t="shared" si="623"/>
        <v>90</v>
      </c>
      <c r="AW1301">
        <f t="shared" si="624"/>
        <v>76</v>
      </c>
      <c r="AX1301">
        <f t="shared" si="625"/>
        <v>134</v>
      </c>
      <c r="AY1301">
        <f t="shared" si="626"/>
        <v>122</v>
      </c>
      <c r="AZ1301">
        <f t="shared" si="627"/>
        <v>90</v>
      </c>
      <c r="BA1301">
        <f t="shared" si="628"/>
        <v>81</v>
      </c>
      <c r="BB1301">
        <f t="shared" si="629"/>
        <v>67</v>
      </c>
    </row>
    <row r="1302" spans="1:54" x14ac:dyDescent="0.15">
      <c r="A1302">
        <v>926</v>
      </c>
      <c r="B1302" t="s">
        <v>4597</v>
      </c>
      <c r="C1302">
        <v>1014</v>
      </c>
      <c r="D1302">
        <v>0</v>
      </c>
      <c r="E1302" t="s">
        <v>4598</v>
      </c>
      <c r="G1302" t="s">
        <v>4598</v>
      </c>
      <c r="H1302" t="s">
        <v>4599</v>
      </c>
      <c r="J1302" t="s">
        <v>4600</v>
      </c>
      <c r="K1302">
        <v>92.2</v>
      </c>
      <c r="L1302">
        <v>1.8</v>
      </c>
      <c r="M1302" t="s">
        <v>27</v>
      </c>
      <c r="N1302" t="s">
        <v>354</v>
      </c>
      <c r="O1302" t="s">
        <v>4601</v>
      </c>
      <c r="P1302" t="s">
        <v>4302</v>
      </c>
      <c r="R1302">
        <v>9</v>
      </c>
      <c r="S1302">
        <v>88</v>
      </c>
      <c r="T1302">
        <v>128</v>
      </c>
      <c r="U1302">
        <v>115</v>
      </c>
      <c r="V1302">
        <v>58</v>
      </c>
      <c r="W1302">
        <v>86</v>
      </c>
      <c r="X1302">
        <v>80</v>
      </c>
      <c r="Y1302">
        <f t="shared" si="600"/>
        <v>195</v>
      </c>
      <c r="Z1302">
        <f t="shared" si="601"/>
        <v>195</v>
      </c>
      <c r="AA1302">
        <f t="shared" si="602"/>
        <v>163</v>
      </c>
      <c r="AB1302">
        <f t="shared" si="603"/>
        <v>163</v>
      </c>
      <c r="AC1302">
        <f t="shared" si="604"/>
        <v>148</v>
      </c>
      <c r="AD1302">
        <f t="shared" si="605"/>
        <v>198</v>
      </c>
      <c r="AE1302">
        <f t="shared" si="606"/>
        <v>180</v>
      </c>
      <c r="AF1302">
        <f t="shared" si="607"/>
        <v>148</v>
      </c>
      <c r="AG1302">
        <f t="shared" si="608"/>
        <v>133</v>
      </c>
      <c r="AH1302">
        <f t="shared" si="609"/>
        <v>119</v>
      </c>
      <c r="AI1302">
        <f t="shared" si="610"/>
        <v>183</v>
      </c>
      <c r="AJ1302">
        <f t="shared" si="611"/>
        <v>167</v>
      </c>
      <c r="AK1302">
        <f t="shared" si="612"/>
        <v>135</v>
      </c>
      <c r="AL1302">
        <f t="shared" si="613"/>
        <v>121</v>
      </c>
      <c r="AM1302">
        <f t="shared" si="614"/>
        <v>108</v>
      </c>
      <c r="AN1302">
        <f t="shared" si="615"/>
        <v>121</v>
      </c>
      <c r="AO1302">
        <f t="shared" si="616"/>
        <v>110</v>
      </c>
      <c r="AP1302">
        <f t="shared" si="617"/>
        <v>78</v>
      </c>
      <c r="AQ1302">
        <f t="shared" si="618"/>
        <v>70</v>
      </c>
      <c r="AR1302">
        <f t="shared" si="619"/>
        <v>56</v>
      </c>
      <c r="AS1302">
        <f t="shared" si="620"/>
        <v>151</v>
      </c>
      <c r="AT1302">
        <f t="shared" si="621"/>
        <v>138</v>
      </c>
      <c r="AU1302">
        <f t="shared" si="622"/>
        <v>106</v>
      </c>
      <c r="AV1302">
        <f t="shared" si="623"/>
        <v>95</v>
      </c>
      <c r="AW1302">
        <f t="shared" si="624"/>
        <v>81</v>
      </c>
      <c r="AX1302">
        <f t="shared" si="625"/>
        <v>145</v>
      </c>
      <c r="AY1302">
        <f t="shared" si="626"/>
        <v>132</v>
      </c>
      <c r="AZ1302">
        <f t="shared" si="627"/>
        <v>100</v>
      </c>
      <c r="BA1302">
        <f t="shared" si="628"/>
        <v>90</v>
      </c>
      <c r="BB1302">
        <f t="shared" si="629"/>
        <v>76</v>
      </c>
    </row>
    <row r="1303" spans="1:54" x14ac:dyDescent="0.15">
      <c r="A1303">
        <v>928</v>
      </c>
      <c r="B1303" t="s">
        <v>4602</v>
      </c>
      <c r="C1303">
        <v>1015</v>
      </c>
      <c r="D1303">
        <v>0</v>
      </c>
      <c r="E1303" t="s">
        <v>4603</v>
      </c>
      <c r="G1303" t="s">
        <v>4603</v>
      </c>
      <c r="H1303" t="s">
        <v>4604</v>
      </c>
      <c r="J1303" t="s">
        <v>4600</v>
      </c>
      <c r="K1303">
        <v>12.2</v>
      </c>
      <c r="L1303">
        <v>1</v>
      </c>
      <c r="M1303" t="s">
        <v>27</v>
      </c>
      <c r="N1303" t="s">
        <v>191</v>
      </c>
      <c r="O1303" t="s">
        <v>4601</v>
      </c>
      <c r="P1303" t="s">
        <v>264</v>
      </c>
      <c r="R1303">
        <v>9</v>
      </c>
      <c r="S1303">
        <v>88</v>
      </c>
      <c r="T1303">
        <v>75</v>
      </c>
      <c r="U1303">
        <v>66</v>
      </c>
      <c r="V1303">
        <v>130</v>
      </c>
      <c r="W1303">
        <v>90</v>
      </c>
      <c r="X1303">
        <v>106</v>
      </c>
      <c r="Y1303">
        <f t="shared" si="600"/>
        <v>195</v>
      </c>
      <c r="Z1303">
        <f t="shared" si="601"/>
        <v>195</v>
      </c>
      <c r="AA1303">
        <f t="shared" si="602"/>
        <v>163</v>
      </c>
      <c r="AB1303">
        <f t="shared" si="603"/>
        <v>163</v>
      </c>
      <c r="AC1303">
        <f t="shared" si="604"/>
        <v>148</v>
      </c>
      <c r="AD1303">
        <f t="shared" si="605"/>
        <v>139</v>
      </c>
      <c r="AE1303">
        <f t="shared" si="606"/>
        <v>127</v>
      </c>
      <c r="AF1303">
        <f t="shared" si="607"/>
        <v>95</v>
      </c>
      <c r="AG1303">
        <f t="shared" si="608"/>
        <v>85</v>
      </c>
      <c r="AH1303">
        <f t="shared" si="609"/>
        <v>72</v>
      </c>
      <c r="AI1303">
        <f t="shared" si="610"/>
        <v>129</v>
      </c>
      <c r="AJ1303">
        <f t="shared" si="611"/>
        <v>118</v>
      </c>
      <c r="AK1303">
        <f t="shared" si="612"/>
        <v>86</v>
      </c>
      <c r="AL1303">
        <f t="shared" si="613"/>
        <v>77</v>
      </c>
      <c r="AM1303">
        <f t="shared" si="614"/>
        <v>63</v>
      </c>
      <c r="AN1303">
        <f t="shared" si="615"/>
        <v>200</v>
      </c>
      <c r="AO1303">
        <f t="shared" si="616"/>
        <v>182</v>
      </c>
      <c r="AP1303">
        <f t="shared" si="617"/>
        <v>150</v>
      </c>
      <c r="AQ1303">
        <f t="shared" si="618"/>
        <v>135</v>
      </c>
      <c r="AR1303">
        <f t="shared" si="619"/>
        <v>121</v>
      </c>
      <c r="AS1303">
        <f t="shared" si="620"/>
        <v>156</v>
      </c>
      <c r="AT1303">
        <f t="shared" si="621"/>
        <v>142</v>
      </c>
      <c r="AU1303">
        <f t="shared" si="622"/>
        <v>110</v>
      </c>
      <c r="AV1303">
        <f t="shared" si="623"/>
        <v>99</v>
      </c>
      <c r="AW1303">
        <f t="shared" si="624"/>
        <v>85</v>
      </c>
      <c r="AX1303">
        <f t="shared" si="625"/>
        <v>173</v>
      </c>
      <c r="AY1303">
        <f t="shared" si="626"/>
        <v>158</v>
      </c>
      <c r="AZ1303">
        <f t="shared" si="627"/>
        <v>126</v>
      </c>
      <c r="BA1303">
        <f t="shared" si="628"/>
        <v>113</v>
      </c>
      <c r="BB1303">
        <f t="shared" si="629"/>
        <v>99</v>
      </c>
    </row>
    <row r="1304" spans="1:54" x14ac:dyDescent="0.15">
      <c r="A1304">
        <v>930</v>
      </c>
      <c r="B1304" t="s">
        <v>4605</v>
      </c>
      <c r="C1304">
        <v>1016</v>
      </c>
      <c r="D1304">
        <v>0</v>
      </c>
      <c r="E1304" t="s">
        <v>4606</v>
      </c>
      <c r="G1304" t="s">
        <v>4606</v>
      </c>
      <c r="H1304" t="s">
        <v>4607</v>
      </c>
      <c r="J1304" t="s">
        <v>4600</v>
      </c>
      <c r="K1304">
        <v>30.1</v>
      </c>
      <c r="L1304">
        <v>1.4</v>
      </c>
      <c r="M1304" t="s">
        <v>27</v>
      </c>
      <c r="N1304" t="s">
        <v>233</v>
      </c>
      <c r="O1304" t="s">
        <v>4601</v>
      </c>
      <c r="P1304" t="s">
        <v>322</v>
      </c>
      <c r="R1304">
        <v>9</v>
      </c>
      <c r="S1304">
        <v>88</v>
      </c>
      <c r="T1304">
        <v>91</v>
      </c>
      <c r="U1304">
        <v>82</v>
      </c>
      <c r="V1304">
        <v>70</v>
      </c>
      <c r="W1304">
        <v>125</v>
      </c>
      <c r="X1304">
        <v>99</v>
      </c>
      <c r="Y1304">
        <f t="shared" si="600"/>
        <v>195</v>
      </c>
      <c r="Z1304">
        <f t="shared" si="601"/>
        <v>195</v>
      </c>
      <c r="AA1304">
        <f t="shared" si="602"/>
        <v>163</v>
      </c>
      <c r="AB1304">
        <f t="shared" si="603"/>
        <v>163</v>
      </c>
      <c r="AC1304">
        <f t="shared" si="604"/>
        <v>148</v>
      </c>
      <c r="AD1304">
        <f t="shared" si="605"/>
        <v>157</v>
      </c>
      <c r="AE1304">
        <f t="shared" si="606"/>
        <v>143</v>
      </c>
      <c r="AF1304">
        <f t="shared" si="607"/>
        <v>111</v>
      </c>
      <c r="AG1304">
        <f t="shared" si="608"/>
        <v>99</v>
      </c>
      <c r="AH1304">
        <f t="shared" si="609"/>
        <v>86</v>
      </c>
      <c r="AI1304">
        <f t="shared" si="610"/>
        <v>147</v>
      </c>
      <c r="AJ1304">
        <f t="shared" si="611"/>
        <v>134</v>
      </c>
      <c r="AK1304">
        <f t="shared" si="612"/>
        <v>102</v>
      </c>
      <c r="AL1304">
        <f t="shared" si="613"/>
        <v>91</v>
      </c>
      <c r="AM1304">
        <f t="shared" si="614"/>
        <v>78</v>
      </c>
      <c r="AN1304">
        <f t="shared" si="615"/>
        <v>134</v>
      </c>
      <c r="AO1304">
        <f t="shared" si="616"/>
        <v>122</v>
      </c>
      <c r="AP1304">
        <f t="shared" si="617"/>
        <v>90</v>
      </c>
      <c r="AQ1304">
        <f t="shared" si="618"/>
        <v>81</v>
      </c>
      <c r="AR1304">
        <f t="shared" si="619"/>
        <v>67</v>
      </c>
      <c r="AS1304">
        <f t="shared" si="620"/>
        <v>194</v>
      </c>
      <c r="AT1304">
        <f t="shared" si="621"/>
        <v>177</v>
      </c>
      <c r="AU1304">
        <f t="shared" si="622"/>
        <v>145</v>
      </c>
      <c r="AV1304">
        <f t="shared" si="623"/>
        <v>130</v>
      </c>
      <c r="AW1304">
        <f t="shared" si="624"/>
        <v>117</v>
      </c>
      <c r="AX1304">
        <f t="shared" si="625"/>
        <v>166</v>
      </c>
      <c r="AY1304">
        <f t="shared" si="626"/>
        <v>151</v>
      </c>
      <c r="AZ1304">
        <f t="shared" si="627"/>
        <v>119</v>
      </c>
      <c r="BA1304">
        <f t="shared" si="628"/>
        <v>107</v>
      </c>
      <c r="BB1304">
        <f t="shared" si="629"/>
        <v>93</v>
      </c>
    </row>
    <row r="1305" spans="1:54" x14ac:dyDescent="0.15">
      <c r="A1305">
        <v>920</v>
      </c>
      <c r="B1305" t="s">
        <v>4608</v>
      </c>
      <c r="C1305">
        <v>1017</v>
      </c>
      <c r="D1305">
        <v>0</v>
      </c>
      <c r="E1305" t="s">
        <v>4609</v>
      </c>
      <c r="F1305" t="s">
        <v>4610</v>
      </c>
      <c r="G1305" t="s">
        <v>4611</v>
      </c>
      <c r="H1305" t="s">
        <v>4612</v>
      </c>
      <c r="J1305" t="s">
        <v>4613</v>
      </c>
      <c r="K1305">
        <v>39.799999999999997</v>
      </c>
      <c r="L1305">
        <v>1.2</v>
      </c>
      <c r="M1305" t="s">
        <v>26</v>
      </c>
      <c r="O1305" t="s">
        <v>357</v>
      </c>
      <c r="R1305">
        <v>9</v>
      </c>
      <c r="S1305">
        <v>80</v>
      </c>
      <c r="T1305">
        <v>120</v>
      </c>
      <c r="U1305">
        <v>84</v>
      </c>
      <c r="V1305">
        <v>60</v>
      </c>
      <c r="W1305">
        <v>96</v>
      </c>
      <c r="X1305">
        <v>110</v>
      </c>
      <c r="Y1305">
        <f t="shared" si="600"/>
        <v>187</v>
      </c>
      <c r="Z1305">
        <f t="shared" si="601"/>
        <v>187</v>
      </c>
      <c r="AA1305">
        <f t="shared" si="602"/>
        <v>155</v>
      </c>
      <c r="AB1305">
        <f t="shared" si="603"/>
        <v>155</v>
      </c>
      <c r="AC1305">
        <f t="shared" si="604"/>
        <v>140</v>
      </c>
      <c r="AD1305">
        <f t="shared" si="605"/>
        <v>189</v>
      </c>
      <c r="AE1305">
        <f t="shared" si="606"/>
        <v>172</v>
      </c>
      <c r="AF1305">
        <f t="shared" si="607"/>
        <v>140</v>
      </c>
      <c r="AG1305">
        <f t="shared" si="608"/>
        <v>126</v>
      </c>
      <c r="AH1305">
        <f t="shared" si="609"/>
        <v>112</v>
      </c>
      <c r="AI1305">
        <f t="shared" si="610"/>
        <v>149</v>
      </c>
      <c r="AJ1305">
        <f t="shared" si="611"/>
        <v>136</v>
      </c>
      <c r="AK1305">
        <f t="shared" si="612"/>
        <v>104</v>
      </c>
      <c r="AL1305">
        <f t="shared" si="613"/>
        <v>93</v>
      </c>
      <c r="AM1305">
        <f t="shared" si="614"/>
        <v>80</v>
      </c>
      <c r="AN1305">
        <f t="shared" si="615"/>
        <v>123</v>
      </c>
      <c r="AO1305">
        <f t="shared" si="616"/>
        <v>112</v>
      </c>
      <c r="AP1305">
        <f t="shared" si="617"/>
        <v>80</v>
      </c>
      <c r="AQ1305">
        <f t="shared" si="618"/>
        <v>72</v>
      </c>
      <c r="AR1305">
        <f t="shared" si="619"/>
        <v>58</v>
      </c>
      <c r="AS1305">
        <f t="shared" si="620"/>
        <v>162</v>
      </c>
      <c r="AT1305">
        <f t="shared" si="621"/>
        <v>148</v>
      </c>
      <c r="AU1305">
        <f t="shared" si="622"/>
        <v>116</v>
      </c>
      <c r="AV1305">
        <f t="shared" si="623"/>
        <v>104</v>
      </c>
      <c r="AW1305">
        <f t="shared" si="624"/>
        <v>90</v>
      </c>
      <c r="AX1305">
        <f t="shared" si="625"/>
        <v>178</v>
      </c>
      <c r="AY1305">
        <f t="shared" si="626"/>
        <v>162</v>
      </c>
      <c r="AZ1305">
        <f t="shared" si="627"/>
        <v>130</v>
      </c>
      <c r="BA1305">
        <f t="shared" si="628"/>
        <v>117</v>
      </c>
      <c r="BB1305">
        <f t="shared" si="629"/>
        <v>103</v>
      </c>
    </row>
    <row r="1306" spans="1:54" x14ac:dyDescent="0.15">
      <c r="A1306">
        <v>921</v>
      </c>
      <c r="B1306" t="s">
        <v>4614</v>
      </c>
      <c r="C1306">
        <v>1017</v>
      </c>
      <c r="D1306">
        <v>1</v>
      </c>
      <c r="E1306" t="s">
        <v>4609</v>
      </c>
      <c r="F1306" t="s">
        <v>4615</v>
      </c>
      <c r="G1306" t="s">
        <v>4616</v>
      </c>
      <c r="H1306" t="s">
        <v>4617</v>
      </c>
      <c r="J1306" t="s">
        <v>4613</v>
      </c>
      <c r="K1306">
        <v>39.799999999999997</v>
      </c>
      <c r="L1306">
        <v>1.2</v>
      </c>
      <c r="M1306" t="s">
        <v>26</v>
      </c>
      <c r="N1306" t="s">
        <v>71</v>
      </c>
      <c r="O1306" t="s">
        <v>383</v>
      </c>
      <c r="R1306">
        <v>9</v>
      </c>
      <c r="S1306">
        <v>80</v>
      </c>
      <c r="T1306">
        <v>120</v>
      </c>
      <c r="U1306">
        <v>84</v>
      </c>
      <c r="V1306">
        <v>60</v>
      </c>
      <c r="W1306">
        <v>96</v>
      </c>
      <c r="X1306">
        <v>110</v>
      </c>
      <c r="Y1306">
        <f t="shared" si="600"/>
        <v>187</v>
      </c>
      <c r="Z1306">
        <f t="shared" si="601"/>
        <v>187</v>
      </c>
      <c r="AA1306">
        <f t="shared" si="602"/>
        <v>155</v>
      </c>
      <c r="AB1306">
        <f t="shared" si="603"/>
        <v>155</v>
      </c>
      <c r="AC1306">
        <f t="shared" si="604"/>
        <v>140</v>
      </c>
      <c r="AD1306">
        <f t="shared" si="605"/>
        <v>189</v>
      </c>
      <c r="AE1306">
        <f t="shared" si="606"/>
        <v>172</v>
      </c>
      <c r="AF1306">
        <f t="shared" si="607"/>
        <v>140</v>
      </c>
      <c r="AG1306">
        <f t="shared" si="608"/>
        <v>126</v>
      </c>
      <c r="AH1306">
        <f t="shared" si="609"/>
        <v>112</v>
      </c>
      <c r="AI1306">
        <f t="shared" si="610"/>
        <v>149</v>
      </c>
      <c r="AJ1306">
        <f t="shared" si="611"/>
        <v>136</v>
      </c>
      <c r="AK1306">
        <f t="shared" si="612"/>
        <v>104</v>
      </c>
      <c r="AL1306">
        <f t="shared" si="613"/>
        <v>93</v>
      </c>
      <c r="AM1306">
        <f t="shared" si="614"/>
        <v>80</v>
      </c>
      <c r="AN1306">
        <f t="shared" si="615"/>
        <v>123</v>
      </c>
      <c r="AO1306">
        <f t="shared" si="616"/>
        <v>112</v>
      </c>
      <c r="AP1306">
        <f t="shared" si="617"/>
        <v>80</v>
      </c>
      <c r="AQ1306">
        <f t="shared" si="618"/>
        <v>72</v>
      </c>
      <c r="AR1306">
        <f t="shared" si="619"/>
        <v>58</v>
      </c>
      <c r="AS1306">
        <f t="shared" si="620"/>
        <v>162</v>
      </c>
      <c r="AT1306">
        <f t="shared" si="621"/>
        <v>148</v>
      </c>
      <c r="AU1306">
        <f t="shared" si="622"/>
        <v>116</v>
      </c>
      <c r="AV1306">
        <f t="shared" si="623"/>
        <v>104</v>
      </c>
      <c r="AW1306">
        <f t="shared" si="624"/>
        <v>90</v>
      </c>
      <c r="AX1306">
        <f t="shared" si="625"/>
        <v>178</v>
      </c>
      <c r="AY1306">
        <f t="shared" si="626"/>
        <v>162</v>
      </c>
      <c r="AZ1306">
        <f t="shared" si="627"/>
        <v>130</v>
      </c>
      <c r="BA1306">
        <f t="shared" si="628"/>
        <v>117</v>
      </c>
      <c r="BB1306">
        <f t="shared" si="629"/>
        <v>103</v>
      </c>
    </row>
    <row r="1307" spans="1:54" x14ac:dyDescent="0.15">
      <c r="A1307">
        <v>922</v>
      </c>
      <c r="B1307" t="s">
        <v>4618</v>
      </c>
      <c r="C1307">
        <v>1017</v>
      </c>
      <c r="D1307">
        <v>2</v>
      </c>
      <c r="E1307" t="s">
        <v>4609</v>
      </c>
      <c r="F1307" t="s">
        <v>4619</v>
      </c>
      <c r="G1307" t="s">
        <v>4620</v>
      </c>
      <c r="H1307" t="s">
        <v>4621</v>
      </c>
      <c r="J1307" t="s">
        <v>4613</v>
      </c>
      <c r="K1307">
        <v>39.799999999999997</v>
      </c>
      <c r="L1307">
        <v>1.2</v>
      </c>
      <c r="M1307" t="s">
        <v>26</v>
      </c>
      <c r="N1307" t="s">
        <v>47</v>
      </c>
      <c r="O1307" t="s">
        <v>713</v>
      </c>
      <c r="R1307">
        <v>9</v>
      </c>
      <c r="S1307">
        <v>80</v>
      </c>
      <c r="T1307">
        <v>120</v>
      </c>
      <c r="U1307">
        <v>84</v>
      </c>
      <c r="V1307">
        <v>60</v>
      </c>
      <c r="W1307">
        <v>96</v>
      </c>
      <c r="X1307">
        <v>110</v>
      </c>
      <c r="Y1307">
        <f t="shared" si="600"/>
        <v>187</v>
      </c>
      <c r="Z1307">
        <f t="shared" si="601"/>
        <v>187</v>
      </c>
      <c r="AA1307">
        <f t="shared" si="602"/>
        <v>155</v>
      </c>
      <c r="AB1307">
        <f t="shared" si="603"/>
        <v>155</v>
      </c>
      <c r="AC1307">
        <f t="shared" si="604"/>
        <v>140</v>
      </c>
      <c r="AD1307">
        <f t="shared" si="605"/>
        <v>189</v>
      </c>
      <c r="AE1307">
        <f t="shared" si="606"/>
        <v>172</v>
      </c>
      <c r="AF1307">
        <f t="shared" si="607"/>
        <v>140</v>
      </c>
      <c r="AG1307">
        <f t="shared" si="608"/>
        <v>126</v>
      </c>
      <c r="AH1307">
        <f t="shared" si="609"/>
        <v>112</v>
      </c>
      <c r="AI1307">
        <f t="shared" si="610"/>
        <v>149</v>
      </c>
      <c r="AJ1307">
        <f t="shared" si="611"/>
        <v>136</v>
      </c>
      <c r="AK1307">
        <f t="shared" si="612"/>
        <v>104</v>
      </c>
      <c r="AL1307">
        <f t="shared" si="613"/>
        <v>93</v>
      </c>
      <c r="AM1307">
        <f t="shared" si="614"/>
        <v>80</v>
      </c>
      <c r="AN1307">
        <f t="shared" si="615"/>
        <v>123</v>
      </c>
      <c r="AO1307">
        <f t="shared" si="616"/>
        <v>112</v>
      </c>
      <c r="AP1307">
        <f t="shared" si="617"/>
        <v>80</v>
      </c>
      <c r="AQ1307">
        <f t="shared" si="618"/>
        <v>72</v>
      </c>
      <c r="AR1307">
        <f t="shared" si="619"/>
        <v>58</v>
      </c>
      <c r="AS1307">
        <f t="shared" si="620"/>
        <v>162</v>
      </c>
      <c r="AT1307">
        <f t="shared" si="621"/>
        <v>148</v>
      </c>
      <c r="AU1307">
        <f t="shared" si="622"/>
        <v>116</v>
      </c>
      <c r="AV1307">
        <f t="shared" si="623"/>
        <v>104</v>
      </c>
      <c r="AW1307">
        <f t="shared" si="624"/>
        <v>90</v>
      </c>
      <c r="AX1307">
        <f t="shared" si="625"/>
        <v>178</v>
      </c>
      <c r="AY1307">
        <f t="shared" si="626"/>
        <v>162</v>
      </c>
      <c r="AZ1307">
        <f t="shared" si="627"/>
        <v>130</v>
      </c>
      <c r="BA1307">
        <f t="shared" si="628"/>
        <v>117</v>
      </c>
      <c r="BB1307">
        <f t="shared" si="629"/>
        <v>103</v>
      </c>
    </row>
    <row r="1308" spans="1:54" x14ac:dyDescent="0.15">
      <c r="A1308">
        <v>923</v>
      </c>
      <c r="B1308" t="s">
        <v>4622</v>
      </c>
      <c r="C1308">
        <v>1017</v>
      </c>
      <c r="D1308">
        <v>3</v>
      </c>
      <c r="E1308" t="s">
        <v>4609</v>
      </c>
      <c r="F1308" t="s">
        <v>4623</v>
      </c>
      <c r="G1308" t="s">
        <v>4624</v>
      </c>
      <c r="H1308" t="s">
        <v>4625</v>
      </c>
      <c r="J1308" t="s">
        <v>4613</v>
      </c>
      <c r="K1308">
        <v>39.799999999999997</v>
      </c>
      <c r="L1308">
        <v>1.2</v>
      </c>
      <c r="M1308" t="s">
        <v>26</v>
      </c>
      <c r="N1308" t="s">
        <v>371</v>
      </c>
      <c r="O1308" t="s">
        <v>435</v>
      </c>
      <c r="R1308">
        <v>9</v>
      </c>
      <c r="S1308">
        <v>80</v>
      </c>
      <c r="T1308">
        <v>120</v>
      </c>
      <c r="U1308">
        <v>84</v>
      </c>
      <c r="V1308">
        <v>60</v>
      </c>
      <c r="W1308">
        <v>96</v>
      </c>
      <c r="X1308">
        <v>110</v>
      </c>
      <c r="Y1308">
        <f t="shared" si="600"/>
        <v>187</v>
      </c>
      <c r="Z1308">
        <f t="shared" si="601"/>
        <v>187</v>
      </c>
      <c r="AA1308">
        <f t="shared" si="602"/>
        <v>155</v>
      </c>
      <c r="AB1308">
        <f t="shared" si="603"/>
        <v>155</v>
      </c>
      <c r="AC1308">
        <f t="shared" si="604"/>
        <v>140</v>
      </c>
      <c r="AD1308">
        <f t="shared" si="605"/>
        <v>189</v>
      </c>
      <c r="AE1308">
        <f t="shared" si="606"/>
        <v>172</v>
      </c>
      <c r="AF1308">
        <f t="shared" si="607"/>
        <v>140</v>
      </c>
      <c r="AG1308">
        <f t="shared" si="608"/>
        <v>126</v>
      </c>
      <c r="AH1308">
        <f t="shared" si="609"/>
        <v>112</v>
      </c>
      <c r="AI1308">
        <f t="shared" si="610"/>
        <v>149</v>
      </c>
      <c r="AJ1308">
        <f t="shared" si="611"/>
        <v>136</v>
      </c>
      <c r="AK1308">
        <f t="shared" si="612"/>
        <v>104</v>
      </c>
      <c r="AL1308">
        <f t="shared" si="613"/>
        <v>93</v>
      </c>
      <c r="AM1308">
        <f t="shared" si="614"/>
        <v>80</v>
      </c>
      <c r="AN1308">
        <f t="shared" si="615"/>
        <v>123</v>
      </c>
      <c r="AO1308">
        <f t="shared" si="616"/>
        <v>112</v>
      </c>
      <c r="AP1308">
        <f t="shared" si="617"/>
        <v>80</v>
      </c>
      <c r="AQ1308">
        <f t="shared" si="618"/>
        <v>72</v>
      </c>
      <c r="AR1308">
        <f t="shared" si="619"/>
        <v>58</v>
      </c>
      <c r="AS1308">
        <f t="shared" si="620"/>
        <v>162</v>
      </c>
      <c r="AT1308">
        <f t="shared" si="621"/>
        <v>148</v>
      </c>
      <c r="AU1308">
        <f t="shared" si="622"/>
        <v>116</v>
      </c>
      <c r="AV1308">
        <f t="shared" si="623"/>
        <v>104</v>
      </c>
      <c r="AW1308">
        <f t="shared" si="624"/>
        <v>90</v>
      </c>
      <c r="AX1308">
        <f t="shared" si="625"/>
        <v>178</v>
      </c>
      <c r="AY1308">
        <f t="shared" si="626"/>
        <v>162</v>
      </c>
      <c r="AZ1308">
        <f t="shared" si="627"/>
        <v>130</v>
      </c>
      <c r="BA1308">
        <f t="shared" si="628"/>
        <v>117</v>
      </c>
      <c r="BB1308">
        <f t="shared" si="629"/>
        <v>103</v>
      </c>
    </row>
    <row r="1309" spans="1:54" x14ac:dyDescent="0.15">
      <c r="A1309">
        <v>939</v>
      </c>
      <c r="B1309" t="s">
        <v>4626</v>
      </c>
      <c r="C1309">
        <v>1018</v>
      </c>
      <c r="D1309">
        <v>0</v>
      </c>
      <c r="E1309" t="s">
        <v>4627</v>
      </c>
      <c r="G1309" t="s">
        <v>4627</v>
      </c>
      <c r="H1309" t="s">
        <v>4628</v>
      </c>
      <c r="J1309" t="s">
        <v>4003</v>
      </c>
      <c r="K1309">
        <v>60</v>
      </c>
      <c r="L1309">
        <v>2</v>
      </c>
      <c r="M1309" t="s">
        <v>203</v>
      </c>
      <c r="N1309" t="s">
        <v>60</v>
      </c>
      <c r="O1309" t="s">
        <v>3427</v>
      </c>
      <c r="P1309" t="s">
        <v>435</v>
      </c>
      <c r="Q1309" t="s">
        <v>4004</v>
      </c>
      <c r="R1309">
        <v>9</v>
      </c>
      <c r="S1309">
        <v>90</v>
      </c>
      <c r="T1309">
        <v>105</v>
      </c>
      <c r="U1309">
        <v>130</v>
      </c>
      <c r="V1309">
        <v>125</v>
      </c>
      <c r="W1309">
        <v>65</v>
      </c>
      <c r="X1309">
        <v>85</v>
      </c>
      <c r="Y1309">
        <f t="shared" si="600"/>
        <v>197</v>
      </c>
      <c r="Z1309">
        <f t="shared" si="601"/>
        <v>197</v>
      </c>
      <c r="AA1309">
        <f t="shared" si="602"/>
        <v>165</v>
      </c>
      <c r="AB1309">
        <f t="shared" si="603"/>
        <v>165</v>
      </c>
      <c r="AC1309">
        <f t="shared" si="604"/>
        <v>150</v>
      </c>
      <c r="AD1309">
        <f t="shared" si="605"/>
        <v>172</v>
      </c>
      <c r="AE1309">
        <f t="shared" si="606"/>
        <v>157</v>
      </c>
      <c r="AF1309">
        <f t="shared" si="607"/>
        <v>125</v>
      </c>
      <c r="AG1309">
        <f t="shared" si="608"/>
        <v>112</v>
      </c>
      <c r="AH1309">
        <f t="shared" si="609"/>
        <v>99</v>
      </c>
      <c r="AI1309">
        <f t="shared" si="610"/>
        <v>200</v>
      </c>
      <c r="AJ1309">
        <f t="shared" si="611"/>
        <v>182</v>
      </c>
      <c r="AK1309">
        <f t="shared" si="612"/>
        <v>150</v>
      </c>
      <c r="AL1309">
        <f t="shared" si="613"/>
        <v>135</v>
      </c>
      <c r="AM1309">
        <f t="shared" si="614"/>
        <v>121</v>
      </c>
      <c r="AN1309">
        <f t="shared" si="615"/>
        <v>194</v>
      </c>
      <c r="AO1309">
        <f t="shared" si="616"/>
        <v>177</v>
      </c>
      <c r="AP1309">
        <f t="shared" si="617"/>
        <v>145</v>
      </c>
      <c r="AQ1309">
        <f t="shared" si="618"/>
        <v>130</v>
      </c>
      <c r="AR1309">
        <f t="shared" si="619"/>
        <v>117</v>
      </c>
      <c r="AS1309">
        <f t="shared" si="620"/>
        <v>128</v>
      </c>
      <c r="AT1309">
        <f t="shared" si="621"/>
        <v>117</v>
      </c>
      <c r="AU1309">
        <f t="shared" si="622"/>
        <v>85</v>
      </c>
      <c r="AV1309">
        <f t="shared" si="623"/>
        <v>76</v>
      </c>
      <c r="AW1309">
        <f t="shared" si="624"/>
        <v>63</v>
      </c>
      <c r="AX1309">
        <f t="shared" si="625"/>
        <v>150</v>
      </c>
      <c r="AY1309">
        <f t="shared" si="626"/>
        <v>137</v>
      </c>
      <c r="AZ1309">
        <f t="shared" si="627"/>
        <v>105</v>
      </c>
      <c r="BA1309">
        <f t="shared" si="628"/>
        <v>94</v>
      </c>
      <c r="BB1309">
        <f t="shared" si="629"/>
        <v>81</v>
      </c>
    </row>
    <row r="1310" spans="1:54" x14ac:dyDescent="0.15">
      <c r="A1310">
        <v>925</v>
      </c>
      <c r="B1310" t="s">
        <v>4629</v>
      </c>
      <c r="C1310">
        <v>1019</v>
      </c>
      <c r="D1310">
        <v>0</v>
      </c>
      <c r="E1310" t="s">
        <v>4630</v>
      </c>
      <c r="G1310" t="s">
        <v>4630</v>
      </c>
      <c r="H1310" t="s">
        <v>4631</v>
      </c>
      <c r="J1310" t="s">
        <v>4632</v>
      </c>
      <c r="K1310">
        <v>93</v>
      </c>
      <c r="L1310">
        <v>1.8</v>
      </c>
      <c r="M1310" t="s">
        <v>26</v>
      </c>
      <c r="N1310" t="s">
        <v>60</v>
      </c>
      <c r="O1310" t="s">
        <v>4586</v>
      </c>
      <c r="P1310" t="s">
        <v>471</v>
      </c>
      <c r="Q1310" t="s">
        <v>522</v>
      </c>
      <c r="R1310">
        <v>9</v>
      </c>
      <c r="S1310">
        <v>106</v>
      </c>
      <c r="T1310">
        <v>80</v>
      </c>
      <c r="U1310">
        <v>110</v>
      </c>
      <c r="V1310">
        <v>120</v>
      </c>
      <c r="W1310">
        <v>80</v>
      </c>
      <c r="X1310">
        <v>44</v>
      </c>
      <c r="Y1310">
        <f t="shared" si="600"/>
        <v>213</v>
      </c>
      <c r="Z1310">
        <f t="shared" si="601"/>
        <v>213</v>
      </c>
      <c r="AA1310">
        <f t="shared" si="602"/>
        <v>181</v>
      </c>
      <c r="AB1310">
        <f t="shared" si="603"/>
        <v>181</v>
      </c>
      <c r="AC1310">
        <f t="shared" si="604"/>
        <v>166</v>
      </c>
      <c r="AD1310">
        <f t="shared" si="605"/>
        <v>145</v>
      </c>
      <c r="AE1310">
        <f t="shared" si="606"/>
        <v>132</v>
      </c>
      <c r="AF1310">
        <f t="shared" si="607"/>
        <v>100</v>
      </c>
      <c r="AG1310">
        <f t="shared" si="608"/>
        <v>90</v>
      </c>
      <c r="AH1310">
        <f t="shared" si="609"/>
        <v>76</v>
      </c>
      <c r="AI1310">
        <f t="shared" si="610"/>
        <v>178</v>
      </c>
      <c r="AJ1310">
        <f t="shared" si="611"/>
        <v>162</v>
      </c>
      <c r="AK1310">
        <f t="shared" si="612"/>
        <v>130</v>
      </c>
      <c r="AL1310">
        <f t="shared" si="613"/>
        <v>117</v>
      </c>
      <c r="AM1310">
        <f t="shared" si="614"/>
        <v>103</v>
      </c>
      <c r="AN1310">
        <f t="shared" si="615"/>
        <v>189</v>
      </c>
      <c r="AO1310">
        <f t="shared" si="616"/>
        <v>172</v>
      </c>
      <c r="AP1310">
        <f t="shared" si="617"/>
        <v>140</v>
      </c>
      <c r="AQ1310">
        <f t="shared" si="618"/>
        <v>126</v>
      </c>
      <c r="AR1310">
        <f t="shared" si="619"/>
        <v>112</v>
      </c>
      <c r="AS1310">
        <f t="shared" si="620"/>
        <v>145</v>
      </c>
      <c r="AT1310">
        <f t="shared" si="621"/>
        <v>132</v>
      </c>
      <c r="AU1310">
        <f t="shared" si="622"/>
        <v>100</v>
      </c>
      <c r="AV1310">
        <f t="shared" si="623"/>
        <v>90</v>
      </c>
      <c r="AW1310">
        <f t="shared" si="624"/>
        <v>76</v>
      </c>
      <c r="AX1310">
        <f t="shared" si="625"/>
        <v>105</v>
      </c>
      <c r="AY1310">
        <f t="shared" si="626"/>
        <v>96</v>
      </c>
      <c r="AZ1310">
        <f t="shared" si="627"/>
        <v>64</v>
      </c>
      <c r="BA1310">
        <f t="shared" si="628"/>
        <v>57</v>
      </c>
      <c r="BB1310">
        <f t="shared" si="629"/>
        <v>44</v>
      </c>
    </row>
    <row r="1311" spans="1:54" x14ac:dyDescent="0.15">
      <c r="A1311">
        <v>931</v>
      </c>
      <c r="B1311" t="s">
        <v>4633</v>
      </c>
      <c r="C1311">
        <v>1020</v>
      </c>
      <c r="D1311">
        <v>0</v>
      </c>
      <c r="E1311" t="s">
        <v>4634</v>
      </c>
      <c r="G1311" t="s">
        <v>4634</v>
      </c>
      <c r="H1311" t="s">
        <v>4635</v>
      </c>
      <c r="J1311" t="s">
        <v>4481</v>
      </c>
      <c r="K1311">
        <v>590</v>
      </c>
      <c r="L1311">
        <v>3.5</v>
      </c>
      <c r="M1311" t="s">
        <v>47</v>
      </c>
      <c r="N1311" t="s">
        <v>60</v>
      </c>
      <c r="O1311" t="s">
        <v>4482</v>
      </c>
      <c r="R1311">
        <v>9</v>
      </c>
      <c r="S1311">
        <v>105</v>
      </c>
      <c r="T1311">
        <v>115</v>
      </c>
      <c r="U1311">
        <v>121</v>
      </c>
      <c r="V1311">
        <v>65</v>
      </c>
      <c r="W1311">
        <v>93</v>
      </c>
      <c r="X1311">
        <v>91</v>
      </c>
      <c r="Y1311">
        <f t="shared" si="600"/>
        <v>212</v>
      </c>
      <c r="Z1311">
        <f t="shared" si="601"/>
        <v>212</v>
      </c>
      <c r="AA1311">
        <f t="shared" si="602"/>
        <v>180</v>
      </c>
      <c r="AB1311">
        <f t="shared" si="603"/>
        <v>180</v>
      </c>
      <c r="AC1311">
        <f t="shared" si="604"/>
        <v>165</v>
      </c>
      <c r="AD1311">
        <f t="shared" si="605"/>
        <v>183</v>
      </c>
      <c r="AE1311">
        <f t="shared" si="606"/>
        <v>167</v>
      </c>
      <c r="AF1311">
        <f t="shared" si="607"/>
        <v>135</v>
      </c>
      <c r="AG1311">
        <f t="shared" si="608"/>
        <v>121</v>
      </c>
      <c r="AH1311">
        <f t="shared" si="609"/>
        <v>108</v>
      </c>
      <c r="AI1311">
        <f t="shared" si="610"/>
        <v>190</v>
      </c>
      <c r="AJ1311">
        <f t="shared" si="611"/>
        <v>173</v>
      </c>
      <c r="AK1311">
        <f t="shared" si="612"/>
        <v>141</v>
      </c>
      <c r="AL1311">
        <f t="shared" si="613"/>
        <v>126</v>
      </c>
      <c r="AM1311">
        <f t="shared" si="614"/>
        <v>113</v>
      </c>
      <c r="AN1311">
        <f t="shared" si="615"/>
        <v>128</v>
      </c>
      <c r="AO1311">
        <f t="shared" si="616"/>
        <v>117</v>
      </c>
      <c r="AP1311">
        <f t="shared" si="617"/>
        <v>85</v>
      </c>
      <c r="AQ1311">
        <f t="shared" si="618"/>
        <v>76</v>
      </c>
      <c r="AR1311">
        <f t="shared" si="619"/>
        <v>63</v>
      </c>
      <c r="AS1311">
        <f t="shared" si="620"/>
        <v>159</v>
      </c>
      <c r="AT1311">
        <f t="shared" si="621"/>
        <v>145</v>
      </c>
      <c r="AU1311">
        <f t="shared" si="622"/>
        <v>113</v>
      </c>
      <c r="AV1311">
        <f t="shared" si="623"/>
        <v>101</v>
      </c>
      <c r="AW1311">
        <f t="shared" si="624"/>
        <v>88</v>
      </c>
      <c r="AX1311">
        <f t="shared" si="625"/>
        <v>157</v>
      </c>
      <c r="AY1311">
        <f t="shared" si="626"/>
        <v>143</v>
      </c>
      <c r="AZ1311">
        <f t="shared" si="627"/>
        <v>111</v>
      </c>
      <c r="BA1311">
        <f t="shared" si="628"/>
        <v>99</v>
      </c>
      <c r="BB1311">
        <f t="shared" si="629"/>
        <v>86</v>
      </c>
    </row>
    <row r="1312" spans="1:54" x14ac:dyDescent="0.15">
      <c r="A1312">
        <v>932</v>
      </c>
      <c r="B1312" t="s">
        <v>4636</v>
      </c>
      <c r="C1312">
        <v>1021</v>
      </c>
      <c r="D1312">
        <v>0</v>
      </c>
      <c r="E1312" t="s">
        <v>4637</v>
      </c>
      <c r="G1312" t="s">
        <v>4637</v>
      </c>
      <c r="H1312" t="s">
        <v>4638</v>
      </c>
      <c r="J1312" t="s">
        <v>4481</v>
      </c>
      <c r="K1312">
        <v>480</v>
      </c>
      <c r="L1312">
        <v>5.2</v>
      </c>
      <c r="M1312" t="s">
        <v>164</v>
      </c>
      <c r="N1312" t="s">
        <v>60</v>
      </c>
      <c r="O1312" t="s">
        <v>4482</v>
      </c>
      <c r="R1312">
        <v>9</v>
      </c>
      <c r="S1312">
        <v>125</v>
      </c>
      <c r="T1312">
        <v>73</v>
      </c>
      <c r="U1312">
        <v>91</v>
      </c>
      <c r="V1312">
        <v>137</v>
      </c>
      <c r="W1312">
        <v>89</v>
      </c>
      <c r="X1312">
        <v>75</v>
      </c>
      <c r="Y1312">
        <f t="shared" si="600"/>
        <v>232</v>
      </c>
      <c r="Z1312">
        <f t="shared" si="601"/>
        <v>232</v>
      </c>
      <c r="AA1312">
        <f t="shared" si="602"/>
        <v>200</v>
      </c>
      <c r="AB1312">
        <f t="shared" si="603"/>
        <v>200</v>
      </c>
      <c r="AC1312">
        <f t="shared" si="604"/>
        <v>185</v>
      </c>
      <c r="AD1312">
        <f t="shared" si="605"/>
        <v>137</v>
      </c>
      <c r="AE1312">
        <f t="shared" si="606"/>
        <v>125</v>
      </c>
      <c r="AF1312">
        <f t="shared" si="607"/>
        <v>93</v>
      </c>
      <c r="AG1312">
        <f t="shared" si="608"/>
        <v>83</v>
      </c>
      <c r="AH1312">
        <f t="shared" si="609"/>
        <v>70</v>
      </c>
      <c r="AI1312">
        <f t="shared" si="610"/>
        <v>157</v>
      </c>
      <c r="AJ1312">
        <f t="shared" si="611"/>
        <v>143</v>
      </c>
      <c r="AK1312">
        <f t="shared" si="612"/>
        <v>111</v>
      </c>
      <c r="AL1312">
        <f t="shared" si="613"/>
        <v>99</v>
      </c>
      <c r="AM1312">
        <f t="shared" si="614"/>
        <v>86</v>
      </c>
      <c r="AN1312">
        <f t="shared" si="615"/>
        <v>207</v>
      </c>
      <c r="AO1312">
        <f t="shared" si="616"/>
        <v>189</v>
      </c>
      <c r="AP1312">
        <f t="shared" si="617"/>
        <v>157</v>
      </c>
      <c r="AQ1312">
        <f t="shared" si="618"/>
        <v>141</v>
      </c>
      <c r="AR1312">
        <f t="shared" si="619"/>
        <v>127</v>
      </c>
      <c r="AS1312">
        <f t="shared" si="620"/>
        <v>155</v>
      </c>
      <c r="AT1312">
        <f t="shared" si="621"/>
        <v>141</v>
      </c>
      <c r="AU1312">
        <f t="shared" si="622"/>
        <v>109</v>
      </c>
      <c r="AV1312">
        <f t="shared" si="623"/>
        <v>98</v>
      </c>
      <c r="AW1312">
        <f t="shared" si="624"/>
        <v>84</v>
      </c>
      <c r="AX1312">
        <f t="shared" si="625"/>
        <v>139</v>
      </c>
      <c r="AY1312">
        <f t="shared" si="626"/>
        <v>127</v>
      </c>
      <c r="AZ1312">
        <f t="shared" si="627"/>
        <v>95</v>
      </c>
      <c r="BA1312">
        <f t="shared" si="628"/>
        <v>85</v>
      </c>
      <c r="BB1312">
        <f t="shared" si="629"/>
        <v>72</v>
      </c>
    </row>
    <row r="1313" spans="1:54" x14ac:dyDescent="0.15">
      <c r="A1313">
        <v>934</v>
      </c>
      <c r="B1313" t="s">
        <v>4639</v>
      </c>
      <c r="C1313">
        <v>1022</v>
      </c>
      <c r="D1313">
        <v>0</v>
      </c>
      <c r="E1313" t="s">
        <v>4640</v>
      </c>
      <c r="G1313" t="s">
        <v>4640</v>
      </c>
      <c r="H1313" t="s">
        <v>4641</v>
      </c>
      <c r="J1313" t="s">
        <v>4481</v>
      </c>
      <c r="K1313">
        <v>162.5</v>
      </c>
      <c r="L1313">
        <v>1.5</v>
      </c>
      <c r="M1313" t="s">
        <v>371</v>
      </c>
      <c r="N1313" t="s">
        <v>191</v>
      </c>
      <c r="O1313" t="s">
        <v>4501</v>
      </c>
      <c r="R1313">
        <v>9</v>
      </c>
      <c r="S1313">
        <v>90</v>
      </c>
      <c r="T1313">
        <v>120</v>
      </c>
      <c r="U1313">
        <v>80</v>
      </c>
      <c r="V1313">
        <v>68</v>
      </c>
      <c r="W1313">
        <v>108</v>
      </c>
      <c r="X1313">
        <v>124</v>
      </c>
      <c r="Y1313">
        <f t="shared" si="600"/>
        <v>197</v>
      </c>
      <c r="Z1313">
        <f t="shared" si="601"/>
        <v>197</v>
      </c>
      <c r="AA1313">
        <f t="shared" si="602"/>
        <v>165</v>
      </c>
      <c r="AB1313">
        <f t="shared" si="603"/>
        <v>165</v>
      </c>
      <c r="AC1313">
        <f t="shared" si="604"/>
        <v>150</v>
      </c>
      <c r="AD1313">
        <f t="shared" si="605"/>
        <v>189</v>
      </c>
      <c r="AE1313">
        <f t="shared" si="606"/>
        <v>172</v>
      </c>
      <c r="AF1313">
        <f t="shared" si="607"/>
        <v>140</v>
      </c>
      <c r="AG1313">
        <f t="shared" si="608"/>
        <v>126</v>
      </c>
      <c r="AH1313">
        <f t="shared" si="609"/>
        <v>112</v>
      </c>
      <c r="AI1313">
        <f t="shared" si="610"/>
        <v>145</v>
      </c>
      <c r="AJ1313">
        <f t="shared" si="611"/>
        <v>132</v>
      </c>
      <c r="AK1313">
        <f t="shared" si="612"/>
        <v>100</v>
      </c>
      <c r="AL1313">
        <f t="shared" si="613"/>
        <v>90</v>
      </c>
      <c r="AM1313">
        <f t="shared" si="614"/>
        <v>76</v>
      </c>
      <c r="AN1313">
        <f t="shared" si="615"/>
        <v>132</v>
      </c>
      <c r="AO1313">
        <f t="shared" si="616"/>
        <v>120</v>
      </c>
      <c r="AP1313">
        <f t="shared" si="617"/>
        <v>88</v>
      </c>
      <c r="AQ1313">
        <f t="shared" si="618"/>
        <v>79</v>
      </c>
      <c r="AR1313">
        <f t="shared" si="619"/>
        <v>65</v>
      </c>
      <c r="AS1313">
        <f t="shared" si="620"/>
        <v>176</v>
      </c>
      <c r="AT1313">
        <f t="shared" si="621"/>
        <v>160</v>
      </c>
      <c r="AU1313">
        <f t="shared" si="622"/>
        <v>128</v>
      </c>
      <c r="AV1313">
        <f t="shared" si="623"/>
        <v>115</v>
      </c>
      <c r="AW1313">
        <f t="shared" si="624"/>
        <v>101</v>
      </c>
      <c r="AX1313">
        <f t="shared" si="625"/>
        <v>193</v>
      </c>
      <c r="AY1313">
        <f t="shared" si="626"/>
        <v>176</v>
      </c>
      <c r="AZ1313">
        <f t="shared" si="627"/>
        <v>144</v>
      </c>
      <c r="BA1313">
        <f t="shared" si="628"/>
        <v>129</v>
      </c>
      <c r="BB1313">
        <f t="shared" si="629"/>
        <v>116</v>
      </c>
    </row>
    <row r="1314" spans="1:54" x14ac:dyDescent="0.15">
      <c r="A1314">
        <v>933</v>
      </c>
      <c r="B1314" t="s">
        <v>4642</v>
      </c>
      <c r="C1314">
        <v>1023</v>
      </c>
      <c r="D1314">
        <v>0</v>
      </c>
      <c r="E1314" t="s">
        <v>4643</v>
      </c>
      <c r="G1314" t="s">
        <v>4643</v>
      </c>
      <c r="H1314" t="s">
        <v>4644</v>
      </c>
      <c r="J1314" t="s">
        <v>4481</v>
      </c>
      <c r="K1314">
        <v>156</v>
      </c>
      <c r="L1314">
        <v>1.6</v>
      </c>
      <c r="M1314" t="s">
        <v>203</v>
      </c>
      <c r="N1314" t="s">
        <v>191</v>
      </c>
      <c r="O1314" t="s">
        <v>4501</v>
      </c>
      <c r="R1314">
        <v>9</v>
      </c>
      <c r="S1314">
        <v>90</v>
      </c>
      <c r="T1314">
        <v>72</v>
      </c>
      <c r="U1314">
        <v>100</v>
      </c>
      <c r="V1314">
        <v>122</v>
      </c>
      <c r="W1314">
        <v>108</v>
      </c>
      <c r="X1314">
        <v>98</v>
      </c>
      <c r="Y1314">
        <f t="shared" si="600"/>
        <v>197</v>
      </c>
      <c r="Z1314">
        <f t="shared" si="601"/>
        <v>197</v>
      </c>
      <c r="AA1314">
        <f t="shared" si="602"/>
        <v>165</v>
      </c>
      <c r="AB1314">
        <f t="shared" si="603"/>
        <v>165</v>
      </c>
      <c r="AC1314">
        <f t="shared" si="604"/>
        <v>150</v>
      </c>
      <c r="AD1314">
        <f t="shared" si="605"/>
        <v>136</v>
      </c>
      <c r="AE1314">
        <f t="shared" si="606"/>
        <v>124</v>
      </c>
      <c r="AF1314">
        <f t="shared" si="607"/>
        <v>92</v>
      </c>
      <c r="AG1314">
        <f t="shared" si="608"/>
        <v>82</v>
      </c>
      <c r="AH1314">
        <f t="shared" si="609"/>
        <v>69</v>
      </c>
      <c r="AI1314">
        <f t="shared" si="610"/>
        <v>167</v>
      </c>
      <c r="AJ1314">
        <f t="shared" si="611"/>
        <v>152</v>
      </c>
      <c r="AK1314">
        <f t="shared" si="612"/>
        <v>120</v>
      </c>
      <c r="AL1314">
        <f t="shared" si="613"/>
        <v>108</v>
      </c>
      <c r="AM1314">
        <f t="shared" si="614"/>
        <v>94</v>
      </c>
      <c r="AN1314">
        <f t="shared" si="615"/>
        <v>191</v>
      </c>
      <c r="AO1314">
        <f t="shared" si="616"/>
        <v>174</v>
      </c>
      <c r="AP1314">
        <f t="shared" si="617"/>
        <v>142</v>
      </c>
      <c r="AQ1314">
        <f t="shared" si="618"/>
        <v>127</v>
      </c>
      <c r="AR1314">
        <f t="shared" si="619"/>
        <v>114</v>
      </c>
      <c r="AS1314">
        <f t="shared" si="620"/>
        <v>176</v>
      </c>
      <c r="AT1314">
        <f t="shared" si="621"/>
        <v>160</v>
      </c>
      <c r="AU1314">
        <f t="shared" si="622"/>
        <v>128</v>
      </c>
      <c r="AV1314">
        <f t="shared" si="623"/>
        <v>115</v>
      </c>
      <c r="AW1314">
        <f t="shared" si="624"/>
        <v>101</v>
      </c>
      <c r="AX1314">
        <f t="shared" si="625"/>
        <v>165</v>
      </c>
      <c r="AY1314">
        <f t="shared" si="626"/>
        <v>150</v>
      </c>
      <c r="AZ1314">
        <f t="shared" si="627"/>
        <v>118</v>
      </c>
      <c r="BA1314">
        <f t="shared" si="628"/>
        <v>106</v>
      </c>
      <c r="BB1314">
        <f t="shared" si="629"/>
        <v>92</v>
      </c>
    </row>
    <row r="1315" spans="1:54" x14ac:dyDescent="0.15">
      <c r="A1315">
        <v>935</v>
      </c>
      <c r="B1315" t="s">
        <v>4645</v>
      </c>
      <c r="C1315">
        <v>1024</v>
      </c>
      <c r="D1315">
        <v>0</v>
      </c>
      <c r="E1315" t="s">
        <v>4646</v>
      </c>
      <c r="F1315" t="s">
        <v>1791</v>
      </c>
      <c r="G1315" t="s">
        <v>4647</v>
      </c>
      <c r="H1315" t="s">
        <v>4648</v>
      </c>
      <c r="J1315" t="s">
        <v>4649</v>
      </c>
      <c r="K1315">
        <v>6.5</v>
      </c>
      <c r="L1315">
        <v>0.2</v>
      </c>
      <c r="M1315" t="s">
        <v>120</v>
      </c>
      <c r="O1315" t="s">
        <v>4650</v>
      </c>
      <c r="R1315">
        <v>9</v>
      </c>
      <c r="S1315">
        <v>90</v>
      </c>
      <c r="T1315">
        <v>65</v>
      </c>
      <c r="U1315">
        <v>85</v>
      </c>
      <c r="V1315">
        <v>65</v>
      </c>
      <c r="W1315">
        <v>85</v>
      </c>
      <c r="X1315">
        <v>60</v>
      </c>
      <c r="Y1315">
        <f t="shared" si="600"/>
        <v>197</v>
      </c>
      <c r="Z1315">
        <f t="shared" si="601"/>
        <v>197</v>
      </c>
      <c r="AA1315">
        <f t="shared" si="602"/>
        <v>165</v>
      </c>
      <c r="AB1315">
        <f t="shared" si="603"/>
        <v>165</v>
      </c>
      <c r="AC1315">
        <f t="shared" si="604"/>
        <v>150</v>
      </c>
      <c r="AD1315">
        <f t="shared" si="605"/>
        <v>128</v>
      </c>
      <c r="AE1315">
        <f t="shared" si="606"/>
        <v>117</v>
      </c>
      <c r="AF1315">
        <f t="shared" si="607"/>
        <v>85</v>
      </c>
      <c r="AG1315">
        <f t="shared" si="608"/>
        <v>76</v>
      </c>
      <c r="AH1315">
        <f t="shared" si="609"/>
        <v>63</v>
      </c>
      <c r="AI1315">
        <f t="shared" si="610"/>
        <v>150</v>
      </c>
      <c r="AJ1315">
        <f t="shared" si="611"/>
        <v>137</v>
      </c>
      <c r="AK1315">
        <f t="shared" si="612"/>
        <v>105</v>
      </c>
      <c r="AL1315">
        <f t="shared" si="613"/>
        <v>94</v>
      </c>
      <c r="AM1315">
        <f t="shared" si="614"/>
        <v>81</v>
      </c>
      <c r="AN1315">
        <f t="shared" si="615"/>
        <v>128</v>
      </c>
      <c r="AO1315">
        <f t="shared" si="616"/>
        <v>117</v>
      </c>
      <c r="AP1315">
        <f t="shared" si="617"/>
        <v>85</v>
      </c>
      <c r="AQ1315">
        <f t="shared" si="618"/>
        <v>76</v>
      </c>
      <c r="AR1315">
        <f t="shared" si="619"/>
        <v>63</v>
      </c>
      <c r="AS1315">
        <f t="shared" si="620"/>
        <v>150</v>
      </c>
      <c r="AT1315">
        <f t="shared" si="621"/>
        <v>137</v>
      </c>
      <c r="AU1315">
        <f t="shared" si="622"/>
        <v>105</v>
      </c>
      <c r="AV1315">
        <f t="shared" si="623"/>
        <v>94</v>
      </c>
      <c r="AW1315">
        <f t="shared" si="624"/>
        <v>81</v>
      </c>
      <c r="AX1315">
        <f t="shared" si="625"/>
        <v>123</v>
      </c>
      <c r="AY1315">
        <f t="shared" si="626"/>
        <v>112</v>
      </c>
      <c r="AZ1315">
        <f t="shared" si="627"/>
        <v>80</v>
      </c>
      <c r="BA1315">
        <f t="shared" si="628"/>
        <v>72</v>
      </c>
      <c r="BB1315">
        <f t="shared" si="629"/>
        <v>58</v>
      </c>
    </row>
    <row r="1316" spans="1:54" x14ac:dyDescent="0.15">
      <c r="A1316">
        <v>936</v>
      </c>
      <c r="B1316" t="s">
        <v>4651</v>
      </c>
      <c r="C1316">
        <v>1024</v>
      </c>
      <c r="D1316">
        <v>1</v>
      </c>
      <c r="E1316" t="s">
        <v>4646</v>
      </c>
      <c r="F1316" t="s">
        <v>4652</v>
      </c>
      <c r="G1316" t="s">
        <v>4653</v>
      </c>
      <c r="H1316" t="s">
        <v>4654</v>
      </c>
      <c r="J1316" t="s">
        <v>4649</v>
      </c>
      <c r="K1316">
        <v>16</v>
      </c>
      <c r="L1316">
        <v>0.3</v>
      </c>
      <c r="M1316" t="s">
        <v>120</v>
      </c>
      <c r="O1316" t="s">
        <v>4655</v>
      </c>
      <c r="R1316">
        <v>9</v>
      </c>
      <c r="S1316">
        <v>95</v>
      </c>
      <c r="T1316">
        <v>95</v>
      </c>
      <c r="U1316">
        <v>110</v>
      </c>
      <c r="V1316">
        <v>105</v>
      </c>
      <c r="W1316">
        <v>110</v>
      </c>
      <c r="X1316">
        <v>85</v>
      </c>
      <c r="Y1316">
        <f t="shared" si="600"/>
        <v>202</v>
      </c>
      <c r="Z1316">
        <f t="shared" si="601"/>
        <v>202</v>
      </c>
      <c r="AA1316">
        <f t="shared" si="602"/>
        <v>170</v>
      </c>
      <c r="AB1316">
        <f t="shared" si="603"/>
        <v>170</v>
      </c>
      <c r="AC1316">
        <f t="shared" si="604"/>
        <v>155</v>
      </c>
      <c r="AD1316">
        <f t="shared" si="605"/>
        <v>161</v>
      </c>
      <c r="AE1316">
        <f t="shared" si="606"/>
        <v>147</v>
      </c>
      <c r="AF1316">
        <f t="shared" si="607"/>
        <v>115</v>
      </c>
      <c r="AG1316">
        <f t="shared" si="608"/>
        <v>103</v>
      </c>
      <c r="AH1316">
        <f t="shared" si="609"/>
        <v>90</v>
      </c>
      <c r="AI1316">
        <f t="shared" si="610"/>
        <v>178</v>
      </c>
      <c r="AJ1316">
        <f t="shared" si="611"/>
        <v>162</v>
      </c>
      <c r="AK1316">
        <f t="shared" si="612"/>
        <v>130</v>
      </c>
      <c r="AL1316">
        <f t="shared" si="613"/>
        <v>117</v>
      </c>
      <c r="AM1316">
        <f t="shared" si="614"/>
        <v>103</v>
      </c>
      <c r="AN1316">
        <f t="shared" si="615"/>
        <v>172</v>
      </c>
      <c r="AO1316">
        <f t="shared" si="616"/>
        <v>157</v>
      </c>
      <c r="AP1316">
        <f t="shared" si="617"/>
        <v>125</v>
      </c>
      <c r="AQ1316">
        <f t="shared" si="618"/>
        <v>112</v>
      </c>
      <c r="AR1316">
        <f t="shared" si="619"/>
        <v>99</v>
      </c>
      <c r="AS1316">
        <f t="shared" si="620"/>
        <v>178</v>
      </c>
      <c r="AT1316">
        <f t="shared" si="621"/>
        <v>162</v>
      </c>
      <c r="AU1316">
        <f t="shared" si="622"/>
        <v>130</v>
      </c>
      <c r="AV1316">
        <f t="shared" si="623"/>
        <v>117</v>
      </c>
      <c r="AW1316">
        <f t="shared" si="624"/>
        <v>103</v>
      </c>
      <c r="AX1316">
        <f t="shared" si="625"/>
        <v>150</v>
      </c>
      <c r="AY1316">
        <f t="shared" si="626"/>
        <v>137</v>
      </c>
      <c r="AZ1316">
        <f t="shared" si="627"/>
        <v>105</v>
      </c>
      <c r="BA1316">
        <f t="shared" si="628"/>
        <v>94</v>
      </c>
      <c r="BB1316">
        <f t="shared" si="629"/>
        <v>81</v>
      </c>
    </row>
    <row r="1317" spans="1:54" x14ac:dyDescent="0.15">
      <c r="A1317">
        <v>937</v>
      </c>
      <c r="B1317" t="s">
        <v>4656</v>
      </c>
      <c r="C1317">
        <v>1024</v>
      </c>
      <c r="D1317">
        <v>2</v>
      </c>
      <c r="E1317" t="s">
        <v>4646</v>
      </c>
      <c r="F1317" t="s">
        <v>4657</v>
      </c>
      <c r="G1317" t="s">
        <v>4658</v>
      </c>
      <c r="H1317" t="s">
        <v>4659</v>
      </c>
      <c r="J1317" t="s">
        <v>4649</v>
      </c>
      <c r="K1317">
        <v>77</v>
      </c>
      <c r="L1317">
        <v>1.7</v>
      </c>
      <c r="M1317" t="s">
        <v>120</v>
      </c>
      <c r="O1317" t="s">
        <v>4660</v>
      </c>
      <c r="R1317">
        <v>9</v>
      </c>
      <c r="S1317">
        <v>160</v>
      </c>
      <c r="T1317">
        <v>105</v>
      </c>
      <c r="U1317">
        <v>110</v>
      </c>
      <c r="V1317">
        <v>130</v>
      </c>
      <c r="W1317">
        <v>110</v>
      </c>
      <c r="X1317">
        <v>85</v>
      </c>
      <c r="Y1317">
        <f t="shared" si="600"/>
        <v>267</v>
      </c>
      <c r="Z1317">
        <f t="shared" si="601"/>
        <v>267</v>
      </c>
      <c r="AA1317">
        <f t="shared" si="602"/>
        <v>235</v>
      </c>
      <c r="AB1317">
        <f t="shared" si="603"/>
        <v>235</v>
      </c>
      <c r="AC1317">
        <f t="shared" si="604"/>
        <v>220</v>
      </c>
      <c r="AD1317">
        <f t="shared" si="605"/>
        <v>172</v>
      </c>
      <c r="AE1317">
        <f t="shared" si="606"/>
        <v>157</v>
      </c>
      <c r="AF1317">
        <f t="shared" si="607"/>
        <v>125</v>
      </c>
      <c r="AG1317">
        <f t="shared" si="608"/>
        <v>112</v>
      </c>
      <c r="AH1317">
        <f t="shared" si="609"/>
        <v>99</v>
      </c>
      <c r="AI1317">
        <f t="shared" si="610"/>
        <v>178</v>
      </c>
      <c r="AJ1317">
        <f t="shared" si="611"/>
        <v>162</v>
      </c>
      <c r="AK1317">
        <f t="shared" si="612"/>
        <v>130</v>
      </c>
      <c r="AL1317">
        <f t="shared" si="613"/>
        <v>117</v>
      </c>
      <c r="AM1317">
        <f t="shared" si="614"/>
        <v>103</v>
      </c>
      <c r="AN1317">
        <f t="shared" si="615"/>
        <v>200</v>
      </c>
      <c r="AO1317">
        <f t="shared" si="616"/>
        <v>182</v>
      </c>
      <c r="AP1317">
        <f t="shared" si="617"/>
        <v>150</v>
      </c>
      <c r="AQ1317">
        <f t="shared" si="618"/>
        <v>135</v>
      </c>
      <c r="AR1317">
        <f t="shared" si="619"/>
        <v>121</v>
      </c>
      <c r="AS1317">
        <f t="shared" si="620"/>
        <v>178</v>
      </c>
      <c r="AT1317">
        <f t="shared" si="621"/>
        <v>162</v>
      </c>
      <c r="AU1317">
        <f t="shared" si="622"/>
        <v>130</v>
      </c>
      <c r="AV1317">
        <f t="shared" si="623"/>
        <v>117</v>
      </c>
      <c r="AW1317">
        <f t="shared" si="624"/>
        <v>103</v>
      </c>
      <c r="AX1317">
        <f t="shared" si="625"/>
        <v>150</v>
      </c>
      <c r="AY1317">
        <f t="shared" si="626"/>
        <v>137</v>
      </c>
      <c r="AZ1317">
        <f t="shared" si="627"/>
        <v>105</v>
      </c>
      <c r="BA1317">
        <f t="shared" si="628"/>
        <v>94</v>
      </c>
      <c r="BB1317">
        <f t="shared" si="629"/>
        <v>81</v>
      </c>
    </row>
    <row r="1318" spans="1:54" x14ac:dyDescent="0.15">
      <c r="A1318">
        <v>938</v>
      </c>
      <c r="B1318" t="s">
        <v>4661</v>
      </c>
      <c r="C1318">
        <v>1025</v>
      </c>
      <c r="D1318">
        <v>0</v>
      </c>
      <c r="E1318" t="s">
        <v>4662</v>
      </c>
      <c r="G1318" t="s">
        <v>4662</v>
      </c>
      <c r="H1318" t="s">
        <v>4663</v>
      </c>
      <c r="J1318" t="s">
        <v>4664</v>
      </c>
      <c r="K1318">
        <v>0.3</v>
      </c>
      <c r="L1318">
        <v>0.3</v>
      </c>
      <c r="M1318" t="s">
        <v>27</v>
      </c>
      <c r="N1318" t="s">
        <v>546</v>
      </c>
      <c r="O1318" t="s">
        <v>4665</v>
      </c>
      <c r="R1318">
        <v>9</v>
      </c>
      <c r="S1318">
        <v>88</v>
      </c>
      <c r="T1318">
        <v>88</v>
      </c>
      <c r="U1318">
        <v>160</v>
      </c>
      <c r="V1318">
        <v>88</v>
      </c>
      <c r="W1318">
        <v>88</v>
      </c>
      <c r="X1318">
        <v>88</v>
      </c>
      <c r="Y1318">
        <f t="shared" si="600"/>
        <v>195</v>
      </c>
      <c r="Z1318">
        <f t="shared" si="601"/>
        <v>195</v>
      </c>
      <c r="AA1318">
        <f t="shared" si="602"/>
        <v>163</v>
      </c>
      <c r="AB1318">
        <f t="shared" si="603"/>
        <v>163</v>
      </c>
      <c r="AC1318">
        <f t="shared" si="604"/>
        <v>148</v>
      </c>
      <c r="AD1318">
        <f t="shared" si="605"/>
        <v>154</v>
      </c>
      <c r="AE1318">
        <f t="shared" si="606"/>
        <v>140</v>
      </c>
      <c r="AF1318">
        <f t="shared" si="607"/>
        <v>108</v>
      </c>
      <c r="AG1318">
        <f t="shared" si="608"/>
        <v>97</v>
      </c>
      <c r="AH1318">
        <f t="shared" si="609"/>
        <v>83</v>
      </c>
      <c r="AI1318">
        <f t="shared" si="610"/>
        <v>233</v>
      </c>
      <c r="AJ1318">
        <f t="shared" si="611"/>
        <v>212</v>
      </c>
      <c r="AK1318">
        <f t="shared" si="612"/>
        <v>180</v>
      </c>
      <c r="AL1318">
        <f t="shared" si="613"/>
        <v>162</v>
      </c>
      <c r="AM1318">
        <f t="shared" si="614"/>
        <v>148</v>
      </c>
      <c r="AN1318">
        <f t="shared" si="615"/>
        <v>154</v>
      </c>
      <c r="AO1318">
        <f t="shared" si="616"/>
        <v>140</v>
      </c>
      <c r="AP1318">
        <f t="shared" si="617"/>
        <v>108</v>
      </c>
      <c r="AQ1318">
        <f t="shared" si="618"/>
        <v>97</v>
      </c>
      <c r="AR1318">
        <f t="shared" si="619"/>
        <v>83</v>
      </c>
      <c r="AS1318">
        <f t="shared" si="620"/>
        <v>154</v>
      </c>
      <c r="AT1318">
        <f t="shared" si="621"/>
        <v>140</v>
      </c>
      <c r="AU1318">
        <f t="shared" si="622"/>
        <v>108</v>
      </c>
      <c r="AV1318">
        <f t="shared" si="623"/>
        <v>97</v>
      </c>
      <c r="AW1318">
        <f t="shared" si="624"/>
        <v>83</v>
      </c>
      <c r="AX1318">
        <f t="shared" si="625"/>
        <v>154</v>
      </c>
      <c r="AY1318">
        <f t="shared" si="626"/>
        <v>140</v>
      </c>
      <c r="AZ1318">
        <f t="shared" si="627"/>
        <v>108</v>
      </c>
      <c r="BA1318">
        <f t="shared" si="628"/>
        <v>97</v>
      </c>
      <c r="BB1318">
        <f t="shared" si="629"/>
        <v>83</v>
      </c>
    </row>
  </sheetData>
  <phoneticPr fontId="2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克明 田中</cp:lastModifiedBy>
  <dcterms:created xsi:type="dcterms:W3CDTF">2025-03-20T15:21:54Z</dcterms:created>
  <dcterms:modified xsi:type="dcterms:W3CDTF">2025-09-02T14:17:44Z</dcterms:modified>
</cp:coreProperties>
</file>